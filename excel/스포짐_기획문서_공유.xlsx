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imjaehyeong/Desktop/pando/pando-beta/excel/"/>
    </mc:Choice>
  </mc:AlternateContent>
  <xr:revisionPtr revIDLastSave="0" documentId="8_{2F58BDDD-A4D1-294C-8BEF-FF5356F0C2B9}" xr6:coauthVersionLast="47" xr6:coauthVersionMax="47" xr10:uidLastSave="{00000000-0000-0000-0000-000000000000}"/>
  <bookViews>
    <workbookView xWindow="0" yWindow="600" windowWidth="38400" windowHeight="21000" activeTab="5" xr2:uid="{00000000-000D-0000-FFFF-FFFF00000000}"/>
  </bookViews>
  <sheets>
    <sheet name="IA(정보구조)" sheetId="1" r:id="rId1"/>
    <sheet name="사용자 스토리" sheetId="2" r:id="rId2"/>
    <sheet name="화면설계서" sheetId="3" r:id="rId3"/>
    <sheet name="UI 요소 상세" sheetId="4" r:id="rId4"/>
    <sheet name="기능명세서" sheetId="5" r:id="rId5"/>
    <sheet name="API명세서" sheetId="6" r:id="rId6"/>
    <sheet name="데이터 정의서" sheetId="7" r:id="rId7"/>
    <sheet name="QA테스트케이스" sheetId="8" r:id="rId8"/>
    <sheet name="대시보드" sheetId="9" r:id="rId9"/>
    <sheet name="비즈니스정책" sheetId="10" r:id="rId10"/>
    <sheet name="화면흐름도" sheetId="11" r:id="rId11"/>
    <sheet name="디자인토큰" sheetId="12" r:id="rId12"/>
  </sheets>
  <definedNames>
    <definedName name="_xlnm._FilterDatabase" localSheetId="4" hidden="1">기능명세서!$A$1:$T$1</definedName>
    <definedName name="_xlnm._FilterDatabase" localSheetId="6" hidden="1">'데이터 정의서'!$A$1:$M$1</definedName>
    <definedName name="_xlnm._FilterDatabase" localSheetId="9" hidden="1">비즈니스정책!$A$1:$H$1</definedName>
    <definedName name="_xlnm._FilterDatabase" localSheetId="1" hidden="1">'사용자 스토리'!$A$1:$M$1</definedName>
    <definedName name="_xlnm._FilterDatabase" localSheetId="2" hidden="1">화면설계서!$A$1:$V$1</definedName>
    <definedName name="_xlnm._FilterDatabase" localSheetId="5" hidden="1">API명세서!$A$1:$Q$1</definedName>
    <definedName name="_xlnm._FilterDatabase" localSheetId="0" hidden="1">'IA(정보구조)'!$A$1:$L$1</definedName>
    <definedName name="_xlnm._FilterDatabase" localSheetId="7" hidden="1">QA테스트케이스!$A$1:$AC$1</definedName>
    <definedName name="_xlnm._FilterDatabase" localSheetId="3" hidden="1">'UI 요소 상세'!$A$1:$S$1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B34" i="9"/>
  <c r="B33" i="9"/>
  <c r="B32" i="9"/>
  <c r="B31" i="9"/>
  <c r="B30" i="9"/>
  <c r="D26" i="9"/>
  <c r="C26" i="9"/>
  <c r="B26" i="9"/>
  <c r="D25" i="9"/>
  <c r="C25" i="9"/>
  <c r="B25" i="9"/>
  <c r="D24" i="9"/>
  <c r="C24" i="9"/>
  <c r="B24" i="9"/>
  <c r="D23" i="9"/>
  <c r="C23" i="9"/>
  <c r="B23" i="9"/>
  <c r="B17" i="9"/>
  <c r="B16" i="9"/>
  <c r="B15" i="9"/>
  <c r="B14" i="9"/>
  <c r="B18" i="9" s="1"/>
  <c r="B13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S52" i="5"/>
  <c r="S51" i="5"/>
  <c r="S50" i="5"/>
  <c r="S49" i="5"/>
  <c r="S47" i="5"/>
  <c r="S44" i="5"/>
  <c r="S43" i="5"/>
  <c r="S41" i="5"/>
  <c r="S40" i="5"/>
  <c r="S38" i="5"/>
  <c r="S37" i="5"/>
  <c r="S32" i="5"/>
  <c r="S30" i="5"/>
  <c r="S17" i="5"/>
  <c r="R163" i="4"/>
  <c r="R162" i="4"/>
  <c r="R161" i="4"/>
  <c r="R159" i="4"/>
  <c r="R158" i="4"/>
  <c r="R153" i="4"/>
  <c r="R152" i="4"/>
  <c r="R147" i="4"/>
  <c r="R146" i="4"/>
  <c r="R144" i="4"/>
  <c r="R143" i="4"/>
  <c r="R141" i="4"/>
  <c r="R140" i="4"/>
  <c r="R138" i="4"/>
  <c r="R137" i="4"/>
  <c r="R135" i="4"/>
  <c r="R134" i="4"/>
  <c r="R133" i="4"/>
  <c r="R131" i="4"/>
  <c r="R130" i="4"/>
  <c r="R129" i="4"/>
  <c r="R127" i="4"/>
  <c r="R126" i="4"/>
  <c r="R124" i="4"/>
  <c r="R123" i="4"/>
  <c r="R121" i="4"/>
  <c r="R120" i="4"/>
  <c r="R119" i="4"/>
  <c r="R101" i="4"/>
  <c r="R96" i="4"/>
  <c r="R95" i="4"/>
  <c r="R93" i="4"/>
  <c r="R92" i="4"/>
  <c r="R91" i="4"/>
  <c r="R89" i="4"/>
  <c r="R88" i="4"/>
  <c r="R87" i="4"/>
  <c r="R85" i="4"/>
  <c r="R83" i="4"/>
  <c r="R80" i="4"/>
  <c r="R78" i="4"/>
  <c r="R77" i="4"/>
  <c r="R76" i="4"/>
  <c r="R75" i="4"/>
  <c r="R74" i="4"/>
  <c r="R72" i="4"/>
  <c r="R65" i="4"/>
  <c r="Q65" i="4"/>
  <c r="R56" i="4"/>
  <c r="R55" i="4"/>
  <c r="R43" i="4"/>
  <c r="Q43" i="4"/>
  <c r="R25" i="4"/>
  <c r="R7" i="4"/>
  <c r="Q7" i="4"/>
</calcChain>
</file>

<file path=xl/sharedStrings.xml><?xml version="1.0" encoding="utf-8"?>
<sst xmlns="http://schemas.openxmlformats.org/spreadsheetml/2006/main" count="22493" uniqueCount="8027">
  <si>
    <t>Depth 1</t>
  </si>
  <si>
    <t>Depth 2</t>
  </si>
  <si>
    <t>Depth 3</t>
  </si>
  <si>
    <t>화면 ID</t>
  </si>
  <si>
    <t>화면명</t>
  </si>
  <si>
    <t>플랫폼</t>
  </si>
  <si>
    <t>화면 URL/경로</t>
  </si>
  <si>
    <t>로그인 필요</t>
  </si>
  <si>
    <t>권한</t>
  </si>
  <si>
    <t>설명</t>
  </si>
  <si>
    <t>상태</t>
  </si>
  <si>
    <t>비고</t>
  </si>
  <si>
    <t>인증</t>
  </si>
  <si>
    <t>로그인</t>
  </si>
  <si>
    <t>SCR-001</t>
  </si>
  <si>
    <t>Web</t>
  </si>
  <si>
    <t>/login</t>
  </si>
  <si>
    <t>N</t>
  </si>
  <si>
    <t>비회원</t>
  </si>
  <si>
    <t>이메일/비밀번호 로그인 화면. 지점 선택 포함</t>
  </si>
  <si>
    <t>개발완료</t>
  </si>
  <si>
    <t>로그인 유지 체크박스, toast 안내, 에러 자동 클리어 (2026-03-13)</t>
  </si>
  <si>
    <t>대시보드</t>
  </si>
  <si>
    <t>메인</t>
  </si>
  <si>
    <t>SCR-002</t>
  </si>
  <si>
    <t>/</t>
  </si>
  <si>
    <t>Y</t>
  </si>
  <si>
    <t>전체</t>
  </si>
  <si>
    <t>지점별 핵심 KPI 요약 대시보드</t>
  </si>
  <si>
    <t>실데이터 차트, soft delete 필터, 클릭 네비게이션 (2026-03-13)</t>
  </si>
  <si>
    <t>회원관리</t>
  </si>
  <si>
    <t>회원</t>
  </si>
  <si>
    <t>SCR-010</t>
  </si>
  <si>
    <t>회원 목록</t>
  </si>
  <si>
    <t>/members</t>
  </si>
  <si>
    <t>매니저 이상</t>
  </si>
  <si>
    <t>회원 검색/필터/목록 조회</t>
  </si>
  <si>
    <t>상태 변경 모달 개선, 서버사이드 페이지네이션/정렬 (2026-03-13)</t>
  </si>
  <si>
    <t>SCR-011</t>
  </si>
  <si>
    <t>회원 상세</t>
  </si>
  <si>
    <t>/members/detail</t>
  </si>
  <si>
    <t>회원 프로필, 이용권, 출석, 결제, 체성분, 메모 탭</t>
  </si>
  <si>
    <t>Supabase 실데이터, 메모/목표 탭 (2026-03-13)</t>
  </si>
  <si>
    <t>SCR-012</t>
  </si>
  <si>
    <t>회원 등록</t>
  </si>
  <si>
    <t>/members/new</t>
  </si>
  <si>
    <t>신규 회원 등록 폼</t>
  </si>
  <si>
    <t>SCR-013</t>
  </si>
  <si>
    <t>회원 수정</t>
  </si>
  <si>
    <t>/members/edit</t>
  </si>
  <si>
    <t>기존 회원 정보 수정 폼</t>
  </si>
  <si>
    <t>체성분</t>
  </si>
  <si>
    <t>SCR-014</t>
  </si>
  <si>
    <t>체성분 분석</t>
  </si>
  <si>
    <t>/body-composition</t>
  </si>
  <si>
    <t>FC 이상</t>
  </si>
  <si>
    <t>체성분 측정 기록 및 변화 추이 차트</t>
  </si>
  <si>
    <t>차트 Supabase 연동 (2026-03-13)</t>
  </si>
  <si>
    <t>출석/일정</t>
  </si>
  <si>
    <t>출석</t>
  </si>
  <si>
    <t>SCR-020</t>
  </si>
  <si>
    <t>출석 기록</t>
  </si>
  <si>
    <t>/attendance</t>
  </si>
  <si>
    <t>스태프 이상</t>
  </si>
  <si>
    <t>회원 출석 현황 조회 (일별/주별/월별)</t>
  </si>
  <si>
    <t>날짜 필터 DataTable 연동, 키보드 접근성 개선 (2026-03-13)</t>
  </si>
  <si>
    <t>일정</t>
  </si>
  <si>
    <t>SCR-021</t>
  </si>
  <si>
    <t>일정 관리</t>
  </si>
  <si>
    <t>/calendar</t>
  </si>
  <si>
    <t>PT/GX 일정 캘린더 뷰</t>
  </si>
  <si>
    <t>FullCalendar 드래그앤드롭 리뉴얼 (2026-03-13)</t>
  </si>
  <si>
    <t>매출/결제</t>
  </si>
  <si>
    <t>매출</t>
  </si>
  <si>
    <t>SCR-030</t>
  </si>
  <si>
    <t>매출 조회</t>
  </si>
  <si>
    <t>/sales</t>
  </si>
  <si>
    <t>매출 현황 조회, 필터, 통계 요약</t>
  </si>
  <si>
    <t>탭별 집계 뷰 (기간/상품/결제수단/담당자) (2026-03-13)</t>
  </si>
  <si>
    <t>POS</t>
  </si>
  <si>
    <t>SCR-031</t>
  </si>
  <si>
    <t>/pos</t>
  </si>
  <si>
    <t>POS 상품 선택 및 장바구니</t>
  </si>
  <si>
    <t>장바구니 UX, ConfirmDialog 적용 (2026-03-13)</t>
  </si>
  <si>
    <t>SCR-032</t>
  </si>
  <si>
    <t>POS 결제</t>
  </si>
  <si>
    <t>/pos/payment</t>
  </si>
  <si>
    <t>결제 수단 선택 및 결제 처리</t>
  </si>
  <si>
    <t>window.confirm → ConfirmDialog 개선 (2026-03-13)</t>
  </si>
  <si>
    <t>상품관리</t>
  </si>
  <si>
    <t>상품</t>
  </si>
  <si>
    <t>SCR-040</t>
  </si>
  <si>
    <t>상품 목록</t>
  </si>
  <si>
    <t>/products</t>
  </si>
  <si>
    <t>이용권/PT/기타 상품 목록</t>
  </si>
  <si>
    <t>SCR-041</t>
  </si>
  <si>
    <t>상품 등록</t>
  </si>
  <si>
    <t>/products/new</t>
  </si>
  <si>
    <t>센터장 이상</t>
  </si>
  <si>
    <t>신규 상품 등록 폼</t>
  </si>
  <si>
    <t>시설관리</t>
  </si>
  <si>
    <t>락커</t>
  </si>
  <si>
    <t>SCR-050</t>
  </si>
  <si>
    <t>락커 현황</t>
  </si>
  <si>
    <t>/locker</t>
  </si>
  <si>
    <t>락커 구역별 배정 현황 (색상 그리드)</t>
  </si>
  <si>
    <t>락커 DB 동기화, 그리드 접근성, 모달 통일 (2026-03-13)</t>
  </si>
  <si>
    <t>SCR-051</t>
  </si>
  <si>
    <t>락커 관리</t>
  </si>
  <si>
    <t>/locker/management</t>
  </si>
  <si>
    <t>락커 배정/해제/일괄 관리</t>
  </si>
  <si>
    <t>만료일 동적 계산 + date picker (2026-03-13)</t>
  </si>
  <si>
    <t>RFID</t>
  </si>
  <si>
    <t>SCR-052</t>
  </si>
  <si>
    <t>RFID 관리</t>
  </si>
  <si>
    <t>/rfid</t>
  </si>
  <si>
    <t>RFID 카드 등록/해제/이력 조회</t>
  </si>
  <si>
    <t>날짜 필터 동적화. DB 테이블 생성 예정 (2026-03-13)</t>
  </si>
  <si>
    <t>룸</t>
  </si>
  <si>
    <t>SCR-053</t>
  </si>
  <si>
    <t>룸 관리</t>
  </si>
  <si>
    <t>/rooms</t>
  </si>
  <si>
    <t>GX룸/PT룸 관리 및 예약 설정</t>
  </si>
  <si>
    <t>직원관리</t>
  </si>
  <si>
    <t>직원</t>
  </si>
  <si>
    <t>SCR-060</t>
  </si>
  <si>
    <t>직원 목록</t>
  </si>
  <si>
    <t>/staff</t>
  </si>
  <si>
    <t>직원 검색/필터/목록 조회</t>
  </si>
  <si>
    <t>페이지네이션 동작 수정, 퇴사 ConfirmDialog (2026-03-13)</t>
  </si>
  <si>
    <t>SCR-061</t>
  </si>
  <si>
    <t>직원 등록</t>
  </si>
  <si>
    <t>/staff/new</t>
  </si>
  <si>
    <t>신규 직원 등록 폼</t>
  </si>
  <si>
    <t>급여</t>
  </si>
  <si>
    <t>SCR-062</t>
  </si>
  <si>
    <t>급여 현황</t>
  </si>
  <si>
    <t>/payroll</t>
  </si>
  <si>
    <t>월별 급여 현황 요약</t>
  </si>
  <si>
    <t>페이지네이션 동작 수정, 필터 시 페이지 리셋 (2026-03-13)</t>
  </si>
  <si>
    <t>SCR-063</t>
  </si>
  <si>
    <t>급여명세서</t>
  </si>
  <si>
    <t>/payroll/statements</t>
  </si>
  <si>
    <t>직원별 급여명세서 상세</t>
  </si>
  <si>
    <t>메시지/마케팅</t>
  </si>
  <si>
    <t>메시지</t>
  </si>
  <si>
    <t>SCR-070</t>
  </si>
  <si>
    <t>메시지 발송</t>
  </si>
  <si>
    <t>/message</t>
  </si>
  <si>
    <t>SMS/카카오톡 메시지 발송</t>
  </si>
  <si>
    <t>수신자 수 실데이터, Toggle 공통화 (2026-03-13)</t>
  </si>
  <si>
    <t>자동알림</t>
  </si>
  <si>
    <t>SCR-071</t>
  </si>
  <si>
    <t>자동 알림</t>
  </si>
  <si>
    <t>/message/auto-alarm</t>
  </si>
  <si>
    <t>자동 알림 규칙 설정 (만료/생일 등)</t>
  </si>
  <si>
    <t>탭 UI 개선. localStorage 설정 저장 (2026-03-13)</t>
  </si>
  <si>
    <t>쿠폰</t>
  </si>
  <si>
    <t>SCR-072</t>
  </si>
  <si>
    <t>쿠폰 관리</t>
  </si>
  <si>
    <t>/message/coupon</t>
  </si>
  <si>
    <t>쿠폰 생성/발급/이력 관리</t>
  </si>
  <si>
    <t>CRUD Supabase 연동 (2026-03-13)</t>
  </si>
  <si>
    <t>마일리지</t>
  </si>
  <si>
    <t>SCR-073</t>
  </si>
  <si>
    <t>마일리지 관리</t>
  </si>
  <si>
    <t>/mileage</t>
  </si>
  <si>
    <t>회원 마일리지 적립/사용 이력</t>
  </si>
  <si>
    <t>이력 탭 엑셀 다운로드 구현 (2026-03-13)</t>
  </si>
  <si>
    <t>계약/구독</t>
  </si>
  <si>
    <t>계약</t>
  </si>
  <si>
    <t>SCR-080</t>
  </si>
  <si>
    <t>계약 마법사</t>
  </si>
  <si>
    <t>/contracts/new</t>
  </si>
  <si>
    <t>단계별 계약 등록 위자드</t>
  </si>
  <si>
    <t>전자서명 (양방향) Canvas 구현 (2026-03-13)</t>
  </si>
  <si>
    <t>구독</t>
  </si>
  <si>
    <t>SCR-081</t>
  </si>
  <si>
    <t>구독 관리</t>
  </si>
  <si>
    <t>/subscription</t>
  </si>
  <si>
    <t>정기 구독 상품 관리</t>
  </si>
  <si>
    <t>구독 플랜 카드 UI (2026-03-13)</t>
  </si>
  <si>
    <t>설정</t>
  </si>
  <si>
    <t>SCR-090</t>
  </si>
  <si>
    <t>/settings</t>
  </si>
  <si>
    <t>시스템 기본 설정</t>
  </si>
  <si>
    <t>센터 설정 Supabase 연동. 토큰 정리 (2026-03-13)</t>
  </si>
  <si>
    <t>SCR-091</t>
  </si>
  <si>
    <t>권한 설정</t>
  </si>
  <si>
    <t>/settings/permissions</t>
  </si>
  <si>
    <t>최고관리자</t>
  </si>
  <si>
    <t>역할별 메뉴/기능 권한 매트릭스</t>
  </si>
  <si>
    <t>역할별 권한 매트릭스 UI (2026-03-13)</t>
  </si>
  <si>
    <t>키오스크</t>
  </si>
  <si>
    <t>SCR-092</t>
  </si>
  <si>
    <t>키오스크 설정</t>
  </si>
  <si>
    <t>/settings/kiosk</t>
  </si>
  <si>
    <t>키오스크 디스플레이/동작 설정</t>
  </si>
  <si>
    <t>placeholder URL 제거, 빈 상태 UI (2026-03-13)</t>
  </si>
  <si>
    <t>IoT</t>
  </si>
  <si>
    <t>SCR-093</t>
  </si>
  <si>
    <t>IoT 설정</t>
  </si>
  <si>
    <t>/settings/iot</t>
  </si>
  <si>
    <t>출입문/체성분 기기 연동 설정</t>
  </si>
  <si>
    <t>기기 CRUD Mock. DB 테이블 생성 예정 (2026-03-13)</t>
  </si>
  <si>
    <t>지점</t>
  </si>
  <si>
    <t>SCR-094</t>
  </si>
  <si>
    <t>지점 관리</t>
  </si>
  <si>
    <t>/branches</t>
  </si>
  <si>
    <t>지점 CRUD 및 멀티테넌트 관리</t>
  </si>
  <si>
    <t>하드코딩 날짜→동적 변환 (2026-03-13)</t>
  </si>
  <si>
    <t>GX 예약</t>
  </si>
  <si>
    <t>SCR-022</t>
  </si>
  <si>
    <t>GX 예약 관리</t>
  </si>
  <si>
    <t>/schedule/gx-booking</t>
  </si>
  <si>
    <t>GX 프로그램 예약 오픈/관리. N시간 전 자동 오픈, 노쇼 페널티, 출석체크 연동</t>
  </si>
  <si>
    <t>신규</t>
  </si>
  <si>
    <t>레슨북/온핏 장점 반영</t>
  </si>
  <si>
    <t>좌석 예약</t>
  </si>
  <si>
    <t>SCR-023</t>
  </si>
  <si>
    <t>좌석 예약 관리</t>
  </si>
  <si>
    <t>/schedule/seat-booking</t>
  </si>
  <si>
    <t>스피닝/GX 좌석 지정 예약. 바이크 번호별 예약/고장 관리</t>
  </si>
  <si>
    <t>판교점/용산점 요구사항</t>
  </si>
  <si>
    <t>레슨 관리</t>
  </si>
  <si>
    <t>SCR-024</t>
  </si>
  <si>
    <t>레슨 기록/서명</t>
  </si>
  <si>
    <t>/schedule/lesson</t>
  </si>
  <si>
    <t>트레이너 이상</t>
  </si>
  <si>
    <t>PT/골프 레슨 기록, 고객 서명 확인, 수업 진위 관리</t>
  </si>
  <si>
    <t>레슨북 장점 반영</t>
  </si>
  <si>
    <t>타석</t>
  </si>
  <si>
    <t>SCR-054</t>
  </si>
  <si>
    <t>골프 타석 관리</t>
  </si>
  <si>
    <t>/facility/golf-bay</t>
  </si>
  <si>
    <t>골프 타석 예약/대기/제어. 꼬리물기 예약, 시간관리</t>
  </si>
  <si>
    <t>대치점 브로제이 장점 반영</t>
  </si>
  <si>
    <t>전원제어</t>
  </si>
  <si>
    <t>SCR-055</t>
  </si>
  <si>
    <t>기기 전원 제어</t>
  </si>
  <si>
    <t>/facility/power-control</t>
  </si>
  <si>
    <t>키오스크/프로젝터 원격 전원 ON/OFF, 스케줄 자동 제어</t>
  </si>
  <si>
    <t>고척점/대치점 핵심 요구사항</t>
  </si>
  <si>
    <t>수건/운동복</t>
  </si>
  <si>
    <t>SCR-056</t>
  </si>
  <si>
    <t>수건/운동복 관리</t>
  </si>
  <si>
    <t>/facility/towel</t>
  </si>
  <si>
    <t>수건/운동복 발급 관리. QR/안면인식 연동, 수량 제한, 사용량 통계</t>
  </si>
  <si>
    <t>양천향교점 벤치마크</t>
  </si>
  <si>
    <t>FC 알림</t>
  </si>
  <si>
    <t>SCR-015</t>
  </si>
  <si>
    <t>FC 즐겨찾기/알림</t>
  </si>
  <si>
    <t>/members/fc-alert</t>
  </si>
  <si>
    <t>담당 FC별 즐겨찾기 회원 등록, 방문 시 실시간 알림, 임박회원 자동 알림</t>
  </si>
  <si>
    <t>대치점 온핏 핵심 기능</t>
  </si>
  <si>
    <t>키오스크 타입</t>
  </si>
  <si>
    <t>SCR-095</t>
  </si>
  <si>
    <t>키오스크 타입 설정</t>
  </si>
  <si>
    <t>/settings/kiosk-type</t>
  </si>
  <si>
    <t>키오스크 타입(결제형/비결제형) 지점별 설정. UI 화면 구성 분기</t>
  </si>
  <si>
    <t>판교점 인터뷰 반영</t>
  </si>
  <si>
    <t>오프라인</t>
  </si>
  <si>
    <t>SCR-096</t>
  </si>
  <si>
    <t>오프라인 모드 설정</t>
  </si>
  <si>
    <t>/settings/offline</t>
  </si>
  <si>
    <t>네트워크 장애 시 로컬 모드 동작 설정. 자동 동기화 정책</t>
  </si>
  <si>
    <t>전 지점 공통 요구사항</t>
  </si>
  <si>
    <t>통합 내보내기</t>
  </si>
  <si>
    <t>SCR-033</t>
  </si>
  <si>
    <t>데이터 통합 내보내기</t>
  </si>
  <si>
    <t>/sales/export</t>
  </si>
  <si>
    <t>모든 데이터 원장 엑셀 내보내기. 권한별 컬럼 필터, 전체 필드 포함</t>
  </si>
  <si>
    <t>고척점 레슨북 장점 반영</t>
  </si>
  <si>
    <t>입장</t>
  </si>
  <si>
    <t>SCR-K01</t>
  </si>
  <si>
    <t>키오스크 입장</t>
  </si>
  <si>
    <t>Kiosk</t>
  </si>
  <si>
    <t>/kiosk/entry</t>
  </si>
  <si>
    <t>회원 입장 화면. 얼굴인식/전화번호/NFC 밴드 입장. 지점별 타입(A/B) 분기</t>
  </si>
  <si>
    <t>대치점 브로제이 벤치마크</t>
  </si>
  <si>
    <t>퇴장</t>
  </si>
  <si>
    <t>SCR-K02</t>
  </si>
  <si>
    <t>키오스크 퇴장</t>
  </si>
  <si>
    <t>/kiosk/exit</t>
  </si>
  <si>
    <t>회원 퇴장 처리. 라커 자동 해제, 이용시간 기록</t>
  </si>
  <si>
    <t>판교점 온핏</t>
  </si>
  <si>
    <t>골프 예약</t>
  </si>
  <si>
    <t>SCR-K03</t>
  </si>
  <si>
    <t>키오스크 골프 타석 예약</t>
  </si>
  <si>
    <t>/kiosk/golf-booking</t>
  </si>
  <si>
    <t>골프 타석 예약/대기. 빈 타석 표시, 꼬리물기 예약, 잔여시간(시:분 표시)</t>
  </si>
  <si>
    <t>대치점 브로제이</t>
  </si>
  <si>
    <t>사물함</t>
  </si>
  <si>
    <t>SCR-K04</t>
  </si>
  <si>
    <t>키오스크 사물함 확인</t>
  </si>
  <si>
    <t>/kiosk/locker</t>
  </si>
  <si>
    <t>배정된 라커 번호 확인. 영수증 출력(대치점 방식)</t>
  </si>
  <si>
    <t>대치점</t>
  </si>
  <si>
    <t>1일권 결제</t>
  </si>
  <si>
    <t>SCR-K05</t>
  </si>
  <si>
    <t>키오스크 1일권 결제</t>
  </si>
  <si>
    <t>/kiosk/day-pass</t>
  </si>
  <si>
    <t>1일권/시간권 현장 결제(타입B 전용). 가상 회원ID 자동 생성, 카드/간편결제</t>
  </si>
  <si>
    <t>판교점 인터뷰</t>
  </si>
  <si>
    <t>SCR-K06</t>
  </si>
  <si>
    <t>키오스크 GX 예약</t>
  </si>
  <si>
    <t>/kiosk/gx-booking</t>
  </si>
  <si>
    <t>GX 프로그램 예약/취소. 잔여 좌석 표시, 좌석 선택(스피닝)</t>
  </si>
  <si>
    <t>골프 입장</t>
  </si>
  <si>
    <t>SCR-K07</t>
  </si>
  <si>
    <t>키오스크 골프 타석 입장</t>
  </si>
  <si>
    <t>/kiosk/golf-entry</t>
  </si>
  <si>
    <t>예약한 골프 타석 입장. 전화번호 인증 → 스크린 잠금 해제 → 이용 시작</t>
  </si>
  <si>
    <t>회원앱</t>
  </si>
  <si>
    <t>홈</t>
  </si>
  <si>
    <t>SCR-M01</t>
  </si>
  <si>
    <t>앱 홈</t>
  </si>
  <si>
    <t>App</t>
  </si>
  <si>
    <t>/app/home</t>
  </si>
  <si>
    <t>회원 앱 메인. 이용권 잔여일, 출석 현황, 예약 내역, 공지사항</t>
  </si>
  <si>
    <t>입장/퇴장</t>
  </si>
  <si>
    <t>SCR-M02</t>
  </si>
  <si>
    <t>앱 QR 입장</t>
  </si>
  <si>
    <t>/app/checkin</t>
  </si>
  <si>
    <t>QR코드/NFC 기반 센터 입장. 라커 번호 표시, 입장 시간 기록</t>
  </si>
  <si>
    <t>SCR-M03</t>
  </si>
  <si>
    <t>앱 GX 예약</t>
  </si>
  <si>
    <t>/app/gx-booking</t>
  </si>
  <si>
    <t>GX 프로그램 예약/취소. 주간 시간표, 잔여석, 좌석 선택(스피닝 배치도)</t>
  </si>
  <si>
    <t>판교점 온핏 앱</t>
  </si>
  <si>
    <t>SCR-M04</t>
  </si>
  <si>
    <t>앱 골프 타석 예약</t>
  </si>
  <si>
    <t>/app/golf-booking</t>
  </si>
  <si>
    <t>골프 타석 원격 예약/대기. 실시간 타석 현황, 잔여시간(시:분), 푸시 알림</t>
  </si>
  <si>
    <t>고척점 레슨북</t>
  </si>
  <si>
    <t>레슨 예약</t>
  </si>
  <si>
    <t>SCR-M05</t>
  </si>
  <si>
    <t>앱 레슨 예약/서명</t>
  </si>
  <si>
    <t>/app/lesson</t>
  </si>
  <si>
    <t>PT/골프 레슨 예약, 수업 후 서명 확인, 레슨 기록 열람, 잔여 횟수 확인</t>
  </si>
  <si>
    <t>내 정보</t>
  </si>
  <si>
    <t>SCR-M06</t>
  </si>
  <si>
    <t>앱 내 정보</t>
  </si>
  <si>
    <t>/app/profile</t>
  </si>
  <si>
    <t>이용권 현황, 결제 내역, 출석 이력, 체성분 변화 추이, 포인트/쿠폰</t>
  </si>
  <si>
    <t>알림</t>
  </si>
  <si>
    <t>SCR-M07</t>
  </si>
  <si>
    <t>앱 알림 센터</t>
  </si>
  <si>
    <t>/app/notifications</t>
  </si>
  <si>
    <t>예약 리마인드, 이용권 만료 안내, 프로모션, GX 오픈 알림</t>
  </si>
  <si>
    <t>트레이너앱</t>
  </si>
  <si>
    <t>SCR-T01</t>
  </si>
  <si>
    <t>트레이너 앱 홈</t>
  </si>
  <si>
    <t>/trainer/home</t>
  </si>
  <si>
    <t>트레이너</t>
  </si>
  <si>
    <t>오늘의 수업 목록, 예약 현황, 미완료 레슨 기록 알림</t>
  </si>
  <si>
    <t>스케줄</t>
  </si>
  <si>
    <t>SCR-T02</t>
  </si>
  <si>
    <t>트레이너 스케줄</t>
  </si>
  <si>
    <t>/trainer/schedule</t>
  </si>
  <si>
    <t>주간/월간 수업 캘린더. 수업 상세, 회원 정보, 예약/취소/노쇼 표시</t>
  </si>
  <si>
    <t>레슨 기록</t>
  </si>
  <si>
    <t>SCR-T03</t>
  </si>
  <si>
    <t>트레이너 레슨 기록</t>
  </si>
  <si>
    <t>/trainer/lesson-record</t>
  </si>
  <si>
    <t>수업 내용 작성(텍스트/템플릿), 고객 터치 서명, 사진 첨부, 수업 완료 처리</t>
  </si>
  <si>
    <t>회원 관리</t>
  </si>
  <si>
    <t>SCR-T04</t>
  </si>
  <si>
    <t>트레이너 담당 회원</t>
  </si>
  <si>
    <t>/trainer/members</t>
  </si>
  <si>
    <t>담당 회원 목록, 잔여 횟수, 레슨 이력, 다음 예약, 메모</t>
  </si>
  <si>
    <t>FC앱</t>
  </si>
  <si>
    <t>SCR-F01</t>
  </si>
  <si>
    <t>FC 앱 홈</t>
  </si>
  <si>
    <t>/fc/home</t>
  </si>
  <si>
    <t>FC</t>
  </si>
  <si>
    <t>오늘 방문 알림, 임박 회원 목록, 개인 매출 현황, 상담 일정</t>
  </si>
  <si>
    <t>대치점 온핏</t>
  </si>
  <si>
    <t>즐겨찾기</t>
  </si>
  <si>
    <t>SCR-F02</t>
  </si>
  <si>
    <t>FC 즐겨찾기 알림</t>
  </si>
  <si>
    <t>/fc/favorites</t>
  </si>
  <si>
    <t>즐겨찾기 회원 관리, 방문 실시간 푸시 알림, 잔여일/미납 표시, 상담 메모</t>
  </si>
  <si>
    <t>대치점 온핏 핵심</t>
  </si>
  <si>
    <t>회원 상담</t>
  </si>
  <si>
    <t>SCR-F03</t>
  </si>
  <si>
    <t>FC 회원 상담 기록</t>
  </si>
  <si>
    <t>/fc/consultation</t>
  </si>
  <si>
    <t>상담 내용 기록, 재등록 상담 이력, 실적 귀속 확인, 프로모션 안내</t>
  </si>
  <si>
    <t>서교점 인터뷰</t>
  </si>
  <si>
    <t>SCR-F04</t>
  </si>
  <si>
    <t>FC 개인 매출</t>
  </si>
  <si>
    <t>/fc/sales</t>
  </si>
  <si>
    <t>개인 매출/팀 매출 현황, 실적 담당 건 목록, 월별 추이, 목표 달성률</t>
  </si>
  <si>
    <t>수업관리</t>
  </si>
  <si>
    <t>수업</t>
  </si>
  <si>
    <t>수업 관리</t>
  </si>
  <si>
    <t>/lessons</t>
  </si>
  <si>
    <t>수업 등록/수정/삭제, 강사 배정, 정원 관리</t>
  </si>
  <si>
    <t>BROJ CRM 이식 (2026-03-18)</t>
  </si>
  <si>
    <t>횟수 관리</t>
  </si>
  <si>
    <t>/lesson-counts</t>
  </si>
  <si>
    <t>수강권 횟수 차감 관리</t>
  </si>
  <si>
    <t>BROJ CRM 이식</t>
  </si>
  <si>
    <t>페널티 관리</t>
  </si>
  <si>
    <t>/penalties</t>
  </si>
  <si>
    <t>노쇼/지각 페널티 관리</t>
  </si>
  <si>
    <t>매출관리</t>
  </si>
  <si>
    <t>환불 관리</t>
  </si>
  <si>
    <t>/refunds</t>
  </si>
  <si>
    <t>관리자 이상</t>
  </si>
  <si>
    <t>환불 내역 조회/관리</t>
  </si>
  <si>
    <t>미수금 관리</t>
  </si>
  <si>
    <t>SCR-074</t>
  </si>
  <si>
    <t>/unpaid</t>
  </si>
  <si>
    <t>미결제 내역 추적/관리</t>
  </si>
  <si>
    <t>매출 통계</t>
  </si>
  <si>
    <t>SCR-075</t>
  </si>
  <si>
    <t>/sales/stats</t>
  </si>
  <si>
    <t>상품별/결제수단별/종목별 매출 분석</t>
  </si>
  <si>
    <t>시설</t>
  </si>
  <si>
    <t>운동복 관리</t>
  </si>
  <si>
    <t>SCR-076</t>
  </si>
  <si>
    <t>/clothing</t>
  </si>
  <si>
    <t>운동복 재고/대여/세탁/파손 관리</t>
  </si>
  <si>
    <t>스토리 ID</t>
  </si>
  <si>
    <t>에픽</t>
  </si>
  <si>
    <t>사용자 유형</t>
  </si>
  <si>
    <t>사용자 스토리</t>
  </si>
  <si>
    <t>인수 조건</t>
  </si>
  <si>
    <t>우선순위</t>
  </si>
  <si>
    <t>사이즈</t>
  </si>
  <si>
    <t>담당자</t>
  </si>
  <si>
    <t>[자동] 화면명</t>
  </si>
  <si>
    <t>[자동] 기능 수</t>
  </si>
  <si>
    <t>US-001</t>
  </si>
  <si>
    <t>비회원으로서 이메일/비밀번호로 로그인하여 시스템에 접근하고 싶다</t>
  </si>
  <si>
    <t>1) 올바른 이메일/비밀번호 입력 시 대시보드로 이동
2) 5회 실패 시 계정 잠금
3) 지점 선택 후 해당 지점 데이터만 표시</t>
  </si>
  <si>
    <t>Critical</t>
  </si>
  <si>
    <t>S</t>
  </si>
  <si>
    <t>개발자1</t>
  </si>
  <si>
    <t>Done</t>
  </si>
  <si>
    <t>US-002</t>
  </si>
  <si>
    <t>센터장</t>
  </si>
  <si>
    <t>센터장으로서 대시보드에서 지점 핵심 KPI를 한눈에 파악하고 싶다</t>
  </si>
  <si>
    <t>1) 총회원/활성/만료임박/만료 회원 수 카드 표시
2) 오늘 생일 회원 리스트
3) 미납 회원 리스트
4) 당월 매출 차트</t>
  </si>
  <si>
    <t>M</t>
  </si>
  <si>
    <t>US-003</t>
  </si>
  <si>
    <t>매니저</t>
  </si>
  <si>
    <t>매니저로서 회원을 검색/필터하여 원하는 회원을 빠르게 찾고 싶다</t>
  </si>
  <si>
    <t>1) 이름/연락처/회원번호로 검색
2) 상태/성별/담당자 필터
3) 엑셀 다운로드 가능</t>
  </si>
  <si>
    <t>US-004</t>
  </si>
  <si>
    <t>매니저로서 신규 회원을 등록하고 싶다</t>
  </si>
  <si>
    <t>1) 필수 항목(이름/연락처/성별) 입력
2) 담당 FC 배정
3) 등록 완료 시 회원 상세로 이동</t>
  </si>
  <si>
    <t>US-005</t>
  </si>
  <si>
    <t>매니저로서 회원 상세 정보와 이용 이력을 확인하고 싶다</t>
  </si>
  <si>
    <t>1) 프로필/이용권/출석/결제/체성분/메모 탭 구성
2) 이용권 만료일 강조 표시
3) 출석 히트맵</t>
  </si>
  <si>
    <t>High</t>
  </si>
  <si>
    <t>L</t>
  </si>
  <si>
    <t>US-006</t>
  </si>
  <si>
    <t>매니저로서 회원 정보를 수정하고 싶다</t>
  </si>
  <si>
    <t>1) 기존 정보 프리필
2) 변경 이력 자동 기록
3) 담당자 변경 가능</t>
  </si>
  <si>
    <t>US-007</t>
  </si>
  <si>
    <t>FC로서 회원의 체성분 측정 결과를 기록하고 변화 추이를 분석하고 싶다</t>
  </si>
  <si>
    <t>1) 체중/골격근/체지방률 등 입력
2) 측정일 기준 변화 차트
3) 목표 대비 달성률 표시</t>
  </si>
  <si>
    <t>개발자2</t>
  </si>
  <si>
    <t>US-008</t>
  </si>
  <si>
    <t>출석관리</t>
  </si>
  <si>
    <t>스태프</t>
  </si>
  <si>
    <t>스태프로서 회원의 출석 현황을 조회하고 싶다</t>
  </si>
  <si>
    <t>1) 일별/주별/월별 출석 조회
2) 출석 유형(일반/PT/GX) 구분
3) 타지점 출석 표시</t>
  </si>
  <si>
    <t>US-009</t>
  </si>
  <si>
    <t>스태프로서 PT/GX 일정을 캘린더로 관리하고 싶다</t>
  </si>
  <si>
    <t>1) 월/주/일 캘린더 뷰
2) 드래그앤드롭 일정 변경
3) 트레이너별 필터</t>
  </si>
  <si>
    <t>US-010</t>
  </si>
  <si>
    <t>매니저로서 매출 현황을 조회하고 통계를 확인하고 싶다</t>
  </si>
  <si>
    <t>1) 기간별 매출 필터
2) 유형별(이용권/PT/상품) 분류
3) 총매출/현금/카드/마일리지 요약
4) 엑셀 다운로드</t>
  </si>
  <si>
    <t>US-011</t>
  </si>
  <si>
    <t>스태프로서 POS에서 상품을 선택하고 결제를 처리하고 싶다</t>
  </si>
  <si>
    <t>1) 카테고리별 상품 그리드
2) 장바구니 담기/수량 변경
3) 현금/카드/마일리지 복합결제
4) 영수증 출력</t>
  </si>
  <si>
    <t>XL</t>
  </si>
  <si>
    <t>US-012</t>
  </si>
  <si>
    <t>매니저로서 상품 목록을 조회하고 관리하고 싶다</t>
  </si>
  <si>
    <t>1) 카테고리별 필터
2) 키오스크 노출 여부 토글
3) 상품 상태(판매중/중지) 관리</t>
  </si>
  <si>
    <t>US-013</t>
  </si>
  <si>
    <t>센터장으로서 신규 상품을 등록하고 싶다</t>
  </si>
  <si>
    <t>1) 카테고리/이름/가격/기간 입력
2) 현금가/카드가 별도 설정
3) 키오스크 노출 설정</t>
  </si>
  <si>
    <t>US-014</t>
  </si>
  <si>
    <t>스태프로서 락커 배정 현황을 한눈에 파악하고 싶다</t>
  </si>
  <si>
    <t>1) 구역별 락커 그리드 (색상으로 상태 구분)
2) 사용중/빈락커/만료임박 구분
3) 클릭 시 상세 모달</t>
  </si>
  <si>
    <t>US-015</t>
  </si>
  <si>
    <t>매니저로서 락커를 회원에게 배정/해제하고 싶다</t>
  </si>
  <si>
    <t>1) 회원 검색 후 빈 락커 배정
2) 만료일 설정
3) 일괄 해제 기능</t>
  </si>
  <si>
    <t>US-016</t>
  </si>
  <si>
    <t>매니저로서 RFID 카드를 관리하고 싶다</t>
  </si>
  <si>
    <t>1) RFID 카드 등록/해제
2) 회원-카드 매핑
3) 분실 처리</t>
  </si>
  <si>
    <t>Medium</t>
  </si>
  <si>
    <t>US-017</t>
  </si>
  <si>
    <t>매니저로서 GX룸/PT룸을 관리하고 싶다</t>
  </si>
  <si>
    <t>1) 룸 등록/수정/삭제
2) 수용 인원 설정
3) 예약 가능 시간대 설정</t>
  </si>
  <si>
    <t>US-018</t>
  </si>
  <si>
    <t>센터장으로서 직원 목록을 조회하고 싶다</t>
  </si>
  <si>
    <t>1) 역할/상태별 필터
2) 검색 기능
3) 직원 상세 이동</t>
  </si>
  <si>
    <t>US-019</t>
  </si>
  <si>
    <t>센터장으로서 신규 직원을 등록하고 싶다</t>
  </si>
  <si>
    <t>1) 이름/역할/연락처/입사일 입력
2) 관리자 계정 생성
3) 근무 유형 설정</t>
  </si>
  <si>
    <t>US-020</t>
  </si>
  <si>
    <t>센터장으로서 월별 급여 현황을 확인하고 싶다</t>
  </si>
  <si>
    <t>1) 월별 급여 요약
2) 기본급/인센티브/공제 내역
3) 지급 상태 관리</t>
  </si>
  <si>
    <t>US-021</t>
  </si>
  <si>
    <t>센터장으로서 직원별 급여명세서를 확인하고 싶다</t>
  </si>
  <si>
    <t>1) 직원별 상세 급여명세서
2) PDF 다운로드
3) 이력 조회</t>
  </si>
  <si>
    <t>US-022</t>
  </si>
  <si>
    <t>매니저로서 회원에게 SMS/카카오톡 메시지를 발송하고 싶다</t>
  </si>
  <si>
    <t>1) 수신자 선택 (개별/그룹/전체)
2) 메시지 유형 선택
3) 발송 이력 조회</t>
  </si>
  <si>
    <t>US-023</t>
  </si>
  <si>
    <t>매니저로서 자동 알림 규칙을 설정하고 싶다</t>
  </si>
  <si>
    <t>1) 만료 D-7/D-3/D-1 알림
2) 생일 축하 알림
3) 장기 미출석 알림</t>
  </si>
  <si>
    <t>US-024</t>
  </si>
  <si>
    <t>매니저로서 쿠폰을 생성하고 발급하고 싶다</t>
  </si>
  <si>
    <t>1) 할인율/금액 쿠폰 생성
2) 유효기간 설정
3) 사용 이력 추적</t>
  </si>
  <si>
    <t>US-025</t>
  </si>
  <si>
    <t>매니저로서 회원 마일리지를 관리하고 싶다</t>
  </si>
  <si>
    <t>1) 마일리지 적립/차감
2) 잔액 조회
3) 이력 조회</t>
  </si>
  <si>
    <t>US-026</t>
  </si>
  <si>
    <t>매니저로서 단계별 계약 등록을 하고 싶다</t>
  </si>
  <si>
    <t>1) 회원 선택 → 상품 선택 → 기간/금액 설정 → 결제 → 확인
2) 계약서 자동 생성</t>
  </si>
  <si>
    <t>US-027</t>
  </si>
  <si>
    <t>센터장으로서 정기 구독 상품을 관리하고 싶다</t>
  </si>
  <si>
    <t>1) 구독 상품 CRUD
2) 자동 결제 설정
3) 구독 현황 대시보드</t>
  </si>
  <si>
    <t>US-028</t>
  </si>
  <si>
    <t>설정/권한</t>
  </si>
  <si>
    <t>센터장으로서 시스템 기본 설정을 변경하고 싶다</t>
  </si>
  <si>
    <t>1) 센터명/영업시간/연락처 설정
2) 알림 설정
3) 테마 설정</t>
  </si>
  <si>
    <t>US-029</t>
  </si>
  <si>
    <t>최고관리자로서 역할별 권한을 세밀하게 설정하고 싶다</t>
  </si>
  <si>
    <t>1) 6단계 역할별 메뉴 접근 권한
2) 기능별 읽기/쓰기/삭제 권한
3) 변경 이력 로그</t>
  </si>
  <si>
    <t>US-030</t>
  </si>
  <si>
    <t>최고관리자로서 지점을 추가/관리하고 싶다</t>
  </si>
  <si>
    <t>1) 지점 CRUD
2) 지점별 독립 데이터
3) 지점 간 회원 이동 처리</t>
  </si>
  <si>
    <t>US-031</t>
  </si>
  <si>
    <t>매니저로서 GX 수업 예약을 N시간 전 자동 오픈 설정하여 수작업을 줄이고 싶다</t>
  </si>
  <si>
    <t>1) 수업별 예약 오픈 시간(N시간 전) 설정 가능
2) 일괄 오픈(매주 특정 요일/시간) 설정 가능
3) 강사 변경 시 기간 지정 일괄 변경 가능
4) 예약 오픈 시 회원 앱 알림 발송</t>
  </si>
  <si>
    <t>To Do</t>
  </si>
  <si>
    <t>US-032</t>
  </si>
  <si>
    <t>매니저로서 GX 출석을 QR/NFC로 자동 체크하여 노쇼를 정확히 파악하고 싶다</t>
  </si>
  <si>
    <t>1) QR/NFC 스캔으로 출석 자동 기록
2) 센터 입장 + 프로그램 예약 매칭 자동 출석
3) 노쇼 자동 감지 및 페널티 처리
4) 비예약자 참석 시 FC 알림</t>
  </si>
  <si>
    <t>US-033</t>
  </si>
  <si>
    <t>회원으로서 스피닝 수업 예약 시 원하는 바이크 좌석을 선택하고 싶다</t>
  </si>
  <si>
    <t>1) 바이크 배치도에서 원하는 좌석 선택 가능
2) 고장 좌석 비활성화 표시(선택 불가)
3) 예약 순서에 따른 좌석 선택 우선권</t>
  </si>
  <si>
    <t>US-034</t>
  </si>
  <si>
    <t>트레이너로서 레슨 완료 후 고객 서명을 받아 수업 진위를 증명하고 싶다</t>
  </si>
  <si>
    <t>1) 수업 내용 기록 + 고객 터치 서명
2) 서명 완료 시 수업 확정
3) 모바일에서도 서명 가능
4) 서명 이력 조회 가능</t>
  </si>
  <si>
    <t>US-035</t>
  </si>
  <si>
    <t>센터장으로서 30개 이상의 키오스크/프로젝터를 원격으로 일괄 ON/OFF하여 오픈/마감 시간을 절약하고 싶다</t>
  </si>
  <si>
    <t>1) 관리 PC에서 전체/개별 전원 ON/OFF
2) 오픈/마감 스케줄 자동 제어 설정
3) 기기 상태 실시간 모니터링
4) 미응답 기기 알림</t>
  </si>
  <si>
    <t>US-036</t>
  </si>
  <si>
    <t>매니저로서 수건/운동복 발급을 자동화하여 과다 사용을 줄이고 세탁비를 관리하고 싶다</t>
  </si>
  <si>
    <t>1) 회원별 1일 발급 수량 제한
2) QR/안면인식 발급 기록 자동화
3) 월간 사용량 통계 + 세탁비 추정
4) 과다 발급 알림</t>
  </si>
  <si>
    <t>US-037</t>
  </si>
  <si>
    <t>FC로서 담당 회원이 센터에 방문하면 즉시 알림을 받아 재등록 상담 타이밍을 놓치지 않고 싶다</t>
  </si>
  <si>
    <t>1) 즐겨찾기 회원 입장 시 핸드폰 푸시 알림
2) 알림에 잔여일수/미납 여부 표시
3) 이용권 만료 임박 회원 자동 즐겨찾기
4) 방문 이력 기반 상담 포인트 제공</t>
  </si>
  <si>
    <t>US-038</t>
  </si>
  <si>
    <t>매니저로서 상품을 한 화면에서 요일별/시간별/횟수별/기간별 세팅을 완료하고 싶다</t>
  </si>
  <si>
    <t>1) 팝업 없이 한 화면에서 전체 속성 설정
2) 주중권/주말권 분기 설정
3) 횟수제/기간제/혼합 선택
4) 상품 클릭 시 구매 회원 바로 확인</t>
  </si>
  <si>
    <t>US-039</t>
  </si>
  <si>
    <t>센터장으로서 키오스크 타입(결제형/비결제형)을 지점별로 설정하고 싶다</t>
  </si>
  <si>
    <t>1) 타입A(입퇴장 전용)/타입B(결제 포함) 선택
2) 선택에 따라 키오스크 UI 자동 분기
3) 타입B 시 1일권 현장 결제 가능</t>
  </si>
  <si>
    <t>US-040</t>
  </si>
  <si>
    <t>센터장으로서 네트워크 장애 시에도 출입/라커 기본 기능이 동작하여 영업 중단을 방지하고 싶다</t>
  </si>
  <si>
    <t>1) 네트워크 끊김 시 자동 로컬 모드 전환
2) 출입/라커/출석 오프라인 동작
3) 네트워크 복구 시 자동 동기화
4) 오프라인 상태 표시 배너</t>
  </si>
  <si>
    <t>US-041</t>
  </si>
  <si>
    <t>매니저로서 라커 자동 배정 시 상단/홀수 우선 배정 규칙을 적용하여 회원 불만을 줄이고 싶다</t>
  </si>
  <si>
    <t>1) 상단&gt;하단, 홀수&gt;짝수 우선 배정
2) 고장/점유 라커 자동 스킵
3) 마감 시 전체 라커 일괄 해제
4) 잔류물 체크리스트 제공</t>
  </si>
  <si>
    <t>US-042</t>
  </si>
  <si>
    <t>FC로서 최초 상담한 회원의 실적이 정확히 나에게 귀속되길 원한다</t>
  </si>
  <si>
    <t>1) 최초 상담자 자동 실적 귀속
2) 귀속 유효기간(N일) 설정
3) 계약 처리자와 실적 담당자 분리 가능
4) 상담 이력 자동 기록</t>
  </si>
  <si>
    <t>US-043</t>
  </si>
  <si>
    <t>매니저로서 전체 데이터를 엑셀 원장으로 내보내어 자유롭게 가공하고 싶다</t>
  </si>
  <si>
    <t>1) 회원/매출/출석/레슨 등 전체 원장 내보내기
2) 모든 필드 포함(raw 데이터)
3) 권한별 열람 가능 컬럼 자동 필터
4) CSV/XLSX 포맷 선택</t>
  </si>
  <si>
    <t>US-044</t>
  </si>
  <si>
    <t>매니저로서 골프 타석 예약 현황과 대기열을 실시간으로 관리하고 싶다</t>
  </si>
  <si>
    <t>1) 타석별 이용자/잔여시간 실시간 표시(시:분 형식)
2) 꼬리물기 방식 예약
3) 모바일 원격 예약 지원
4) 15분 이내 미입장 시 노쇼 처리</t>
  </si>
  <si>
    <t>US-045</t>
  </si>
  <si>
    <t>센터장으로서 프로모션 할인율을 사전 설정하여 FC 수동 입력 오류를 방지하고 싶다</t>
  </si>
  <si>
    <t>1) 프로모션 기간/대상/할인율 사전 설정
2) 계약 시 자동 적용
3) FC 재량 할인 한도 설정
4) 할인 50% 초과 시 승인 필요</t>
  </si>
  <si>
    <t>US-046</t>
  </si>
  <si>
    <t>회원으로서 얼굴인식으로 빠르게 입장하고 라커 번호를 자동으로 배정받고 싶다</t>
  </si>
  <si>
    <t>1) 얼굴인식 → 즉시 입장
2) 라커 자동 배정 + 번호 표시
3) 영수증으로 라커 번호 출력(선택)</t>
  </si>
  <si>
    <t>SCR-K01, SCR-K04</t>
  </si>
  <si>
    <t>키오스크 입장, 키오스크 사물함 확인</t>
  </si>
  <si>
    <t>US-047</t>
  </si>
  <si>
    <t>비회원으로서 키오스크에서 1일권을 결제하고 바로 입장하고 싶다</t>
  </si>
  <si>
    <t>1) 전화번호 입력 → 상품 선택 → 카드 결제
2) 결제 완료 → 라커 배정 → 입장
3) 당일 자동 만료</t>
  </si>
  <si>
    <t>US-048</t>
  </si>
  <si>
    <t>회원으로서 키오스크에서 골프 타석 대기시간을 시:분 형식으로 확인하고 싶다</t>
  </si>
  <si>
    <t>1) 타석별 잔여시간 '시간:분' 형식 표시
2) 꼬리물기 예약 가능
3) 15분 미입장 시 노쇼 안내</t>
  </si>
  <si>
    <t>SCR-K03, SCR-K07</t>
  </si>
  <si>
    <t>키오스크 골프 타석 예약, 키오스크 골프 타석 입장</t>
  </si>
  <si>
    <t>US-049</t>
  </si>
  <si>
    <t>회원으로서 앱에서 QR코드로 센터에 입장하고 라커 번호를 확인하고 싶다</t>
  </si>
  <si>
    <t>1) 앱에서 QR 표시 → 리더기 스캔 → 입장
2) 입장 후 배정된 라커 번호 앱에 표시
3) QR 30초마다 자동 갱신</t>
  </si>
  <si>
    <t>US-050</t>
  </si>
  <si>
    <t>회원으로서 앱에서 GX 예약 오픈 알림을 받고 바로 스피닝 좌석을 선택하고 싶다</t>
  </si>
  <si>
    <t>1) GX 오픈 시 푸시 알림
2) 앱에서 바이크 배치도 보고 좌석 선택
3) 정원 초과 시 대기 등록 + 빈자리 알림</t>
  </si>
  <si>
    <t>US-051</t>
  </si>
  <si>
    <t>회원으로서 앱에서 골프 타석 대기열에 원격 등록하고 순번 알림을 받고 싶다</t>
  </si>
  <si>
    <t>1) 앱에서 타석 현황 확인 → 대기 등록
2) 순번 도달 시 푸시 알림
3) 15분 이내 입장 필수</t>
  </si>
  <si>
    <t>US-052</t>
  </si>
  <si>
    <t>회원으로서 PT 수업 후 앱에서 서명하여 레슨 기록을 확인하고 싶다</t>
  </si>
  <si>
    <t>1) 트레이너 서명 요청 → 앱 팝업
2) 터치 서명으로 수업 확인
3) 레슨 기록/잔여 횟수 열람</t>
  </si>
  <si>
    <t>US-053</t>
  </si>
  <si>
    <t>트레이너로서 앱에서 오늘 수업 목록을 확인하고 레슨 기록을 바로 작성하고 싶다</t>
  </si>
  <si>
    <t>1) 오늘 수업 타임라인 표시
2) 수업 탭 → 레슨 기록 바로 작성
3) 고객 서명 요청 원터치
4) 미완료 기록 배지 알림</t>
  </si>
  <si>
    <t>SCR-T01, SCR-T03</t>
  </si>
  <si>
    <t>트레이너 앱 홈, 트레이너 레슨 기록</t>
  </si>
  <si>
    <t>US-054</t>
  </si>
  <si>
    <t>트레이너로서 앱에서 빈 시간대를 관리하고 예약 요청을 승인/거절하고 싶다</t>
  </si>
  <si>
    <t>1) 주간/월간 캘린더에서 빈 시간 설정
2) 회원 예약 요청 → 승인/거절
3) 시간 변경 시 회원 자동 알림</t>
  </si>
  <si>
    <t>US-055</t>
  </si>
  <si>
    <t>FC로서 앱에서 즐겨찾기 회원 방문 알림을 실시간으로 받고 재등록 상담을 준비하고 싶다</t>
  </si>
  <si>
    <t>1) 즐겨찾기 회원 입장 시 30초 내 푸시 알림
2) 알림에 잔여일/미납 요약 표시
3) 임박 회원 자동 하이라이트
4) 상담 메모 바로 작성</t>
  </si>
  <si>
    <t>SCR-F01, SCR-F02</t>
  </si>
  <si>
    <t>FC 앱 홈, FC 즐겨찾기 알림</t>
  </si>
  <si>
    <t>US-056</t>
  </si>
  <si>
    <t>FC로서 앱에서 상담 이력을 기록하고 실적 귀속 잔여일을 확인하고 싶다</t>
  </si>
  <si>
    <t>1) 상담 내용/결과 기록
2) 실적 귀속 잔여일 표시(D-N)
3) 상담 → 계약 전환율 확인
4) 타 FC 상담 이력 참조</t>
  </si>
  <si>
    <t>센터 관리자</t>
  </si>
  <si>
    <t>RFID 카드를 등록하고 회원에게 매핑할 수 있다</t>
  </si>
  <si>
    <t>1. 카드 번호 입력/스캔으로 등록
2. 회원 검색→매핑
3. 카드 목록에서 확인</t>
  </si>
  <si>
    <t>P1</t>
  </si>
  <si>
    <t>DB 테이블 생성 후 구현 (2026-03-13)</t>
  </si>
  <si>
    <t>RFID 카드 분실 시 비활성화하고 재발급할 수 있다</t>
  </si>
  <si>
    <t>1. 카드 분실 처리
2. 기존 카드 비활성화
3. 신규 카드 발급→매핑</t>
  </si>
  <si>
    <t>IoT 기기를 등록하고 연결 상태를 모니터링할 수 있다</t>
  </si>
  <si>
    <t>1. 기기 정보 입력→등록
2. 연결 테스트 실행
3. 상태 대시보드에서 모니터링</t>
  </si>
  <si>
    <t>P2</t>
  </si>
  <si>
    <t>출입관리</t>
  </si>
  <si>
    <t>출입 로그를 조회하고 비정상 출입을 확인할 수 있다</t>
  </si>
  <si>
    <t>1. 기간/게이트 필터로 로그 조회
2. 비정상 출입 표시
3. 엑셀 다운로드</t>
  </si>
  <si>
    <t>화면 경로</t>
  </si>
  <si>
    <t>화면 설명</t>
  </si>
  <si>
    <t>[자동] UI 요소 목록</t>
  </si>
  <si>
    <t>인터랙션 정의</t>
  </si>
  <si>
    <t>Web 특이사항</t>
  </si>
  <si>
    <t>App 특이사항</t>
  </si>
  <si>
    <t>진입 경로</t>
  </si>
  <si>
    <t>이동 가능 화면</t>
  </si>
  <si>
    <t>에러 화면 정의</t>
  </si>
  <si>
    <t>접근성 체크</t>
  </si>
  <si>
    <t>반응형 체크 (Web)</t>
  </si>
  <si>
    <t>가로/세로 모드 (App)</t>
  </si>
  <si>
    <t>디자인 시안 링크</t>
  </si>
  <si>
    <t>[자동] 관련 기능 수</t>
  </si>
  <si>
    <t>[자동] 관련 TC 수</t>
  </si>
  <si>
    <t>[자동] 관련 API 수</t>
  </si>
  <si>
    <t>[자동] UI 요소 수</t>
  </si>
  <si>
    <t>레이아웃 구조</t>
  </si>
  <si>
    <t>섹션 순서</t>
  </si>
  <si>
    <t>화면 유형</t>
  </si>
  <si>
    <t>진입 트리거</t>
  </si>
  <si>
    <t>Loading 상태</t>
  </si>
  <si>
    <t>Empty 상태</t>
  </si>
  <si>
    <t>반응형 상세</t>
  </si>
  <si>
    <t>고정 요소</t>
  </si>
  <si>
    <t>이메일/비밀번호 기반 로그인 화면. 지점 선택 드롭다운 포함</t>
  </si>
  <si>
    <t>UI-001, UI-002, UI-003, UI-004, UI-005</t>
  </si>
  <si>
    <t>비밀번호 마스킹 토글, Enter키 로그인, 지점 선택 시 로고 변경</t>
  </si>
  <si>
    <t>JWT 토큰 기반 세션 관리</t>
  </si>
  <si>
    <t>URL 직접 접근, 세션 만료 시 리다이렉트</t>
  </si>
  <si>
    <t>SCR-002 (대시보드)</t>
  </si>
  <si>
    <t>이메일 미입력: '이메일을 입력하세요'
비밀번호 오류: '비밀번호가 올바르지 않습니다'
계정 잠금: '5회 실패로 잠금됨'</t>
  </si>
  <si>
    <t>Tab 이동 순서, aria-label</t>
  </si>
  <si>
    <t>1024px 이상 중앙 정렬</t>
  </si>
  <si>
    <t>확정</t>
  </si>
  <si>
    <t>개발팀</t>
  </si>
  <si>
    <t>비밀번호 변경 모달 AppHeader에 구현. 로그인 유지 체크박스 추가 (2026-03-13)</t>
  </si>
  <si>
    <t>[배경] min-h-screen 중앙정렬 그라데이션
[메인카드] max-w-[400px] 흰색 박스 중앙
  - 로고 영역 (S배지 + 텍스트)
  - 지점선택 드롭다운 (MapPin 아이콘)
  - 아이디 입력 (User 아이콘)
  - 비밀번호 입력 (Lock 아이콘) + Eye토글
  - 로그인유지 체크 + 비밀번호찾기 링크
  - 에러메시지 (조건부, 빨간배경)
  - 로그인 버튼
[푸터] 절대위치 하단</t>
  </si>
  <si>
    <t>1:로고 → 2:지점선택 → 3:아이디 → 4:비밀번호 → 5:옵션(유지+찾기) → 6:에러메시지 → 7:로그인버튼</t>
  </si>
  <si>
    <t>page (전체화면, 사이드바 없음)</t>
  </si>
  <si>
    <t>URL 직접접근 / 세션만료 시 리다이렉트 / 로그아웃 후</t>
  </si>
  <si>
    <t>지점목록: Loader2 스핀 아이콘
로그인 버튼: Loader2 스핀 + '로그인 중...' 텍스트
지점 로딩 중 드롭다운 비활성</t>
  </si>
  <si>
    <t>지점 목록 없음: 드롭다운 '지점 없음' 표시
에러: 빨간 배경 박스에 에러 메시지</t>
  </si>
  <si>
    <t>≥1024px: 중앙정렬 카드
&lt;1024px: 카드 max-w-[400px] 유지, padding 축소
모바일: gap-sm, p-md</t>
  </si>
  <si>
    <t>없음 (단일 스크롤 없는 화면)</t>
  </si>
  <si>
    <t>지점별 핵심 KPI 대시보드. 회원/매출/출석 통계 카드 + 알림 리스트</t>
  </si>
  <si>
    <t>UI-006, UI-007, UI-008, UI-009, UI-010, UI-011, UI-012, UI-013</t>
  </si>
  <si>
    <t>통계 카드 클릭 시 상세 이동, 차트 호버 툴팁, 기간 필터</t>
  </si>
  <si>
    <t>반응형 그리드 (2열→1열)</t>
  </si>
  <si>
    <t>SCR-001 (로그인 후)</t>
  </si>
  <si>
    <t>SCR-010, SCR-030, SCR-020</t>
  </si>
  <si>
    <t>데이터 로딩 실패: '데이터를 불러올 수 없습니다' + 재시도 버튼</t>
  </si>
  <si>
    <t>차트 alt-text</t>
  </si>
  <si>
    <t>1280px 이상 4열 카드</t>
  </si>
  <si>
    <t>Supabase 실데이터 차트 연동. 통계 카드 클릭→상세 이동 (2026-03-13)</t>
  </si>
  <si>
    <t>[공지배너] 닫기 가능, 아이콘+텍스트+버튼 (조건부)
[헤더] 제목/설명 + 새로고침 + 회원등록 버튼
[섹션1: 통계카드] 6개 StatCard 그리드
[섹션2: 운영현황] 기간필터(오늘/이번주/이번달/분기) + 3개 차트(회원분포 원형/주간출석 라인/매출추이 막대)
[섹션3: 리스트] 4개 DataTable 카드 (생일자/미수금/홀딩/만료임박) 2x2 그리드
[섹션4: 프로모션] 2개 배너 카드</t>
  </si>
  <si>
    <t>1:공지배너 → 2:헤더 → 3:통계카드6개 → 4:운영현황차트3개 → 5:리스트카드4개 → 6:프로모션배너2개</t>
  </si>
  <si>
    <t>page</t>
  </si>
  <si>
    <t>로그인 성공 후 자동이동 / GNB '대시보드' 클릭</t>
  </si>
  <si>
    <t>통계카드: 숫자 부분 스켈레톤
차트: 로딩 스핀 표시
리스트: 3줄 스켈레톤 행
새로고침: RefreshCw 아이콘 회전(animate-spin)</t>
  </si>
  <si>
    <t>통계카드: 0 표시
생일자: '오늘 생일인 회원이 없습니다'
미수금: '미수금 회원이 없습니다'
홀딩: '홀딩 중인 회원이 없습니다'
만료임박: '만료 임박 회원이 없습니다'</t>
  </si>
  <si>
    <t>≥1280px(xl): 카드6열 + 차트3열 + 리스트2열 + 프로모션2열
768~1279px(md): 카드3열 + 차트2열 + 리스트1열 + 프로모션1열
&lt;768px: 카드2열 + 차트1열 + 리스트1열 + 프로모션1열</t>
  </si>
  <si>
    <t>GNB 상단 고정
사이드바 좌측 고정</t>
  </si>
  <si>
    <t>회원 검색, 필터, 페이지네이션이 포함된 목록 화면</t>
  </si>
  <si>
    <t>UI-014, UI-015, UI-016, UI-017, UI-018, UI-019, UI-020, UI-021</t>
  </si>
  <si>
    <t>실시간 검색, 필터 조합, 정렬, 페이지네이션, 엑셀 다운로드</t>
  </si>
  <si>
    <t>테이블 가로스크롤 (좁은 화면)</t>
  </si>
  <si>
    <t>GNB 메뉴, SCR-002 바로가기</t>
  </si>
  <si>
    <t>SCR-011, SCR-012</t>
  </si>
  <si>
    <t>검색 결과 없음: '조건에 맞는 회원이 없습니다'
로딩 실패: 스켈레톤 + 재시도</t>
  </si>
  <si>
    <t>테이블 aria-label, 스크린리더 페이지 안내</t>
  </si>
  <si>
    <t>테이블 반응형 스크롤</t>
  </si>
  <si>
    <t>window.prompt→상태 선택 모달 전환. DataTable 키보드 접근성 (2026-03-13)</t>
  </si>
  <si>
    <t>[헤더] 제목/설명 + 엑셀다운로드 + 회원추가 버튼
[섹션1: 통계카드] 4개 StatCard
[섹션2: 메인탭] TabNav 6개(회원/회원권/수강권/락커/운동복/상품별)
[섹션3: 테이블영역] 흰색박스
  - 상태필터탭 6개(전체/활성/만료/미등록/홀딩/정지)
  - SearchFilter(검색+5개필터)
  - 벌크액션바 (선택 시 조건부)
  - DataTable (8컬럼, 선택/정렬/페이지네이션)</t>
  </si>
  <si>
    <t>1:헤더 → 2:통계카드4개 → 3:메인탭 → 4:상태필터 → 5:검색/필터 → 6:벌크액션 → 7:테이블</t>
  </si>
  <si>
    <t>GNB '회원 목록' 클릭 / 대시보드 통계카드 클릭</t>
  </si>
  <si>
    <t>통계카드: 숫자 스켈레톤
테이블: 행 스켈레톤 (5줄)
검색: 300ms debounce 후 조회</t>
  </si>
  <si>
    <t>통계카드: 0 표시
검색결과 없음: '조건에 맞는 회원이 없습니다' EmptyState
필터 초기화 안내</t>
  </si>
  <si>
    <t>≥1024px(lg): 통계카드4열
768~1023px(md): 통계카드2열
&lt;768px: 통계카드1열
테이블: 가로스크롤</t>
  </si>
  <si>
    <t>GNB 상단고정
벌크액션바: 선택 시 테이블 상단 고정</t>
  </si>
  <si>
    <t>회원 프로필 + 탭(이용권/출석/결제/체성분/메모) 구성</t>
  </si>
  <si>
    <t>UI-022, UI-023, UI-024, UI-025, UI-026, UI-027</t>
  </si>
  <si>
    <t>탭 전환, 이용권 만료일 강조, 출석 히트맵, 결제 내역 페이지네이션</t>
  </si>
  <si>
    <t>탭 URL 파라미터 유지</t>
  </si>
  <si>
    <t>SCR-010 회원 클릭</t>
  </si>
  <si>
    <t>SCR-013, SCR-014, SCR-010</t>
  </si>
  <si>
    <t>회원 미존재: 404 페이지
데이터 로딩 실패: 탭별 에러 표시</t>
  </si>
  <si>
    <t>탭 키보드 네비게이션</t>
  </si>
  <si>
    <t>탭 세로 배치 (좁은 화면)</t>
  </si>
  <si>
    <t>Supabase 실데이터 전환. 메모/목표 탭 추가. useSearchParams 탭 동기화 (2026-03-13)</t>
  </si>
  <si>
    <t>[헤더] 뒤로가기 + 회원 프로필카드(사진/이름/상태/기본정보)
[액션바] 수정/삭제/메시지 등 버튼
[탭영역] TabNav 7개(기본정보/계약현황/출석/체성분/결제/커뮤니케이션/기타)
[탭콘텐츠] 탭별 상세정보 (lazy 로드)</t>
  </si>
  <si>
    <t>1:프로필카드 → 2:액션버튼 → 3:탭네비 → 4:탭콘텐츠</t>
  </si>
  <si>
    <t>SCR-010 회원명 클릭 / 다른 페이지에서 moveToPage(985, {id})</t>
  </si>
  <si>
    <t>프로필: 스켈레톤 카드
각 탭: 개별 로딩 스피너
탭 전환 시 lazy load</t>
  </si>
  <si>
    <t>회원 미존재: 404 페이지
데이터 없는 탭: 탭별 개별 empty 메시지
이용권 없음: '등록된 이용권이 없습니다'</t>
  </si>
  <si>
    <t>≥1280px: 프로필+탭 풀너비
&lt;768px: 탭 세로배치, 프로필 축소
탭 URL 파라미터 유지</t>
  </si>
  <si>
    <t>GNB 상단고정
탭네비 스크롤 시 sticky</t>
  </si>
  <si>
    <t>신규 회원 등록 폼. 필수/선택 항목 구분</t>
  </si>
  <si>
    <t>UI-028, UI-029, UI-030, UI-031, UI-032, UI-033, UI-034, UI-035, UI-036, UI-037</t>
  </si>
  <si>
    <t>실시간 유효성 검사, 연락처 자동 포맷, 주소 검색 API 연동</t>
  </si>
  <si>
    <t>폼 상태 유지 (뒤로가기 시)</t>
  </si>
  <si>
    <t>SCR-010 '회원등록' 버튼</t>
  </si>
  <si>
    <t>SCR-011 (등록 완료 후)</t>
  </si>
  <si>
    <t>필수 항목 미입력: 필드 하단 에러 메시지
중복 연락처: '이미 등록된 연락처입니다'
서버 오류: 토스트 알림</t>
  </si>
  <si>
    <t>필수 항목 aria-required</t>
  </si>
  <si>
    <t>폼 1열 배치</t>
  </si>
  <si>
    <t>textarea maxLength 일치 수정 (520→500). aria-required/aria-invalid 추가 (2026-03-13)</t>
  </si>
  <si>
    <t>[헤더] 제목(등록/수정모드) + 초기화/취소 버튼
[스텝네비] TabNav 2단계 (필수정보/추가정보)
[Step1: 필수정보]
  - 프로필이미지 드래그영역
  - FormSection '기본 인적사항' 2열 (이름/성별/생년월일/연락처/회원구분)
  - FormSection '관리 정보' 2열 (담당FC/트레이너/방문경로/운동목적)
[Step2: 추가정보]
  - FormSection '추가 연락' 2열 (별칭/이메일/주소검색/회사명/출석번호)
  - FormSection '기타 설정' (광고수신/메모 textarea 500자)
[하단] 이전/다음(또는 저장) 버튼 고정</t>
  </si>
  <si>
    <t>1:헤더 → 2:스텝표시 → 3:폼섹션들 → 4:하단버튼</t>
  </si>
  <si>
    <t>page (2-step wizard)</t>
  </si>
  <si>
    <t>SCR-010 '회원등록' 버튼 클릭</t>
  </si>
  <si>
    <t>저장 버튼: Loader2 스핀 + '저장 중...'</t>
  </si>
  <si>
    <t>담당FC/트레이너 목록 없음: '등록된 직원이 없습니다'
주소검색 결과 없음: '검색 결과가 없습니다'</t>
  </si>
  <si>
    <t>≥768px(md): FormSection 2열
&lt;768px: FormSection 1열
하단 버튼: 모바일 전체너비</t>
  </si>
  <si>
    <t>하단 액션버튼 고정</t>
  </si>
  <si>
    <t>기존 회원 정보 수정 폼. 기존 데이터 프리필</t>
  </si>
  <si>
    <t>UI-119, UI-120</t>
  </si>
  <si>
    <t>변경사항 비교 표시, 저장 전 확인 모달</t>
  </si>
  <si>
    <t>변경 이력 자동 기록</t>
  </si>
  <si>
    <t>SCR-011 '수정' 버튼</t>
  </si>
  <si>
    <t>SCR-011 (저장 후)</t>
  </si>
  <si>
    <t>변경 없이 저장: '변경된 내용이 없습니다'
서버 오류: 토스트 알림</t>
  </si>
  <si>
    <t>폼 접근성 동일</t>
  </si>
  <si>
    <t>textarea maxLength 일치 수정. 유효성 검사 접근성 개선 (2026-03-13)</t>
  </si>
  <si>
    <t>[헤더] 제목 + 취소/저장 버튼
[FormSection '기본 정보'] 이름/연락처/성별/생년월일/가입일/담당직원
[FormSection '이용권 정보'] 기존 이용권 리스트 + 새 이용권 추가 버튼
[FormSection '상세 정보'] 주소/유입경로/운동목적/메모
[취소확인 다이얼로그]</t>
  </si>
  <si>
    <t>1:헤더 → 2:기본정보 → 3:이용권정보 → 4:상세정보</t>
  </si>
  <si>
    <t>SCR-011 '수정' 버튼 클릭</t>
  </si>
  <si>
    <t>기존 데이터 프리필 중: 전체 스켈레톤
저장: 버튼 로딩</t>
  </si>
  <si>
    <t>이용권 없음: '등록된 이용권이 없습니다' + 안내메시지</t>
  </si>
  <si>
    <t>폼 1열 배치 (max-width 제한)</t>
  </si>
  <si>
    <t>없음</t>
  </si>
  <si>
    <t>회원별 체성분 측정 기록 입력 및 변화 추이 차트</t>
  </si>
  <si>
    <t>UI-121, UI-122</t>
  </si>
  <si>
    <t>측정값 입력 폼, 날짜별 라인 차트, 목표 대비 게이지</t>
  </si>
  <si>
    <t>차트 라이브러리 (Recharts)</t>
  </si>
  <si>
    <t>SCR-011 '체성분' 탭</t>
  </si>
  <si>
    <t>측정 데이터 없음: '아직 측정 기록이 없습니다'
입력 범위 초과: 경고 토스트</t>
  </si>
  <si>
    <t>차트 alt-text, 데이터 테이블 대체</t>
  </si>
  <si>
    <t>차트 반응형</t>
  </si>
  <si>
    <t>차트 Supabase 연동. 로딩/빈상태 처리 (2026-03-13)</t>
  </si>
  <si>
    <t>[뒤로가기 버튼]
[헤더] 회원명+최근측정일 + 전체추출/새측정추가 버튼
[섹션1: 통계카드] 3개 (현재체중/골격근량/체지방률)
[섹션2: 탭] 기록목록/변화그래프/목표관리
  - 기록목록: DataTable
  - 변화그래프: SVG LineChart + 메트릭토글 + 호버툴팁 + 변화요약
  - 목표관리: GoalGauge 2개 (목표체중/목표체지방)
[섹션3: 분석] 2칸 그리드
  - 비만분석 (BMI/체지방률 AnalysisRow 범위바)
  - 에너지/대사 (BMR/제지방량/권장열량)
[모달] 측정추가(날짜/체중/골격근/체지방+BMI자동) / 목표수정</t>
  </si>
  <si>
    <t>1:뒤로가기 → 2:헤더 → 3:통계카드3개 → 4:탭(기록/그래프/목표) → 5:분석그리드</t>
  </si>
  <si>
    <t>SCR-011 '체성분' 탭 클릭</t>
  </si>
  <si>
    <t>데이터 로딩: 통계카드 스켈레톤 + 차트 로딩스핀</t>
  </si>
  <si>
    <t>측정데이터 없음: '아직 측정 기록이 없습니다'
목표 미설정: '목표를 설정해주세요'</t>
  </si>
  <si>
    <t>≥768px: 분석 2열
&lt;768px: 분석 1열
차트 반응형 (SVG viewBox)</t>
  </si>
  <si>
    <t>GNB 상단고정</t>
  </si>
  <si>
    <t>회원 출석 현황 조회. 일별/주별/월별 뷰 전환</t>
  </si>
  <si>
    <t>UI-123, UI-124</t>
  </si>
  <si>
    <t>날짜 필터, 출석 유형 필터, 타지점 출석 표시</t>
  </si>
  <si>
    <t>캘린더 컴포넌트</t>
  </si>
  <si>
    <t>GNB 메뉴</t>
  </si>
  <si>
    <t>SCR-011 (회원 클릭)</t>
  </si>
  <si>
    <t>데이터 없음: '해당 기간 출석 기록이 없습니다'</t>
  </si>
  <si>
    <t>날짜 선택 키보드 접근</t>
  </si>
  <si>
    <t>테이블 반응형</t>
  </si>
  <si>
    <t>날짜 필터 DataTable 적용. 실시간 출석 통계 (2026-03-13)</t>
  </si>
  <si>
    <t>[헤더] 제목/설명 + 날짜네비(◀ 날짜 ▶) + 뷰전환(일/주/월) + 실시간토글 + 수동출석버튼
[일별뷰]
  - 통계카드 4개 (오늘출석/PT/GX/신규방문)
  - 출석유형 범례 (색상코딩)
  - SearchFilter + DataTable (10컬럼)
[주별뷰] 통계카드3개 + WeeklyView(7일 막대차트)
[월별뷰] 통계카드3개 + MonthlyView(28일 히트맵)
[실시간팝업] 우측하단 슬라이드인, AI음성메시지 (자동사라짐)
[모달] 수동출석(회원검색+유형4버튼+시간)</t>
  </si>
  <si>
    <t>1:헤더+날짜+뷰전환 → 2:통계카드 → 3:범례 → 4:검색/필터 → 5:테이블/차트</t>
  </si>
  <si>
    <t>GNB '출석 관리' 클릭 / 대시보드 출석카드 클릭</t>
  </si>
  <si>
    <t>통계카드: 숫자 스켈레톤
테이블: 행 스켈레톤
뷰 전환: 데이터 재조회 로딩</t>
  </si>
  <si>
    <t>출석기록 없음: '해당 기간 출석 기록이 없습니다'
검색결과 없음: 빈 테이블</t>
  </si>
  <si>
    <t>≥768px(md): 통계카드4열
&lt;768px: 통계카드2열
히트맵/차트: 가로스크롤</t>
  </si>
  <si>
    <t>GNB 상단고정
날짜네비+뷰전환: 헤더영역 고정</t>
  </si>
  <si>
    <t>PT/GX 일정 캘린더. 월/주/일 뷰 전환</t>
  </si>
  <si>
    <t>UI-125, UI-126</t>
  </si>
  <si>
    <t>드래그앤드롭 일정 이동, 클릭 상세 모달, 트레이너 필터</t>
  </si>
  <si>
    <t>FullCalendar 라이브러리</t>
  </si>
  <si>
    <t>SCR-011 (회원 연결)</t>
  </si>
  <si>
    <t>일정 충돌: '해당 시간에 이미 예약이 있습니다'
과거 일정 수정 불가</t>
  </si>
  <si>
    <t>캘린더 키보드 네비게이션</t>
  </si>
  <si>
    <t>뷰 자동 전환 (주→일)</t>
  </si>
  <si>
    <t>FullCalendar 라이브러리 전환. 드래그앤드롭 일정 이동/리사이즈 (2026-03-13)</t>
  </si>
  <si>
    <t>[헤더] 제목/설명 + 스케줄일괄변경 + 수업등록 버튼
[탭] 5개 (일정표/수업관리/횟수관리/페널티/유효수업)
[일정표탭]
  - 컨트롤바: 뷰전환(월/주/일) + 날짜네비 + 트레이너필터
  - 범례 (강사+수업유형 색상)
  - MonthView(7x5 그리드, 셀당3이벤트+'+N개')
  - WeekView(8x14 타임테이블)
  - DayView(시간x슬롯)
[수업관리탭] SearchFilter + DataTable
[페널티탭] 필터 + DataTable
[유효수업탭] DataTable
[모달] EventDetail(수업상세, 수정/삭제) / EventAdd(등록/수정폼, 반복설정)</t>
  </si>
  <si>
    <t>1:헤더 → 2:탭 → 3:컨트롤바 → 4:범례 → 5:캘린더뷰(월/주/일)</t>
  </si>
  <si>
    <t>GNB '수업/캘린더' 클릭</t>
  </si>
  <si>
    <t>캘린더: 이벤트 스켈레톤
수업관리: 테이블 스켈레톤</t>
  </si>
  <si>
    <t>이벤트 없음: 빈 캘린더 셀
수업 없음: '등록된 수업이 없습니다'
횟수관리: '준비 중' 안내</t>
  </si>
  <si>
    <t>≥1280px: 캘린더 풀너비
&lt;768px: 주→일뷰 자동전환 권장
타임테이블: 가로스크롤</t>
  </si>
  <si>
    <t>GNB 상단고정
컨트롤바 sticky</t>
  </si>
  <si>
    <t>매출 현황 조회. 기간/유형/상태 필터 + 통계 요약 카드</t>
  </si>
  <si>
    <t>UI-038, UI-039, UI-040, UI-041, UI-042, UI-043, UI-044</t>
  </si>
  <si>
    <t>날짜 범위 선택, 유형 필터, 상태 필터, 통계 카드 갱신, 엑셀 다운로드</t>
  </si>
  <si>
    <t>금액 포맷 (천단위 콤마)</t>
  </si>
  <si>
    <t>GNB 메뉴, SCR-002 매출 카드</t>
  </si>
  <si>
    <t>SCR-031 (POS 이동)</t>
  </si>
  <si>
    <t>데이터 없음: '해당 기간 매출이 없습니다'
다운로드 실패: 재시도 안내</t>
  </si>
  <si>
    <t>금액 스크린리더 읽기</t>
  </si>
  <si>
    <t>통계 카드 2열→1열</t>
  </si>
  <si>
    <t>탭별 집계 뷰 추가 (기간/상품/결제수단/담당자). useMemo 최적화 (2026-03-13)</t>
  </si>
  <si>
    <t>[헤더] 제목/설명 + 신규결제(POS) + 엑셀다운로드 버튼
[섹션1: 요약카드] 4개 (순매출/카드/현금/미수금)
[섹션2: 필터] 기간프리셋(오늘/이번주/이번달) + SearchFilter(날짜범위/유형/상태)
[섹션3: 탭+테이블] TabNav 7개(매출내역/기간별/상품별/결제수단별/담당자별/환불/미납) + DataTable 13컬럼
[섹션4: 하단요약바] 총/순/현금/카드/마일리지/환불/미납 합계</t>
  </si>
  <si>
    <t>1:헤더 → 2:요약카드4개 → 3:기간프리셋+필터 → 4:탭7개 → 5:테이블 → 6:하단합계바</t>
  </si>
  <si>
    <t>GNB '매출 현황' 클릭 / 대시보드 매출카드 클릭</t>
  </si>
  <si>
    <t>요약카드: 숫자 스켈레톤
테이블: 행 스켈레톤
기간변경: 카드+테이블 동시 갱신</t>
  </si>
  <si>
    <t>매출 없음: '해당 기간 매출이 없습니다'
다운로드 실패: 재시도 안내 toast</t>
  </si>
  <si>
    <t>≥768px(md): 요약카드4열
&lt;768px: 요약카드2열
하단합계: flex-wrap
테이블: 가로스크롤</t>
  </si>
  <si>
    <t>GNB 상단고정
하단합계바 sticky bottom</t>
  </si>
  <si>
    <t>POS 상품 선택 화면. 카테고리 탭 + 상품 그리드 + 장바구니</t>
  </si>
  <si>
    <t>UI-045, UI-046, UI-047, UI-048</t>
  </si>
  <si>
    <t>카테고리 탭 전환, 상품 클릭 시 장바구니 추가, 수량 조절, 삭제</t>
  </si>
  <si>
    <t>2컬럼 레이아웃 (상품 | 장바구니)</t>
  </si>
  <si>
    <t>GNB 메뉴, SCR-030</t>
  </si>
  <si>
    <t>SCR-032 (결제 진행)</t>
  </si>
  <si>
    <t>장바구니 비어있음: '상품을 선택해주세요'
재고 없음: 상품 비활성화</t>
  </si>
  <si>
    <t>상품 그리드 키보드 선택</t>
  </si>
  <si>
    <t>장바구니 하단 고정</t>
  </si>
  <si>
    <t>[헤더] 제목/설명 + 상품등록 버튼
[2열 레이아웃]
  - [좌측: 상품그리드]
    - 카테고리탭 4개(이용권/PT/GX/기타) + 검색
    - ProductCard 그리드 (재고배지/상품명/기간·횟수/현금가·카드가/호버+버튼)
  - [우측: 장바구니 사이드바 360px 고정]
    - 헤더(카운트, 전체삭제)
    - 아이템목록(상품명/수량−+/가격타입토글/소계)
    - 하단(총합 + 결제하기버튼)</t>
  </si>
  <si>
    <t>1:헤더 → 2좌:카테고리탭+검색 → 3좌:상품그리드 → 2우:장바구니헤더 → 3우:아이템목록 → 4우:합계+결제</t>
  </si>
  <si>
    <t>page (2-column layout)</t>
  </si>
  <si>
    <t>GNB 'POS 결제' 클릭 / SCR-030 '신규 결제' 버튼</t>
  </si>
  <si>
    <t>상품목록: 카드 스켈레톤 그리드
장바구니: 빈 상태</t>
  </si>
  <si>
    <t>상품 없음: '등록된 상품이 없습니다'
장바구니 비어있음: ShoppingCart 아이콘 + '상품을 선택해주세요'
검색결과 없음: '검색 결과가 없습니다'</t>
  </si>
  <si>
    <t>≥1024px(lg): 2열(상품+장바구니)
&lt;1024px: 1열(상품→장바구니 순서)
상품그리드: xl:4열→md:3열→2열
장바구니: 모바일 전체너비</t>
  </si>
  <si>
    <t>장바구니 사이드바: lg에서 우측 고정
모바일: 하단 고정 없음</t>
  </si>
  <si>
    <t>결제 수단 선택 및 결제 처리. 복합결제 지원</t>
  </si>
  <si>
    <t>UI-049, UI-050, UI-051, UI-052</t>
  </si>
  <si>
    <t>결제수단 선택, 금액 입력, 마일리지 사용, 결제 확인 모달</t>
  </si>
  <si>
    <t>결제 API 연동</t>
  </si>
  <si>
    <t>SCR-031 '결제' 버튼</t>
  </si>
  <si>
    <t>SCR-030 (결제 완료 후)</t>
  </si>
  <si>
    <t>결제 실패: '결제에 실패했습니다. 다시 시도해주세요'
잔액 부족: 안내 메시지</t>
  </si>
  <si>
    <t>금액 입력 접근성</t>
  </si>
  <si>
    <t>모달 팝업</t>
  </si>
  <si>
    <t>window.confirm→ConfirmDialog 컴포넌트 전환 (2026-03-13)</t>
  </si>
  <si>
    <t>[헤더] 제목 + 초기화 버튼
[2열 레이아웃]
  - [좌측: 결제요약]
    - 주문 상품 리스트 (StatusBadge 카테고리)
    - 회원검색 (SearchFilter, 드롭다운)
    - 선택된 회원 정보 카드
  - [우측: 결제수단 380px]
    - 4개 결제수단 버튼 (카드/현금/마일리지/복합)
    - 복합결제 금액분배 입력 (조건부)
    - 마일리지 잔액 안내 (조건부)
    - 결제확인 버튼
[결제완료화면] 전체페이지 교체 (체크아이콘+요약+계속판매버튼)
[모달] 결제확인 (주문요약표시)</t>
  </si>
  <si>
    <t>1:헤더 → 2좌:주문리스트 → 3좌:회원검색 → 2우:결제수단4버튼 → 3우:금액입력 → 4우:결제버튼</t>
  </si>
  <si>
    <t>page (2-column layout) → 결제완료 시 전체 교체</t>
  </si>
  <si>
    <t>SCR-031 '결제하기' 버튼 클릭</t>
  </si>
  <si>
    <t>회원검색: 드롭다운 로딩
결제처리: 버튼 로딩스핀</t>
  </si>
  <si>
    <t>장바구니 비어있음: '상품을 먼저 선택해주세요' 안내
회원 미선택: 비회원 결제 가능 표시</t>
  </si>
  <si>
    <t>≥1024px(lg): 2열(요약+결제)
&lt;1024px: 1열
우측패널: lg에서 w-[380px] 고정</t>
  </si>
  <si>
    <t>이용권/PT/기타 상품 목록. 카테고리 필터</t>
  </si>
  <si>
    <t>UI-082, UI-083, UI-084</t>
  </si>
  <si>
    <t>카테고리 필터, 상태 토글, 정렬</t>
  </si>
  <si>
    <t>테이블 레이아웃</t>
  </si>
  <si>
    <t>SCR-041 (등록), SCR-040 (수정 모달)</t>
  </si>
  <si>
    <t>상품 없음: '등록된 상품이 없습니다'</t>
  </si>
  <si>
    <t>테이블 접근성</t>
  </si>
  <si>
    <t>Supabase 연동. 카테고리 필터 동작 (2026-03-13)</t>
  </si>
  <si>
    <t>[헤더] 제목/설명 + 상품등록 버튼
[섹션1: 통계카드] 4개 (전체/활성/비활성/카테고리수)
[섹션2: 탭] 5개(전체/이용권/PT/GX/기타) + 개수표시
[섹션3: 검색] SearchFilter (상품명)
[섹션4: DataTable] 7컬럼 (카테고리/상품명/가격/이용기간/세션/상태/액션)
  - 정렬: name,price,category (ArrowUp/Down/UpDown 아이콘)
  - 액션: 수정/삭제 버튼
[다이얼로그] 삭제확인 (danger)</t>
  </si>
  <si>
    <t>1:헤더 → 2:통계카드4개 → 3:탭5개 → 4:검색 → 5:테이블</t>
  </si>
  <si>
    <t>GNB '상품 관리' 클릭</t>
  </si>
  <si>
    <t>통계카드: 숫자 스켈레톤
테이블: 행 스켈레톤</t>
  </si>
  <si>
    <t>≥1024px(lg): 통계카드4열
&lt;768px: 통계카드1열
테이블: 가로스크롤</t>
  </si>
  <si>
    <t>신규 상품 등록 폼. 카테고리/이름/가격/기간 설정</t>
  </si>
  <si>
    <t>UI-085, UI-086, UI-087, UI-088</t>
  </si>
  <si>
    <t>카테고리 선택 시 하위 필드 변경, 가격 입력 포맷</t>
  </si>
  <si>
    <t>폼 유효성 검사</t>
  </si>
  <si>
    <t>SCR-040 '등록' 버튼</t>
  </si>
  <si>
    <t>SCR-040 (저장 후)</t>
  </si>
  <si>
    <t>필수 미입력: 필드별 에러
중복 상품명: 경고</t>
  </si>
  <si>
    <t>폼 접근성</t>
  </si>
  <si>
    <t>폼 1열</t>
  </si>
  <si>
    <t>aria-required/aria-invalid 추가. 폼 필드 접근성 개선 (2026-03-13)</t>
  </si>
  <si>
    <t>[초기: 유형선택화면]
  - 중앙정렬 텍스트
  - 4개 유형카드 그리드 (이용권/PT/GX/기타)
  - 취소 링크
[메인폼]
  - [헤더] 동적 제목 + 액션
  - [FormSection1: 기본정보 2열] 카테고리/상품명(중복체크)/현금가(콤마)/카드가/설명(2열span)/태그
  - [FormSection2: 이용기간/횟수 2열] 이용기간/횟수(PT·GX만)/요일안내(GX만)
  - [FormSection3: 추가설정 접기가능] 홀딩설정(토글+세부)/이용시간(범위추가삭제)/판매노출(토글2개)
  - [하단고정바] 상태배지+카테고리 + 취소/등록버튼</t>
  </si>
  <si>
    <t>1:유형선택 → 2:헤더 → 3:기본정보 → 4:기간/횟수 → 5:추가설정 → 6:하단고정바</t>
  </si>
  <si>
    <t>page (유형선택 → 폼 2-step)</t>
  </si>
  <si>
    <t>SCR-040 '등록' 버튼 또는 수정 클릭</t>
  </si>
  <si>
    <t>저장: 버튼 로딩스핀
상품명 중복체크: 실시간 검증</t>
  </si>
  <si>
    <t>없음 (폼 페이지)</t>
  </si>
  <si>
    <t>≥768px(md): FormSection 2열
&lt;768px: FormSection 1열
하단바: 모바일 전체너비, md에서 자동크기</t>
  </si>
  <si>
    <t>하단 액션바 sticky bottom</t>
  </si>
  <si>
    <t>구역별 락커 그리드. 색상으로 상태 구분 (사용중/빈/만료임박)</t>
  </si>
  <si>
    <t>UI-053, UI-054, UI-055, UI-056</t>
  </si>
  <si>
    <t>구역 탭 전환, 락커 클릭 시 상세 모달, 범례 표시</t>
  </si>
  <si>
    <t>CSS Grid 레이아웃</t>
  </si>
  <si>
    <t>SCR-051 (관리 이동)</t>
  </si>
  <si>
    <t>락커 없음: '등록된 락커가 없습니다'</t>
  </si>
  <si>
    <t>색상 + 패턴으로 상태 구분 (색약 대응)</t>
  </si>
  <si>
    <t>그리드 반응형</t>
  </si>
  <si>
    <t>락커 그리드 DB 동기화. role=button/tabIndex 접근성. 텍스트 크기 10px↑ (2026-03-13)</t>
  </si>
  <si>
    <t>[헤더] 제목 + 새로고침/엑셀/락커추가 버튼
[섹션1: 통계카드] 4개 (전체/사용중/만료임박/고장)
[섹션2: 구역탭+검색] TabNav(A/B/C구역) + 검색input + 범례
[섹션3: 락커그리드] 4x8=32개 셀 (aspect-square, 색상으로 상태구분)
  - 셀내용: 번호/회원명/D-Day/고장표시
  - 일괄선택모드: 체크아이콘
[모달] 락커상세(배정회원/만료일/이력테이블/배정해제)
[다이얼로그] 일괄해제확인</t>
  </si>
  <si>
    <t>1:헤더 → 2:통계카드4개 → 3:구역탭+검색+범례 → 4:락커그리드</t>
  </si>
  <si>
    <t>GNB '락커 관리' 클릭</t>
  </si>
  <si>
    <t>그리드: 전체 스켈레톤
모달: 이력 로딩</t>
  </si>
  <si>
    <t>락커 없음: '등록된 락커가 없습니다'
빈 락커: '비어있음' 표시
검색 없음: '결과가 없습니다'</t>
  </si>
  <si>
    <t>≥768px(md): 그리드8열
640~767px(sm): 6열
&lt;640px: 4열</t>
  </si>
  <si>
    <t>UI-089, UI-090, UI-091, UI-092</t>
  </si>
  <si>
    <t>회원 검색 → 빈 락커 선택 → 배정, 일괄 선택 해제</t>
  </si>
  <si>
    <t>배정 모달</t>
  </si>
  <si>
    <t>SCR-050, GNB</t>
  </si>
  <si>
    <t>이미 배정된 락커: '이미 사용중인 락커입니다'</t>
  </si>
  <si>
    <t>모달 접근성</t>
  </si>
  <si>
    <t>모달 반응형</t>
  </si>
  <si>
    <t>만료일 동적 계산 (today+3개월). date picker 추가 (2026-03-13)</t>
  </si>
  <si>
    <t>[헤더] 밴드/카드관리 + 상태동기화/엑셀 버튼
[섹션1: 통계카드] 5개 (총/가능/사용중/시간초과/비정상)
[섹션2: 탭] 3개(일일/개인/골프)
[섹션3: 배정패널] 3열그리드(회원검색AutoComplete + 선택락커확인 + 배정버튼)
[일괄해제경고] 시간초과 시 amber배너
[빈사물함그리드] 12열 그리드, 선택토글
[전체현황] 남자/여자 섹션별 그리드 (시간초과: pulse아이콘)
[범례] 5가지 상태색상</t>
  </si>
  <si>
    <t>1:헤더 → 2:통계카드5개 → 3:탭 → 4:배정패널 → 5:경고배너 → 6:빈사물함 → 7:전체현황 → 8:범례</t>
  </si>
  <si>
    <t>GNB '사물함 관리' 클릭</t>
  </si>
  <si>
    <t>사물함 데이터: 그리드 스켈레톤
배정처리: 버튼 로딩</t>
  </si>
  <si>
    <t>빈 사물함 없음: '모든 사물함이 사용 중입니다'</t>
  </si>
  <si>
    <t>≥1024px(lg): 그리드12열
768~1023px(md): 10열
640~767px(sm): 8열
&lt;640px: 5열</t>
  </si>
  <si>
    <t>UI-108, UI-109, UI-110</t>
  </si>
  <si>
    <t>카드 번호 스캔 입력, 회원 매핑, 분실 처리 버튼</t>
  </si>
  <si>
    <t>RFID 리더기 연동</t>
  </si>
  <si>
    <t>미등록 카드: '등록되지 않은 카드입니다'
이미 매핑: '다른 회원에게 배정된 카드'</t>
  </si>
  <si>
    <t>날짜 필터 동적 변경. Mock 데이터 (DB 테이블 생성 예정) (2026-03-13)</t>
  </si>
  <si>
    <t>카드 목록 → 카드 등록/해제</t>
  </si>
  <si>
    <t>GX룸/PT룸 등록/수정/삭제. 예약 시간대 설정</t>
  </si>
  <si>
    <t>UI-111, UI-112</t>
  </si>
  <si>
    <t>룸 카드 뷰, 수용인원 설정, 시간대 슬롯 설정</t>
  </si>
  <si>
    <t>카드 레이아웃</t>
  </si>
  <si>
    <t>SCR-021 (일정 연결)</t>
  </si>
  <si>
    <t>룸 삭제 시 예약 존재: '기존 예약이 있어 삭제할 수 없습니다'</t>
  </si>
  <si>
    <t>카드 접근성</t>
  </si>
  <si>
    <t>카드 반응형</t>
  </si>
  <si>
    <t>빈상태 UI 구현 (2026-03-13)</t>
  </si>
  <si>
    <t>시설 목록 → 시설 상태 → 관리</t>
  </si>
  <si>
    <t>UI-057, UI-058, UI-059, UI-060, UI-061</t>
  </si>
  <si>
    <t>역할 필터, 상태 필터, 검색, 테이블 정렬</t>
  </si>
  <si>
    <t>SCR-061 (등록), 직원 상세 모달</t>
  </si>
  <si>
    <t>검색 결과 없음: '조건에 맞는 직원이 없습니다'</t>
  </si>
  <si>
    <t>페이지네이션 상태 관리 구현. 퇴사 처리 ConfirmDialog (2026-03-13)</t>
  </si>
  <si>
    <t>[헤더] 제목 + 직원등록 버튼
[섹션1: 통계카드] 4개 (전체/재직/휴직/퇴사)
[섹션2: SearchFilter] 직원명/연락처 검색 + role/status 필터
[섹션3: 액션버튼] 4개 (메시지/상태변경/퇴사/다운로드)
[섹션4: DataTable] 8컬럼 (No/이름/역할배지/연락처/입사일/상태/메모/메뉴)
  - 선택가능, 3방향정렬
[다이얼로그] 퇴사확인 (danger)</t>
  </si>
  <si>
    <t>1:헤더 → 2:통계카드4개 → 3:검색/필터 → 4:액션버튼 → 5:테이블</t>
  </si>
  <si>
    <t>GNB '직원 관리' 클릭</t>
  </si>
  <si>
    <t>직원 없음: '등록된 직원이 없습니다'</t>
  </si>
  <si>
    <t>≥1024px(lg): 통계카드4열
&lt;768px: 통계카드1열</t>
  </si>
  <si>
    <t>UI-093, UI-094, UI-095, UI-096, UI-097</t>
  </si>
  <si>
    <t>역할 선택 시 권한 미리보기, 관리자 계정 자동 생성 옵션</t>
  </si>
  <si>
    <t>폼 레이아웃</t>
  </si>
  <si>
    <t>SCR-060 '등록' 버튼</t>
  </si>
  <si>
    <t>SCR-060 (저장 후)</t>
  </si>
  <si>
    <t>필수 미입력: 필드별 에러
중복 이메일: 경고</t>
  </si>
  <si>
    <t>text-error→text-state-error 토큰 통일. aria 접근성 추가 (2026-03-13)</t>
  </si>
  <si>
    <t>[헤더] 제목 + 취소/저장 버튼
[FormSection1: 기본정보] 이름(필수)/역할(select+권한미리보기)/연락처(자동하이픈)/입사일(date)
[FormSection2: 추가정보] 이메일/메모(textarea)
[다이얼로그] 등록취소확인</t>
  </si>
  <si>
    <t>1:헤더 → 2:기본정보폼 → 3:추가정보폼</t>
  </si>
  <si>
    <t>SCR-060 '직원 등록' 버튼</t>
  </si>
  <si>
    <t>저장: 버튼 로딩</t>
  </si>
  <si>
    <t>max-w-[860px]
모든 필드 전체너비</t>
  </si>
  <si>
    <t>월별 급여 현황 테이블. 합계/평균 요약</t>
  </si>
  <si>
    <t>UI-098, UI-099, UI-100</t>
  </si>
  <si>
    <t>월 선택, 지급상태 필터, 합계 행</t>
  </si>
  <si>
    <t>테이블 + 요약 카드</t>
  </si>
  <si>
    <t>SCR-063 (명세서)</t>
  </si>
  <si>
    <t>데이터 없음: '해당 월 급여 데이터가 없습니다'</t>
  </si>
  <si>
    <t>페이지네이션 상태 관리 구현. 필터 변경 시 1페이지 리셋 (2026-03-13)</t>
  </si>
  <si>
    <t>월 선택 → 급여 테이블 → 합계/액션</t>
  </si>
  <si>
    <t>직원별 급여명세서 상세. PDF 다운로드</t>
  </si>
  <si>
    <t>UI-127, UI-128, UI-129</t>
  </si>
  <si>
    <t>직원 선택, 월 선택, 명세서 상세 표시, PDF 다운로드</t>
  </si>
  <si>
    <t>PDF 생성 (html2pdf)</t>
  </si>
  <si>
    <t>SCR-062 직원 클릭</t>
  </si>
  <si>
    <t>명세서 없음: '해당 월 명세서가 없습니다'</t>
  </si>
  <si>
    <t>명세서 접근성</t>
  </si>
  <si>
    <t>A4 레이아웃</t>
  </si>
  <si>
    <t>명세서 인쇄/PDF 레이아웃 (2026-03-13)</t>
  </si>
  <si>
    <t>SMS/카카오톡 메시지 발송. 수신자 선택 + 본문 편집</t>
  </si>
  <si>
    <t>UI-062, UI-063, UI-064, UI-065, UI-066</t>
  </si>
  <si>
    <t>수신자 검색/그룹 선택, 메시지 유형 탭, 미리보기, 발송 이력 테이블</t>
  </si>
  <si>
    <t>메시지 API 연동</t>
  </si>
  <si>
    <t>발송 이력 상세 모달</t>
  </si>
  <si>
    <t>수신자 미선택: '수신자를 선택해주세요'
발송 실패: 실패 건 재발송 옵션</t>
  </si>
  <si>
    <t>2컬럼→1컬럼</t>
  </si>
  <si>
    <t>수신자 수 Supabase count 쿼리로 전환. Toggle 공통 컴포넌트 적용 (2026-03-13)</t>
  </si>
  <si>
    <t>[헤더] 월선택(최근12개월 드롭다운) + 내보내기 버튼
[섹션1: 통계카드] 4개 (총지급대상/총실지급액/지급완료/미지급보류)
[섹션2: SearchFilter] 직원명/역할 + status 필터
[섹션3: DataTable] 7컬럼 (이름/역할/기본급/인센티브(녹색+)/공제(빨강-)/실지급액(파란굵음)/지급상태)
  - 정렬 지원
[합계행] 기본급/인센티브/공제합계+평균, 실지급액 강조
[바로가기배너] 급여명세서 링크 (FileText + 파란배경)</t>
  </si>
  <si>
    <t>1:헤더+월선택 → 2:통계카드4개 → 3:검색/필터 → 4:테이블 → 5:합계행 → 6:명세서배너</t>
  </si>
  <si>
    <t>GNB '급여 관리' 클릭</t>
  </si>
  <si>
    <t>통계카드: 숫자 스켈레톤
테이블: 행 스켈레톤
월 변경: 전체 재조회</t>
  </si>
  <si>
    <t>≥1024px(lg): 통계카드4열
&lt;768px: 통계카드2열</t>
  </si>
  <si>
    <t>자동 알림 규칙 설정 (만료/생일/미출석 등)</t>
  </si>
  <si>
    <t>UI-101, UI-102</t>
  </si>
  <si>
    <t>규칙 토글 ON/OFF, 발송 시점 설정, 메시지 템플릿 편집</t>
  </si>
  <si>
    <t>규칙 엔진 설정 UI</t>
  </si>
  <si>
    <t>SCR-070, GNB</t>
  </si>
  <si>
    <t>SCR-070 (발송 이력)</t>
  </si>
  <si>
    <t>템플릿 미입력: '메시지 내용을 입력해주세요'</t>
  </si>
  <si>
    <t>토글 접근성</t>
  </si>
  <si>
    <t>자동알림 탭 UI 개선. localStorage 기반 설정 저장 (2026-03-13)</t>
  </si>
  <si>
    <t>[헤더] 일괄인쇄 버튼
[통계카드] 3개 (총실지급액/지급완료건/미지급건)
[2열 레이아웃 xl기준]
  - [좌측: 선택패널 sticky]
    - 직원선택(select) + 월선택(select)
    - 명세서상세: 직원정보헤더(primary-light) + 지급항목(Plus녹색) + 공제항목(Minus빨강) + 실지급액(accent-light 강조)
    - 이메일/PDF 버튼
  - [우측: 전체현황]
    - DataTable 7컬럼
[모달] 명세서상세 (스크롤, max-h-[65vh])</t>
  </si>
  <si>
    <t>1:헤더 → 2:통계카드3개 → 3좌:직원/월선택+명세서상세 → 3우:전체현황테이블</t>
  </si>
  <si>
    <t>SCR-070 '명세서 바로가기' 클릭 / GNB</t>
  </si>
  <si>
    <t>데이터 로딩: 전체 스켈레톤
직원변경: 명세서 갱신</t>
  </si>
  <si>
    <t>≥1280px(xl): 2열(선택+현황)
&lt;1280px: 1열(상하스택)
좌측패널: xl에서 sticky</t>
  </si>
  <si>
    <t>좌측패널 xl에서 sticky</t>
  </si>
  <si>
    <t>UI-103, UI-104</t>
  </si>
  <si>
    <t>쿠폰 생성 모달, 발급 대상 선택, 사용 이력 테이블</t>
  </si>
  <si>
    <t>모달 + 테이블</t>
  </si>
  <si>
    <t>쿠폰 상세 모달</t>
  </si>
  <si>
    <t>유효기간 만료: '만료된 쿠폰입니다'
사용 한도 초과: 비활성화</t>
  </si>
  <si>
    <t>쿠폰 관리 CRUD Supabase 연동 (2026-03-13)</t>
  </si>
  <si>
    <t>쿠폰 목록 → 쿠폰 생성/발급</t>
  </si>
  <si>
    <t>회원 마일리지 적립/사용 이력 조회 및 관리</t>
  </si>
  <si>
    <t>UI-105, UI-106, UI-107</t>
  </si>
  <si>
    <t>회원 검색, 적립/차감 모달, 이력 테이블</t>
  </si>
  <si>
    <t>잔액 부족 차감: '마일리지가 부족합니다'</t>
  </si>
  <si>
    <t>마일리지 이력 탭 엑셀 다운로드 실제 구현 (2026-03-13)</t>
  </si>
  <si>
    <t>회원 검색 → 마일리지 현황 → 적립/차감</t>
  </si>
  <si>
    <t>단계별 계약 등록 위자드 (회원→상품→기간→결제→확인)</t>
  </si>
  <si>
    <t>UI-067, UI-068, UI-069, UI-070, UI-071, UI-072</t>
  </si>
  <si>
    <t>스텝 인디케이터, 이전/다음 버튼, 단계별 유효성 검사</t>
  </si>
  <si>
    <t>위자드 컴포넌트</t>
  </si>
  <si>
    <t>SCR-011, SCR-031</t>
  </si>
  <si>
    <t>SCR-011 (완료 후)</t>
  </si>
  <si>
    <t>필수 단계 미완료: '이전 단계를 완료해주세요'
결제 실패: 재시도 옵션</t>
  </si>
  <si>
    <t>스텝 접근성</t>
  </si>
  <si>
    <t>스텝 세로 배치</t>
  </si>
  <si>
    <t>전자서명 Canvas (센터측+고객측 양방향) 구현 (2026-03-13)</t>
  </si>
  <si>
    <t>[헤더] 제목
[탭] 2개 (발송/이력)
[포인트현황카드] 3열(잔여포인트/사용량/발신설정)
[발송탭: 2열 xl기준]
  - [좌측: 수동발송폼]
    - 수신자선택: 그룹빠른선택5버튼 + 선택배지 + 대상검색모달
    - 발송채널: 3라디오(알림톡8원/SMS·LMS/앱푸시무료) + 글자제한안내
    - 예상비용: 단가×수신자 계산
    - 메시지내용: textarea + 글자수게이지 + 변수삽입5버튼
    - 예약발송: checkbox + datetime
  - [우측: 자동알림설정]
    - 고객관련 5토글 + 상품관련 4토글
[이력탭] DataTable 8컬럼
[모달] 수신자검색(체크리스트) / 미리보기(채널+내용+발송버튼)</t>
  </si>
  <si>
    <t>1:헤더 → 2:탭 → 3:포인트현황 → 4좌:수신자+채널+비용+메시지+예약 → 4우:자동알림</t>
  </si>
  <si>
    <t>page (2-column layout on send tab)</t>
  </si>
  <si>
    <t>GNB '메시지 발송' 클릭</t>
  </si>
  <si>
    <t>이력: 테이블 스켈레톤
발송처리: 버튼 로딩</t>
  </si>
  <si>
    <t>수신자 없음: '검색 결과가 없습니다'
이력 없음: '발송 이력이 없습니다'</t>
  </si>
  <si>
    <t>≥1280px(xl): 발송2열
&lt;1280px: 발송1열(폼→자동알림 순서)
포인트: md에서 col-span-2</t>
  </si>
  <si>
    <t>정기 구독 상품 관리. 자동 결제 현황</t>
  </si>
  <si>
    <t>UI-113, UI-114</t>
  </si>
  <si>
    <t>구독 상품 목록, 결제 현황 대시보드, 구독 상세 모달</t>
  </si>
  <si>
    <t>테이블 + 카드</t>
  </si>
  <si>
    <t>구독 상세 모달</t>
  </si>
  <si>
    <t>결제 실패 구독: 경고 배지 표시</t>
  </si>
  <si>
    <t>현재 플랜 → 플랜 비교 → 결제 정보</t>
  </si>
  <si>
    <t>시스템 기본 설정. 센터 정보/영업시간/알림 등</t>
  </si>
  <si>
    <t>UI-073, UI-074, UI-075</t>
  </si>
  <si>
    <t>탭 구성 (기본/알림/테마), 저장 버튼</t>
  </si>
  <si>
    <t>탭 + 폼</t>
  </si>
  <si>
    <t>SCR-091, SCR-092, SCR-093</t>
  </si>
  <si>
    <t>저장 실패: 토스트 에러</t>
  </si>
  <si>
    <t>탭 접근성</t>
  </si>
  <si>
    <t>[헤더] 제목 + 취소 버튼
[Step Indicator] 5단계 프로그레스바 (원형번호/CheckCircle, 색상변화)
[Step1: 회원선택] 검색input + DataTable(4컬럼) + 선택확인배지
[Step2: 상품선택] 2열(좌:탭4개+상품카드그리드 / 우:장바구니sticky)
[Step3: 기간/금액] FormSection3개(계약기간2열/할인설정2열+미리보기/특약메모) + 안내배너
[Step4: 결제] 2열(좌:결제수단4버튼+금액요약 / 우:결제실행버튼)
[Step5: 확인] 안내배너 + 계약요약카드(회원/조건/상품/금액)
[하단] 이전/다음(또는 완료) 버튼</t>
  </si>
  <si>
    <t>1:헤더 → 2:스텝인디케이터 → 3:스텝콘텐츠(1~5) → 4:이전/다음버튼</t>
  </si>
  <si>
    <t>page (5-step wizard)</t>
  </si>
  <si>
    <t>GNB '전자계약' 클릭</t>
  </si>
  <si>
    <t>회원/상품 조회: 테이블/카드 스켈레톤
Step전환: 애니메이션(animate-in)</t>
  </si>
  <si>
    <t>회원 없음: '검색 결과가 없습니다'
상품 없음: '등록된 상품이 없습니다'
장바구니 비어있음: '상품을 선택해주세요'</t>
  </si>
  <si>
    <t>Step Indicator: min-w-[600px] 가로스크롤
메인: max-w-[1200px]
Step2,4: lg에서 2열</t>
  </si>
  <si>
    <t>하단 이전/다음 버튼 고정</t>
  </si>
  <si>
    <t>UI-076, UI-077, UI-078</t>
  </si>
  <si>
    <t>역할 탭, 권한 체크박스 매트릭스, 일괄 설정</t>
  </si>
  <si>
    <t>매트릭스 테이블</t>
  </si>
  <si>
    <t>SCR-090, GNB</t>
  </si>
  <si>
    <t>권한 충돌: 경고 표시</t>
  </si>
  <si>
    <t>체크박스 접근성</t>
  </si>
  <si>
    <t>테이블 가로스크롤</t>
  </si>
  <si>
    <t>역할별 권한 매트릭스 UI. hasPermission 연동 (2026-03-13)</t>
  </si>
  <si>
    <t>[헤더] 제목 + 신규쿠폰생성 버튼
[섹션1: 통계카드] 4개 (전체/활성/총발급/사용완료)
[탭] 2개 (쿠폰목록/발급이력)
[쿠폰목록탭] SearchFilter(상태/유형) + DataTable 8컬럼(쿠폰명+코드배지/유형/할인값/사용현황 프로그레스바/유효기간+D-day/상태/등록일/메뉴)
[발급이력탭] SearchFilter(발급일/쿠폰/상태) + DataTable 8컬럼
[모달] 쿠폰생성폼(쿠폰명/코드자동생성/유형라디오/한도/할인방식/유효기간/조건/메모) / 쿠폰발급(개인·그룹토글/수신자검색태그/수량/알림메시지)
[다이얼로그] 삭제확인</t>
  </si>
  <si>
    <t>1:헤더 → 2:통계카드4개 → 3:탭 → 4:검색/필터 → 5:테이블</t>
  </si>
  <si>
    <t>GNB '쿠폰 관리' 클릭</t>
  </si>
  <si>
    <t>통계카드: 스켈레톤
테이블: 행 스켈레톤</t>
  </si>
  <si>
    <t>쿠폰 없음: '등록된 쿠폰이 없습니다'
발급이력 없음: '발급 이력이 없습니다'</t>
  </si>
  <si>
    <t>≥768px(md): 통계카드4열
&lt;768px: 통계카드1열
모달: max-w-2xl</t>
  </si>
  <si>
    <t>UI-115, UI-116</t>
  </si>
  <si>
    <t>미리보기, 로고 업로드, 동작 시나리오 설정</t>
  </si>
  <si>
    <t>미리보기 컴포넌트</t>
  </si>
  <si>
    <t>이미지 용량 초과: '5MB 이하 파일만 업로드 가능합니다'</t>
  </si>
  <si>
    <t>placeholder URL 제거, 빈 상태 UI 구현 (2026-03-13)</t>
  </si>
  <si>
    <t>[헤더] 제목 + 엑셀다운로드 버튼
[섹션1: 통계카드] 4개 (발행/사용/잔여/이번달적립)
[탭] 3개 (현황/이력/정책)
[현황탭] SearchFilter(회원명/연락처+정렬/만료임박) + DataTable 9컬럼(아바타+회원명링크/연락처/적립/사용/잔여(bold)/최근적립일/만료예정일+D-day/메뉴)
[이력탭] SearchFilter(회원명+기간/처리유형) + DataTable 8컬럼
[정책탭] 변경감지배너(amber) + FormSection3개(기본적립/사용제한/대상상품) + 저장버튼(isDirty)
[모달] 수동조정(적립·차감토글/금액/사유/메모)
[다이얼로그] 정책변경확인</t>
  </si>
  <si>
    <t>1:헤더 → 2:통계카드4개 → 3:탭 → 4:탭콘텐츠</t>
  </si>
  <si>
    <t>GNB '마일리지 관리' 클릭</t>
  </si>
  <si>
    <t>현황 없음: '마일리지 데이터가 없습니다'
이력 없음: '이력이 없습니다'</t>
  </si>
  <si>
    <t>≥1024px(lg): 통계카드4열
&lt;768px: 통계카드2열
정책탭: max-w-4xl</t>
  </si>
  <si>
    <t>UI-117, UI-118</t>
  </si>
  <si>
    <t>기기 목록, 연결 상태 표시, 테스트 버튼</t>
  </si>
  <si>
    <t>기기 연동 API</t>
  </si>
  <si>
    <t>연결 실패: '기기와 연결할 수 없습니다' + 재시도</t>
  </si>
  <si>
    <t>상태 아이콘 alt-text</t>
  </si>
  <si>
    <t>IoT 기기 CRUD. Mock 데이터 (DB 테이블 생성 예정) (2026-03-13)</t>
  </si>
  <si>
    <t>[헤더] 제목 + 신규등록 버튼
[섹션1: 통계카드] 3개 (전체/활성/미사용·해제·분실)
[섹션2: SearchFilter] 카드번호/회원명 + 상태필터
[섹션3: DataTable] 9컬럼 (등록일/카드번호(mono)/회원명링크/유형배지/상태(dot)/발급일/사물함/메뉴)
[모달] 카드등록(스캔UI pulse애니메이션 + 카드입력 + 사용자유형라디오 + 회원검색드롭다운 + 매핑확인카드 + 락커번호) / 이력조회(날짜범위+테이블)
[다이얼로그] 삭제확인</t>
  </si>
  <si>
    <t>1:헤더 → 2:통계카드3개 → 3:검색/필터 → 4:테이블</t>
  </si>
  <si>
    <t>GNB '밴드/카드' 클릭</t>
  </si>
  <si>
    <t>통계카드: 스켈레톤
테이블: 행 스켈레톤
카드스캔: pulse 애니메이션</t>
  </si>
  <si>
    <t>카드 없음: '등록된 카드가 없습니다'
이력 없음: '이력이 없습니다'</t>
  </si>
  <si>
    <t>≥768px(md): 통계카드3열
&lt;768px: 통계카드1열
모달: max-w-[560px]</t>
  </si>
  <si>
    <t>지점 CRUD. 멀티테넌트 관리</t>
  </si>
  <si>
    <t>UI-079, UI-080, UI-081</t>
  </si>
  <si>
    <t>지점 카드/테이블 뷰 전환, 지점 추가 모달, 데이터 초기화</t>
  </si>
  <si>
    <t>카드/테이블 토글</t>
  </si>
  <si>
    <t>GNB 메뉴 (최고관리자만)</t>
  </si>
  <si>
    <t>지점 상세 모달</t>
  </si>
  <si>
    <t>지점 삭제 시 데이터 존재: '소속 데이터가 있어 삭제 불가'</t>
  </si>
  <si>
    <t>카드/테이블 접근성</t>
  </si>
  <si>
    <t>하드코딩 날짜→동적 today 변환 (2026-03-13)</t>
  </si>
  <si>
    <t>[헤더] 제목 + 연결상태배지(Wifi아이콘) + 설정저장 버튼
[에러배너] 오프라인 시 (조건부)
[탭] 4개 (기본설정/화면설정/TTS설정/출입규칙)
[기본설정탭] 2열(좌:FormSection(키오스크타입/입장방식/시스템설정) / 우:KioskPreview 폰프레임목업)
[화면설정탭] FormSection(로고/배경/테마색상/환영문구/공지·날씨/광고배너)
[TTS설정탭] FormSection(안내메시지) + 테이블(이벤트/메시지/Play재생버튼)
[출입규칙탭] FormSection(출입시간/만료회원/중복체크인)</t>
  </si>
  <si>
    <t>1:헤더+상태 → 2:에러배너(조건부) → 3:탭 → 4:탭콘텐츠</t>
  </si>
  <si>
    <t>GNB '키오스크' 클릭</t>
  </si>
  <si>
    <t>설정 로딩: 전체 스켈레톤
저장: 버튼 로딩 + toast</t>
  </si>
  <si>
    <t>없음 (설정 페이지, 기본값 존재)</t>
  </si>
  <si>
    <t>기본설정: lg에서 3열(좌2:우1 preview)
&lt;1024px: 1열(preview 아래로)
모바일: 체크인방식 숨김</t>
  </si>
  <si>
    <t>SCR-000</t>
  </si>
  <si>
    <t>공통 레이아웃</t>
  </si>
  <si>
    <t>전체 화면 공통 레이아웃. AppHeader(GNB) + AppSidebar + 콘텐츠 영역. 사이드바 접기/펼치기, 반응형</t>
  </si>
  <si>
    <t>UI-201,UI-202,UI-203</t>
  </si>
  <si>
    <t>사이드바 접기/펼치기 시 콘텐츠 영역 자동 조정, 반응형 브레이크포인트(1024px/768px)</t>
  </si>
  <si>
    <t>사이드바 aria-label/sr-only 접근성. 역할 기반 메뉴 필터링. 슈퍼관리자 지점 전환 (2026-03-13)</t>
  </si>
  <si>
    <t>[GNB] 상단 고정 헤더 (h:56px)
[Sidebar] 좌측 사이드바 (w:240px, 접힌 상태 60px)
[Content] 우측 메인 콘텐츠 영역 (flex-1, p-6)</t>
  </si>
  <si>
    <t>1:GNB → 2:Sidebar → 3:Content</t>
  </si>
  <si>
    <t>layout (모든 페이지 공통 래퍼)</t>
  </si>
  <si>
    <t>로그인 성공 후</t>
  </si>
  <si>
    <t>N/A</t>
  </si>
  <si>
    <t>≥1024px: 사이드바 240px + 콘텐츠
768~1023px: 사이드바 60px(아이콘만)
&lt;768px: 사이드바 숨김, 햄버거 메뉴</t>
  </si>
  <si>
    <t>GNB 상단 고정, Sidebar 좌측 고정</t>
  </si>
  <si>
    <t>SCR-ERR</t>
  </si>
  <si>
    <t>404 에러</t>
  </si>
  <si>
    <t>/*</t>
  </si>
  <si>
    <t>존재하지 않는 경로 접근 시 표시. 메인으로 돌아가기 버튼</t>
  </si>
  <si>
    <t>(없음)</t>
  </si>
  <si>
    <t>메인으로 돌아가기 버튼 클릭→대시보드(/)로 이동</t>
  </si>
  <si>
    <t>[중앙] 404 아이콘 + "페이지를 찾을 수 없습니다" 메시지 + 홈으로 돌아가기 버튼</t>
  </si>
  <si>
    <t>1:404 아이콘 → 2:에러 메시지 → 3:돌아가기 버튼</t>
  </si>
  <si>
    <t>page (사이드바 없음)</t>
  </si>
  <si>
    <t>잘못된 URL 직접 접근</t>
  </si>
  <si>
    <t>반응형 중앙 정렬</t>
  </si>
  <si>
    <t>SCR-001-E</t>
  </si>
  <si>
    <t>로그인 - 에러 상태</t>
  </si>
  <si>
    <t>로그인 실패 시 에러 메시지 표시 상태. 빨간 배경 에러 박스 활성</t>
  </si>
  <si>
    <t>(해당 없음)</t>
  </si>
  <si>
    <t>에러 메시지 닫기, 재입력 시 에러 초기화</t>
  </si>
  <si>
    <t>SCR-001 로그인 실패 시</t>
  </si>
  <si>
    <t>계정 잠금: '5회 실패로 잠겼습니다. 30분 후 다시 시도하세요'</t>
  </si>
  <si>
    <t>SCR-001과 동일</t>
  </si>
  <si>
    <t>로고 → 이메일 입력 → 비밀번호 입력 → 로그인 버튼</t>
  </si>
  <si>
    <t>state (에러 상태)</t>
  </si>
  <si>
    <t>로그인 실패 시</t>
  </si>
  <si>
    <t>SCR-001-L</t>
  </si>
  <si>
    <t>로그인 - 로딩 상태</t>
  </si>
  <si>
    <t>로그인 버튼 클릭 후 인증 처리 중 상태. 버튼 비활성 + Loader2 스핀</t>
  </si>
  <si>
    <t>로딩 중 입력 비활성, ESC 취소 불가</t>
  </si>
  <si>
    <t>SCR-001 로그인 버튼 클릭</t>
  </si>
  <si>
    <t>타임아웃: 10초 후 자동 실패 처리</t>
  </si>
  <si>
    <t>스켈레톤 UI</t>
  </si>
  <si>
    <t>state (로딩 상태)</t>
  </si>
  <si>
    <t>로그인 버튼 클릭</t>
  </si>
  <si>
    <t>로그인 버튼: Loader2 스핀 + '로그인 중...'</t>
  </si>
  <si>
    <t>SCR-001-M</t>
  </si>
  <si>
    <t>로그인 - 모바일 뷰</t>
  </si>
  <si>
    <t>Mobile</t>
  </si>
  <si>
    <t>모바일 브라우저에서의 로그인 화면. 풀스크린 카드, 키보드 대응</t>
  </si>
  <si>
    <t>키보드 올라올 때 뷰포트 조정</t>
  </si>
  <si>
    <t>키보드 올라올 때 스크롤 가능</t>
  </si>
  <si>
    <t>URL 직접 접근</t>
  </si>
  <si>
    <t>터치 대상 44px 이상</t>
  </si>
  <si>
    <t>&lt;768px 풀너비</t>
  </si>
  <si>
    <t>풀스크린 카드, padding 축소</t>
  </si>
  <si>
    <t>page (모바일)</t>
  </si>
  <si>
    <t>URL 직접접근</t>
  </si>
  <si>
    <t>풀너비, gap 축소, 로고 축소</t>
  </si>
  <si>
    <t>SCR-002-L</t>
  </si>
  <si>
    <t>대시보드 - 로딩 상태</t>
  </si>
  <si>
    <t>대시보드 초기 로딩 시 스켈레톤 UI 표시 상태</t>
  </si>
  <si>
    <t>스켈레톤 애니메이션, 수동 갱신 버튼 비활성</t>
  </si>
  <si>
    <t>SCR-001 로그인 성공 후</t>
  </si>
  <si>
    <t>5초 후 로딩 실패 시 에러 전환</t>
  </si>
  <si>
    <t>SCR-002와 동일 (스켈레톤)</t>
  </si>
  <si>
    <t>state (로딩)</t>
  </si>
  <si>
    <t>페이지 진입</t>
  </si>
  <si>
    <t>통계카드 스켈레톤 + 차트 스피너 + 리스트 행 스켈레톤</t>
  </si>
  <si>
    <t>SCR-002와 동일</t>
  </si>
  <si>
    <t>SCR-002-E</t>
  </si>
  <si>
    <t>대시보드 - 에러 상태</t>
  </si>
  <si>
    <t>데이터 로딩 실패 시 각 섹션별 독립 에러 표시</t>
  </si>
  <si>
    <t>재시도 버튼 클릭 시 해당 섹션만 재로딩</t>
  </si>
  <si>
    <t>SCR-002 데이터 로딩 실패</t>
  </si>
  <si>
    <t>각 섹션별 '데이터를 불러올 수 없습니다' + 재시도 버튼</t>
  </si>
  <si>
    <t>통계 카드 → 차트 영역 → 최근 활동</t>
  </si>
  <si>
    <t>state (에러)</t>
  </si>
  <si>
    <t>데이터 로딩 실패</t>
  </si>
  <si>
    <t>SCR-002-EM</t>
  </si>
  <si>
    <t>대시보드 - 빈 상태</t>
  </si>
  <si>
    <t>신규 지점/데이터 없음 시 Empty State UI 표시</t>
  </si>
  <si>
    <t>회원 등록/상품 등록 바로가기 버튼</t>
  </si>
  <si>
    <t>SCR-001 로그인 (신규 지점)</t>
  </si>
  <si>
    <t>전체: '아직 데이터가 없습니다' 안내 + 시작하기 가이드</t>
  </si>
  <si>
    <t>빈 상태 아이콘 → 안내 문구 → CTA 버튼</t>
  </si>
  <si>
    <t>state (빈 상태)</t>
  </si>
  <si>
    <t>신규 지점 로그인</t>
  </si>
  <si>
    <t>통계: 0 표시
모든 리스트: '데이터가 없습니다'</t>
  </si>
  <si>
    <t>SCR-002-M</t>
  </si>
  <si>
    <t>대시보드 - 모바일 뷰</t>
  </si>
  <si>
    <t>모바일 브라우저 대시보드. 카드 1열, 차트 축소, 리스트 축소</t>
  </si>
  <si>
    <t>스와이프로 통계카드 넘기기, 탭으로 차트 전환</t>
  </si>
  <si>
    <t>터치 스와이프 대응</t>
  </si>
  <si>
    <t>터치 대상 44px</t>
  </si>
  <si>
    <t>&lt;768px 레이아웃</t>
  </si>
  <si>
    <t>카드 2열→1열, 차트 1열, 리스트 1열</t>
  </si>
  <si>
    <t>카드2열, 차트1열, 리스트1열</t>
  </si>
  <si>
    <t>SCR-010-F</t>
  </si>
  <si>
    <t>회원 목록 - 상태필터 활성</t>
  </si>
  <si>
    <t>상태필터(활성/만료/미등록 등) 선택 시 필터링된 결과 표시</t>
  </si>
  <si>
    <t>필터 탭 전환, 검색+필터 조합, 필터 초기화 버튼</t>
  </si>
  <si>
    <t>SCR-010 상태필터 클릭</t>
  </si>
  <si>
    <t>필터 결과 0건 시 EmptyState 표시</t>
  </si>
  <si>
    <t>SCR-010과 동일</t>
  </si>
  <si>
    <t>검색/필터 바 → 데이터 테이블 → 페이지네이션</t>
  </si>
  <si>
    <t>state (필터 활성)</t>
  </si>
  <si>
    <t>상태필터 탭 클릭</t>
  </si>
  <si>
    <t>필터 결과 0건: '조건에 맞는 회원이 없습니다'</t>
  </si>
  <si>
    <t>GNB + 벌크액션바</t>
  </si>
  <si>
    <t>SCR-010-S</t>
  </si>
  <si>
    <t>회원 목록 - 검색결과</t>
  </si>
  <si>
    <t>검색어 입력 후 실시간 검색 결과 표시. 300ms debounce</t>
  </si>
  <si>
    <t>실시간 검색, 검색어 하이라이트, 검색 초기화 X버튼</t>
  </si>
  <si>
    <t>SCR-010 검색창 입력</t>
  </si>
  <si>
    <t>결과 없음: '검색 결과가 없습니다' + 검색어 확인 안내</t>
  </si>
  <si>
    <t>state (검색)</t>
  </si>
  <si>
    <t>검색창 입력</t>
  </si>
  <si>
    <t>검색 중: 인풋 우측 스피너</t>
  </si>
  <si>
    <t>검색 결과 없음: EmptyState</t>
  </si>
  <si>
    <t>GNB</t>
  </si>
  <si>
    <t>SCR-010-EM</t>
  </si>
  <si>
    <t>회원 목록 - 빈 상태</t>
  </si>
  <si>
    <t>회원 0명일 때 EmptyState 표시. 회원 등록 바로가기 버튼</t>
  </si>
  <si>
    <t>회원 등록 버튼 → SCR-012 이동</t>
  </si>
  <si>
    <t>SCR-010 (데이터 0건)</t>
  </si>
  <si>
    <t>'등록된 회원이 없습니다' + '회원을 등록해보세요' CTA</t>
  </si>
  <si>
    <t>페이지 진입 (회원 0건)</t>
  </si>
  <si>
    <t>통계카드: 0</t>
  </si>
  <si>
    <t>'등록된 회원이 없습니다' EmptyState</t>
  </si>
  <si>
    <t>SCR-010-BK</t>
  </si>
  <si>
    <t>회원 목록 - 벌크액션바</t>
  </si>
  <si>
    <t>체크박스로 회원 다중 선택 시 벌크 액션바 표시 (상태변경/메시지발송 등)</t>
  </si>
  <si>
    <t>전체선택, 선택 해제, 상태 일괄변경, 메시지 일괄발송</t>
  </si>
  <si>
    <t>SCR-010 체크박스 선택</t>
  </si>
  <si>
    <t>1000명 이상 선택 시 경고</t>
  </si>
  <si>
    <t>SCR-010과 동일 + 벌크액션바</t>
  </si>
  <si>
    <t>state (벌크 선택)</t>
  </si>
  <si>
    <t>체크박스 1개 이상 선택</t>
  </si>
  <si>
    <t>벌크액션바: 테이블 상단 고정</t>
  </si>
  <si>
    <t>SCR-010-L</t>
  </si>
  <si>
    <t>회원 목록 - 로딩 상태</t>
  </si>
  <si>
    <t>회원 목록 초기 로딩 시 스켈레톤 UI</t>
  </si>
  <si>
    <t>스켈레톤 행 5줄 표시</t>
  </si>
  <si>
    <t>SCR-010 페이지 진입</t>
  </si>
  <si>
    <t>5초 후 타임아웃 시 에러 전환</t>
  </si>
  <si>
    <t>SCR-010과 동일 (스켈레톤)</t>
  </si>
  <si>
    <t>통계카드 스켈레톤 + 테이블 행 스켈레톤 5줄</t>
  </si>
  <si>
    <t>SCR-010-E</t>
  </si>
  <si>
    <t>회원 목록 - 에러 상태</t>
  </si>
  <si>
    <t>회원 목록 로딩 실패 시 에러 표시 + 재시도</t>
  </si>
  <si>
    <t>재시도 버튼 클릭 시 목록 재조회</t>
  </si>
  <si>
    <t>SCR-010 데이터 로딩 실패</t>
  </si>
  <si>
    <t>'데이터를 불러올 수 없습니다' + 재시도 버튼</t>
  </si>
  <si>
    <t>SCR-010-M</t>
  </si>
  <si>
    <t>회원 목록 - 모바일 뷰</t>
  </si>
  <si>
    <t>모바일 회원 목록. 카드형 리스트, 검색 상단 고정</t>
  </si>
  <si>
    <t>스와이프 동작, 무한스크롤, 검색 고정</t>
  </si>
  <si>
    <t>터치 대응, 카드형 리스트</t>
  </si>
  <si>
    <t>카드형 리스트</t>
  </si>
  <si>
    <t>카드형 리스트 레이아웃</t>
  </si>
  <si>
    <t>카드형, 검색 상단고정</t>
  </si>
  <si>
    <t>GNB + 검색바</t>
  </si>
  <si>
    <t>SCR-011-T1</t>
  </si>
  <si>
    <t>회원 상세 - 기본정보 탭</t>
  </si>
  <si>
    <t>기본정보 탭 활성 상태. 이름/연락처/성별/생년월일/상태/메모 표시</t>
  </si>
  <si>
    <t>정보 인라인 수정, 프로필 사진 클릭 시 확대</t>
  </si>
  <si>
    <t>SCR-011 기본정보 탭 클릭</t>
  </si>
  <si>
    <t>필수 정보 누락 시 경고</t>
  </si>
  <si>
    <t>SCR-011과 동일 + 기본정보 영역</t>
  </si>
  <si>
    <t>프로필 헤더 → 탭 네비게이션 → 탭 콘텐츠</t>
  </si>
  <si>
    <t>state (기본정보 탭)</t>
  </si>
  <si>
    <t>탭 클릭 / 기본 진입</t>
  </si>
  <si>
    <t>탭 콘텐츠 로딩 스피너</t>
  </si>
  <si>
    <t>정보 없음: '-' 표시</t>
  </si>
  <si>
    <t>SCR-011과 동일</t>
  </si>
  <si>
    <t>GNB + 탭네비 sticky</t>
  </si>
  <si>
    <t>SCR-011-T2</t>
  </si>
  <si>
    <t>회원 상세 - 계약현황 탭</t>
  </si>
  <si>
    <t>계약현황(이용권/수강권) 탭. 활성/만료 이용권 목록 + 잔여일 표시</t>
  </si>
  <si>
    <t>이용권 상세 펼치기, 환불 버튼, 연장 버튼</t>
  </si>
  <si>
    <t>SCR-011 계약현황 탭 클릭</t>
  </si>
  <si>
    <t>이용권 없음: '등록된 이용권이 없습니다'</t>
  </si>
  <si>
    <t>SCR-011과 동일 + 이용권 목록</t>
  </si>
  <si>
    <t>state (계약현황 탭)</t>
  </si>
  <si>
    <t>계약현황 탭 클릭</t>
  </si>
  <si>
    <t>탭 콘텐츠 lazy load</t>
  </si>
  <si>
    <t>이용권 없음: EmptyState</t>
  </si>
  <si>
    <t>SCR-011-T3</t>
  </si>
  <si>
    <t>회원 상세 - 출석이력 탭</t>
  </si>
  <si>
    <t>출석이력 탭. 캘린더 히트맵 + 출석 로그 테이블</t>
  </si>
  <si>
    <t>캘린더 날짜 클릭 시 상세, 월 네비게이션</t>
  </si>
  <si>
    <t>SCR-011 출석 탭 클릭</t>
  </si>
  <si>
    <t>출석 없음: '출석 기록이 없습니다'</t>
  </si>
  <si>
    <t>SCR-011과 동일 + 캘린더 + 테이블</t>
  </si>
  <si>
    <t>state (출석 탭)</t>
  </si>
  <si>
    <t>출석 탭 클릭</t>
  </si>
  <si>
    <t>캘린더/테이블 로딩</t>
  </si>
  <si>
    <t>출석 없음: EmptyState</t>
  </si>
  <si>
    <t>SCR-011-T4</t>
  </si>
  <si>
    <t>회원 상세 - 체성분 탭</t>
  </si>
  <si>
    <t>체성분 탭. InBody 기록 차트 + 측정 이력 테이블</t>
  </si>
  <si>
    <t>차트 기간 필터, 측정값 비교, 새 측정 기록 추가</t>
  </si>
  <si>
    <t>SCR-011 체성분 탭 클릭</t>
  </si>
  <si>
    <t>측정 없음: '체성분 측정 기록이 없습니다'</t>
  </si>
  <si>
    <t>SCR-011과 동일 + 차트 + 테이블</t>
  </si>
  <si>
    <t>state (체성분 탭)</t>
  </si>
  <si>
    <t>체성분 탭 클릭</t>
  </si>
  <si>
    <t>차트/테이블 로딩</t>
  </si>
  <si>
    <t>측정 없음: EmptyState</t>
  </si>
  <si>
    <t>SCR-011-T5</t>
  </si>
  <si>
    <t>회원 상세 - 결제내역 탭</t>
  </si>
  <si>
    <t>결제내역 탭. 결제/환불 이력 테이블 + 미수금 표시</t>
  </si>
  <si>
    <t>결제상세 펼치기, 영수증 출력, 환불 처리</t>
  </si>
  <si>
    <t>SCR-011 결제내역 탭 클릭</t>
  </si>
  <si>
    <t>결제 없음: '결제 내역이 없습니다'</t>
  </si>
  <si>
    <t>SCR-011과 동일 + 결제 테이블</t>
  </si>
  <si>
    <t>state (결제 탭)</t>
  </si>
  <si>
    <t>결제내역 탭 클릭</t>
  </si>
  <si>
    <t>테이블 로딩</t>
  </si>
  <si>
    <t>결제 없음: EmptyState</t>
  </si>
  <si>
    <t>SCR-011-T6</t>
  </si>
  <si>
    <t>회원 상세 - 커뮤니케이션 탭</t>
  </si>
  <si>
    <t>커뮤니케이션 탭. 상담기록/메시지발송이력/메모 관리</t>
  </si>
  <si>
    <t>상담기록 추가, 메시지 발송, 메모 작성</t>
  </si>
  <si>
    <t>SCR-011 커뮤니케이션 탭 클릭</t>
  </si>
  <si>
    <t>기록 없음: '커뮤니케이션 기록이 없습니다'</t>
  </si>
  <si>
    <t>SCR-011과 동일 + 기록 목록</t>
  </si>
  <si>
    <t>state (커뮤니케이션 탭)</t>
  </si>
  <si>
    <t>커뮤니케이션 탭 클릭</t>
  </si>
  <si>
    <t>기록 목록 로딩</t>
  </si>
  <si>
    <t>기록 없음: EmptyState</t>
  </si>
  <si>
    <t>SCR-011-RF</t>
  </si>
  <si>
    <t>회원 상세 - 환불 모달</t>
  </si>
  <si>
    <t>이용권/결제 환불 처리 모달. 환불금액 계산 + 사유 입력</t>
  </si>
  <si>
    <t>환불 금액 자동계산, 사유 필수입력, 환불 확인 더블체크</t>
  </si>
  <si>
    <t>SCR-011 환불 버튼 클릭</t>
  </si>
  <si>
    <t>환불 불가: 이미 환불됨/기간 초과 안내</t>
  </si>
  <si>
    <t>오버레이 모달 (max-w-[500px])</t>
  </si>
  <si>
    <t>모달 헤더 → 입력 폼 → 하단 버튼</t>
  </si>
  <si>
    <t>modal</t>
  </si>
  <si>
    <t>환불 버튼 클릭</t>
  </si>
  <si>
    <t>환불 처리 중 스피너</t>
  </si>
  <si>
    <t>모달 내부 스크롤</t>
  </si>
  <si>
    <t>모달 오버레이 배경</t>
  </si>
  <si>
    <t>SCR-011-DEL</t>
  </si>
  <si>
    <t>회원 상세 - 삭제 확인 모달</t>
  </si>
  <si>
    <t>회원 삭제(비활성화) 확인 다이얼로그. 경고 메시지 + 확인/취소</t>
  </si>
  <si>
    <t>삭제 확인 시 soft delete 처리, 목록으로 이동</t>
  </si>
  <si>
    <t>SCR-011 삭제 버튼 클릭</t>
  </si>
  <si>
    <t>삭제 실패: 에러 toast</t>
  </si>
  <si>
    <t>AlertDialog 중앙</t>
  </si>
  <si>
    <t>dialog</t>
  </si>
  <si>
    <t>삭제 버튼 클릭</t>
  </si>
  <si>
    <t>삭제 처리 중 스피너</t>
  </si>
  <si>
    <t>고정 너비 다이얼로그</t>
  </si>
  <si>
    <t>오버레이 배경</t>
  </si>
  <si>
    <t>SCR-011-L</t>
  </si>
  <si>
    <t>회원 상세 - 로딩 상태</t>
  </si>
  <si>
    <t>회원 상세 초기 진입 시 프로필 카드 + 탭 콘텐츠 스켈레톤</t>
  </si>
  <si>
    <t>스켈레톤 표시</t>
  </si>
  <si>
    <t>5초 후 타임아웃</t>
  </si>
  <si>
    <t>SCR-011과 동일 (스켈레톤)</t>
  </si>
  <si>
    <t>프로필 카드 스켈레톤 + 탭 콘텐츠 스피너</t>
  </si>
  <si>
    <t>SCR-011-404</t>
  </si>
  <si>
    <t>회원 상세 - 404 상태</t>
  </si>
  <si>
    <t>존재하지 않는 회원 ID 접근 시 404 표시</t>
  </si>
  <si>
    <t>목록으로 돌아가기 버튼</t>
  </si>
  <si>
    <t>잘못된 회원 ID로 접근</t>
  </si>
  <si>
    <t>'회원을 찾을 수 없습니다' + 목록 돌아가기</t>
  </si>
  <si>
    <t>404 EmptyState 중앙</t>
  </si>
  <si>
    <t>state (404)</t>
  </si>
  <si>
    <t>잘못된 ID 접근</t>
  </si>
  <si>
    <t>'회원을 찾을 수 없습니다'</t>
  </si>
  <si>
    <t>SCR-011-M</t>
  </si>
  <si>
    <t>회원 상세 - 모바일 뷰</t>
  </si>
  <si>
    <t>모바일 회원 상세. 프로필 축소, 탭 세로배치</t>
  </si>
  <si>
    <t>탭 스와이프 전환</t>
  </si>
  <si>
    <t>탭 스와이프, 프로필 축소</t>
  </si>
  <si>
    <t>회원 목록 카드 클릭</t>
  </si>
  <si>
    <t>터치 44px</t>
  </si>
  <si>
    <t>&lt;768px</t>
  </si>
  <si>
    <t>프로필 축소 + 탭 세로배치</t>
  </si>
  <si>
    <t>회원 카드 클릭</t>
  </si>
  <si>
    <t>프로필 축소, 탭 세로</t>
  </si>
  <si>
    <t>SCR-012-V</t>
  </si>
  <si>
    <t>회원 등록 - 유효성 에러</t>
  </si>
  <si>
    <t>폼 유효성 검사 실패 시 각 필드별 에러 메시지 표시</t>
  </si>
  <si>
    <t>에러 필드 포커스, 스크롤 이동, 에러 메시지 표시</t>
  </si>
  <si>
    <t>SCR-012 저장 버튼 클릭</t>
  </si>
  <si>
    <t>필수 필드 미입력 시 에러, 연락처 형식 에러</t>
  </si>
  <si>
    <t>SCR-012와 동일</t>
  </si>
  <si>
    <t>폼 섹션 → 입력 필드 → 저장/취소 버튼</t>
  </si>
  <si>
    <t>state (유효성 에러)</t>
  </si>
  <si>
    <t>저장 클릭 (유효성 실패)</t>
  </si>
  <si>
    <t>SCR-012-L</t>
  </si>
  <si>
    <t>회원 등록 - 저장 중</t>
  </si>
  <si>
    <t>회원 등록 API 호출 중 로딩 상태. 버튼 비활성 + 스피너</t>
  </si>
  <si>
    <t>저장 버튼 비활성, 폼 수정 불가</t>
  </si>
  <si>
    <t>SCR-012 저장 클릭</t>
  </si>
  <si>
    <t>저장 실패 시 에러 toast</t>
  </si>
  <si>
    <t>state (저장 중)</t>
  </si>
  <si>
    <t>저장 버튼 클릭</t>
  </si>
  <si>
    <t>저장 버튼: 스피너 + '등록 중...'</t>
  </si>
  <si>
    <t>SCR-012-M</t>
  </si>
  <si>
    <t>회원 등록 - 모바일 뷰</t>
  </si>
  <si>
    <t>모바일 회원 등록 폼. 풀너비 입력, 세로 레이아웃</t>
  </si>
  <si>
    <t>키보드 대응, 스크롤</t>
  </si>
  <si>
    <t>SCR-010 회원추가 버튼</t>
  </si>
  <si>
    <t>풀너비 세로 레이아웃</t>
  </si>
  <si>
    <t>회원추가 버튼</t>
  </si>
  <si>
    <t>풀너비 입력, 세로 레이아웃</t>
  </si>
  <si>
    <t>SCR-013-V</t>
  </si>
  <si>
    <t>회원 수정 - 유효성 에러</t>
  </si>
  <si>
    <t>수정 폼 유효성 검사 실패 상태</t>
  </si>
  <si>
    <t>에러 필드 포커스, 에러 메시지 표시</t>
  </si>
  <si>
    <t>SCR-013 저장 클릭</t>
  </si>
  <si>
    <t>필수 필드 에러, 연락처 중복 체크</t>
  </si>
  <si>
    <t>SCR-013과 동일</t>
  </si>
  <si>
    <t>SCR-013-L</t>
  </si>
  <si>
    <t>회원 수정 - 저장 중</t>
  </si>
  <si>
    <t>회원 수정 API 호출 중 로딩 상태</t>
  </si>
  <si>
    <t>저장 버튼 비활성</t>
  </si>
  <si>
    <t>저장 클릭</t>
  </si>
  <si>
    <t>저장 버튼: 스피너 + '수정 중...'</t>
  </si>
  <si>
    <t>SCR-020-L</t>
  </si>
  <si>
    <t>출석 관리 - 로딩 상태</t>
  </si>
  <si>
    <t>출석 목록 로딩 시 스켈레톤 표시</t>
  </si>
  <si>
    <t>스켈레톤 행 표시</t>
  </si>
  <si>
    <t>SCR-020 페이지 진입</t>
  </si>
  <si>
    <t>로딩 실패 시 에러 전환</t>
  </si>
  <si>
    <t>SCR-020과 동일 (스켈레톤)</t>
  </si>
  <si>
    <t>통계카드 스켈레톤 + 테이블 스켈레톤</t>
  </si>
  <si>
    <t>SCR-020과 동일</t>
  </si>
  <si>
    <t>SCR-020-EM</t>
  </si>
  <si>
    <t>출석 관리 - 빈 상태</t>
  </si>
  <si>
    <t>오늘 출석 0건일 때 EmptyState 표시</t>
  </si>
  <si>
    <t>수동 체크인 버튼</t>
  </si>
  <si>
    <t>SCR-020 (출석 0건)</t>
  </si>
  <si>
    <t>'오늘 출석한 회원이 없습니다'</t>
  </si>
  <si>
    <t>페이지 진입 (출석 0건)</t>
  </si>
  <si>
    <t>'오늘 출석한 회원이 없습니다' EmptyState</t>
  </si>
  <si>
    <t>SCR-020-E</t>
  </si>
  <si>
    <t>출석 관리 - 에러 상태</t>
  </si>
  <si>
    <t>출석 데이터 로딩 실패 시 에러 표시</t>
  </si>
  <si>
    <t>재시도 버튼</t>
  </si>
  <si>
    <t>SCR-020 로딩 실패</t>
  </si>
  <si>
    <t>'데이터를 불러올 수 없습니다' + 재시도</t>
  </si>
  <si>
    <t>날짜 선택 → 출석 목록 → 수동 체크인</t>
  </si>
  <si>
    <t>로딩 실패</t>
  </si>
  <si>
    <t>SCR-020-CI</t>
  </si>
  <si>
    <t>출석 관리 - 수동 체크인 모달</t>
  </si>
  <si>
    <t>수동 체크인 모달. 회원 검색 + 체크인 유형 선택</t>
  </si>
  <si>
    <t>회원 검색 자동완성, 유형 선택(정규/PT/GX/수동)</t>
  </si>
  <si>
    <t>SCR-020 체크인 버튼 클릭</t>
  </si>
  <si>
    <t>회원 미선택 시 에러</t>
  </si>
  <si>
    <t>오버레이 모달</t>
  </si>
  <si>
    <t>체크인 버튼 클릭</t>
  </si>
  <si>
    <t>체크인 처리 중 스피너</t>
  </si>
  <si>
    <t>모달 오버레이</t>
  </si>
  <si>
    <t>SCR-020-M</t>
  </si>
  <si>
    <t>출석 관리 - 모바일 뷰</t>
  </si>
  <si>
    <t>모바일 출석 관리. 카드형 출석 목록</t>
  </si>
  <si>
    <t>스와이프 체크아웃</t>
  </si>
  <si>
    <t>터치 대응</t>
  </si>
  <si>
    <t>SCR-021-L</t>
  </si>
  <si>
    <t>캘린더 - 로딩 상태</t>
  </si>
  <si>
    <t>캘린더 일정 로딩 중 스켈레톤</t>
  </si>
  <si>
    <t>캘린더 셀 스켈레톤</t>
  </si>
  <si>
    <t>SCR-021 진입/월 전환</t>
  </si>
  <si>
    <t>로딩 실패 시 에러</t>
  </si>
  <si>
    <t>SCR-021과 동일 (스켈레톤)</t>
  </si>
  <si>
    <t>페이지 진입/월 전환</t>
  </si>
  <si>
    <t>SCR-021과 동일</t>
  </si>
  <si>
    <t>SCR-021-EM</t>
  </si>
  <si>
    <t>캘린더 - 빈 상태</t>
  </si>
  <si>
    <t>선택 월에 일정 0건일 때</t>
  </si>
  <si>
    <t>일정 추가 버튼</t>
  </si>
  <si>
    <t>SCR-021 (일정 0건)</t>
  </si>
  <si>
    <t>'등록된 일정이 없습니다'</t>
  </si>
  <si>
    <t>일정 없는 월</t>
  </si>
  <si>
    <t>SCR-021-ADD</t>
  </si>
  <si>
    <t>캘린더 - 일정 추가 모달</t>
  </si>
  <si>
    <t>새 일정/수업 추가 모달. 날짜/시간/유형/회원 선택</t>
  </si>
  <si>
    <t>날짜/시간 피커, 회원 검색, 반복 설정</t>
  </si>
  <si>
    <t>SCR-021 일정 추가 클릭</t>
  </si>
  <si>
    <t>시간 겹침 경고</t>
  </si>
  <si>
    <t>일정 추가 클릭</t>
  </si>
  <si>
    <t>저장 중 스피너</t>
  </si>
  <si>
    <t>SCR-021-M</t>
  </si>
  <si>
    <t>캘린더 - 모바일 뷰</t>
  </si>
  <si>
    <t>모바일 캘린더. 리스트 뷰 기본, 캘린더 접기/펼치기</t>
  </si>
  <si>
    <t>캘린더 토글, 날짜 스와이프</t>
  </si>
  <si>
    <t>스와이프 날짜 이동</t>
  </si>
  <si>
    <t>리스트 뷰 + 접이식 캘린더</t>
  </si>
  <si>
    <t>캘린더 헤더 → 캘린더 그리드 → 일정 목록</t>
  </si>
  <si>
    <t>리스트 뷰 기본</t>
  </si>
  <si>
    <t>SCR-030-L</t>
  </si>
  <si>
    <t>매출 관리 - 로딩 상태</t>
  </si>
  <si>
    <t>매출 데이터 로딩 중 스켈레톤</t>
  </si>
  <si>
    <t>SCR-030 진입</t>
  </si>
  <si>
    <t>SCR-030과 동일 (스켈레톤)</t>
  </si>
  <si>
    <t>통계 스켈레톤 + 테이블 스켈레톤</t>
  </si>
  <si>
    <t>SCR-030과 동일</t>
  </si>
  <si>
    <t>SCR-030-EM</t>
  </si>
  <si>
    <t>매출 관리 - 빈 상태</t>
  </si>
  <si>
    <t>매출 0건 시 EmptyState</t>
  </si>
  <si>
    <t>매출 등록 바로가기</t>
  </si>
  <si>
    <t>SCR-030 (매출 0건)</t>
  </si>
  <si>
    <t>'등록된 매출이 없습니다'</t>
  </si>
  <si>
    <t>매출 0건</t>
  </si>
  <si>
    <t>SCR-030-E</t>
  </si>
  <si>
    <t>매출 관리 - 에러 상태</t>
  </si>
  <si>
    <t>매출 로딩 실패 에러 표시</t>
  </si>
  <si>
    <t>SCR-030 로딩 실패</t>
  </si>
  <si>
    <t>'데이터를 불러올 수 없습니다'</t>
  </si>
  <si>
    <t>기간 필터 → 통계 카드 → 매출 테이블</t>
  </si>
  <si>
    <t>SCR-030-FLT</t>
  </si>
  <si>
    <t>매출 관리 - 기간필터 활성</t>
  </si>
  <si>
    <t>기간 필터(오늘/이번주/이번달/커스텀) 선택 시 필터링된 결과</t>
  </si>
  <si>
    <t>기간 선택, 날짜 피커, 필터 초기화</t>
  </si>
  <si>
    <t>SCR-030 기간필터 클릭</t>
  </si>
  <si>
    <t>필터 결과 0건: '해당 기간 매출이 없습니다'</t>
  </si>
  <si>
    <t>state (필터)</t>
  </si>
  <si>
    <t>기간 필터 클릭</t>
  </si>
  <si>
    <t>결과 0건: EmptyState</t>
  </si>
  <si>
    <t>SCR-030-M</t>
  </si>
  <si>
    <t>매출 관리 - 모바일 뷰</t>
  </si>
  <si>
    <t>모바일 매출 관리. 카드형 리스트</t>
  </si>
  <si>
    <t>스와이프, 무한스크롤</t>
  </si>
  <si>
    <t>SCR-031-V</t>
  </si>
  <si>
    <t>POS 결제 - 유효성 에러</t>
  </si>
  <si>
    <t>/sales/pos</t>
  </si>
  <si>
    <t>POS 결제 폼 유효성 에러 상태</t>
  </si>
  <si>
    <t>에러 필드 포커스</t>
  </si>
  <si>
    <t>SCR-031 결제 클릭</t>
  </si>
  <si>
    <t>필수 항목 에러, 금액 불일치 에러</t>
  </si>
  <si>
    <t>SCR-031과 동일</t>
  </si>
  <si>
    <t>회원 선택 → 상품/결제 정보 → 결제 확인</t>
  </si>
  <si>
    <t>결제 클릭 (유효성 실패)</t>
  </si>
  <si>
    <t>SCR-031-L</t>
  </si>
  <si>
    <t>POS 결제 - 처리 중</t>
  </si>
  <si>
    <t>결제 처리 중 로딩 상태. 버튼 비활성</t>
  </si>
  <si>
    <t>결제 버튼 비활성, 폼 수정 불가</t>
  </si>
  <si>
    <t>결제 실패 시 에러 toast</t>
  </si>
  <si>
    <t>state (처리 중)</t>
  </si>
  <si>
    <t>결제 클릭</t>
  </si>
  <si>
    <t>결제 버튼: 스피너 + '처리 중...'</t>
  </si>
  <si>
    <t>SCR-031-OK</t>
  </si>
  <si>
    <t>POS 결제 - 완료</t>
  </si>
  <si>
    <t>결제 완료 시 성공 화면. 영수증 출력 옵션</t>
  </si>
  <si>
    <t>영수증 출력, 새 결제, 목록 이동 버튼</t>
  </si>
  <si>
    <t>SCR-031 결제 성공</t>
  </si>
  <si>
    <t>성공 아이콘 + 결제 요약</t>
  </si>
  <si>
    <t>state (완료)</t>
  </si>
  <si>
    <t>결제 성공</t>
  </si>
  <si>
    <t>SCR-032-L</t>
  </si>
  <si>
    <t>SalesPos - 로딩 상태</t>
  </si>
  <si>
    <t>POS 화면 초기 로딩 (상품 목록, 회원 정보)</t>
  </si>
  <si>
    <t>상품 그리드 스켈레톤</t>
  </si>
  <si>
    <t>SCR-032 진입</t>
  </si>
  <si>
    <t>로딩 실패 에러</t>
  </si>
  <si>
    <t>SCR-032와 동일 (스켈레톤)</t>
  </si>
  <si>
    <t>SCR-032와 동일</t>
  </si>
  <si>
    <t>SCR-032-CART</t>
  </si>
  <si>
    <t>SalesPos - 장바구니 활성</t>
  </si>
  <si>
    <t>상품 선택 후 장바구니에 아이템이 있는 상태</t>
  </si>
  <si>
    <t>수량 변경, 삭제, 할인 적용</t>
  </si>
  <si>
    <t>SCR-032 상품 클릭</t>
  </si>
  <si>
    <t>재고 초과 경고</t>
  </si>
  <si>
    <t>SCR-032와 동일 + 장바구니 패널</t>
  </si>
  <si>
    <t>페이지 헤더 → 메인 콘텐츠 → 하단 액션</t>
  </si>
  <si>
    <t>state (장바구니)</t>
  </si>
  <si>
    <t>상품 선택</t>
  </si>
  <si>
    <t>GNB + 장바구니 패널</t>
  </si>
  <si>
    <t>SCR-040-L</t>
  </si>
  <si>
    <t>상품 목록 - 로딩 상태</t>
  </si>
  <si>
    <t>상품 목록 로딩 중 스켈레톤</t>
  </si>
  <si>
    <t>스켈레톤 그리드</t>
  </si>
  <si>
    <t>SCR-040 진입</t>
  </si>
  <si>
    <t>SCR-040과 동일 (스켈레톤)</t>
  </si>
  <si>
    <t>상품 카드 스켈레톤</t>
  </si>
  <si>
    <t>SCR-040과 동일</t>
  </si>
  <si>
    <t>SCR-040-EM</t>
  </si>
  <si>
    <t>상품 목록 - 빈 상태</t>
  </si>
  <si>
    <t>상품 0건 시 EmptyState</t>
  </si>
  <si>
    <t>상품 등록 바로가기</t>
  </si>
  <si>
    <t>SCR-040 (상품 0건)</t>
  </si>
  <si>
    <t>'등록된 상품이 없습니다'</t>
  </si>
  <si>
    <t>상품 0건</t>
  </si>
  <si>
    <t>SCR-040-E</t>
  </si>
  <si>
    <t>상품 목록 - 에러 상태</t>
  </si>
  <si>
    <t>상품 로딩 실패 에러</t>
  </si>
  <si>
    <t>SCR-040 로딩 실패</t>
  </si>
  <si>
    <t>SCR-040-FLT</t>
  </si>
  <si>
    <t>상품 목록 - 카테고리 필터</t>
  </si>
  <si>
    <t>카테고리 필터(PT/회원권/GX/상품/서비스) 선택 상태</t>
  </si>
  <si>
    <t>카테고리 탭 전환, 활성/비활성 토글</t>
  </si>
  <si>
    <t>SCR-040 카테고리 탭 클릭</t>
  </si>
  <si>
    <t>필터 결과 0건: '해당 카테고리 상품이 없습니다'</t>
  </si>
  <si>
    <t>카테고리 탭 클릭</t>
  </si>
  <si>
    <t>SCR-040-M</t>
  </si>
  <si>
    <t>상품 목록 - 모바일 뷰</t>
  </si>
  <si>
    <t>모바일 상품 목록. 카드형</t>
  </si>
  <si>
    <t>카드 터치, 무한스크롤</t>
  </si>
  <si>
    <t>카드형 2열 그리드</t>
  </si>
  <si>
    <t>카드형 2열</t>
  </si>
  <si>
    <t>SCR-041-V</t>
  </si>
  <si>
    <t>상품 등록 - 유효성 에러</t>
  </si>
  <si>
    <t>상품 폼 유효성 에러 상태</t>
  </si>
  <si>
    <t>SCR-041 저장 클릭</t>
  </si>
  <si>
    <t>필수 필드 에러, 가격 0원 이하 에러</t>
  </si>
  <si>
    <t>SCR-041과 동일</t>
  </si>
  <si>
    <t>SCR-041-L</t>
  </si>
  <si>
    <t>상품 등록 - 저장 중</t>
  </si>
  <si>
    <t>상품 등록 API 호출 중</t>
  </si>
  <si>
    <t>저장 실패 에러 toast</t>
  </si>
  <si>
    <t>스피너 + '등록 중...'</t>
  </si>
  <si>
    <t>SCR-050-L</t>
  </si>
  <si>
    <t>직원 목록 - 로딩 상태</t>
  </si>
  <si>
    <t>직원 목록 로딩 중 스켈레톤</t>
  </si>
  <si>
    <t>SCR-050 진입</t>
  </si>
  <si>
    <t>SCR-050과 동일 (스켈레톤)</t>
  </si>
  <si>
    <t>테이블 스켈레톤</t>
  </si>
  <si>
    <t>SCR-050과 동일</t>
  </si>
  <si>
    <t>SCR-050-EM</t>
  </si>
  <si>
    <t>직원 목록 - 빈 상태</t>
  </si>
  <si>
    <t>직원 0명 시 EmptyState</t>
  </si>
  <si>
    <t>직원 등록 바로가기</t>
  </si>
  <si>
    <t>SCR-050 (직원 0명)</t>
  </si>
  <si>
    <t>'등록된 직원이 없습니다'</t>
  </si>
  <si>
    <t>직원 0명</t>
  </si>
  <si>
    <t>SCR-050-E</t>
  </si>
  <si>
    <t>직원 목록 - 에러 상태</t>
  </si>
  <si>
    <t>직원 로딩 실패 에러</t>
  </si>
  <si>
    <t>SCR-050 로딩 실패</t>
  </si>
  <si>
    <t>SCR-050-M</t>
  </si>
  <si>
    <t>직원 목록 - 모바일 뷰</t>
  </si>
  <si>
    <t>모바일 직원 목록</t>
  </si>
  <si>
    <t>SCR-051-V</t>
  </si>
  <si>
    <t>직원 등록 - 유효성 에러</t>
  </si>
  <si>
    <t>직원 등록 폼 유효성 에러</t>
  </si>
  <si>
    <t>SCR-051 저장 클릭</t>
  </si>
  <si>
    <t>필수 필드 에러</t>
  </si>
  <si>
    <t>SCR-051과 동일</t>
  </si>
  <si>
    <t>저장 클릭 (실패)</t>
  </si>
  <si>
    <t>SCR-051-L</t>
  </si>
  <si>
    <t>직원 등록 - 저장 중</t>
  </si>
  <si>
    <t>직원 등록 API 호출 중</t>
  </si>
  <si>
    <t>SCR-052-L</t>
  </si>
  <si>
    <t>급여 관리 - 로딩 상태</t>
  </si>
  <si>
    <t>급여 목록 로딩 중</t>
  </si>
  <si>
    <t>SCR-052 진입</t>
  </si>
  <si>
    <t>SCR-052와 동일 (스켈레톤)</t>
  </si>
  <si>
    <t>SCR-052와 동일</t>
  </si>
  <si>
    <t>SCR-052-EM</t>
  </si>
  <si>
    <t>급여 관리 - 빈 상태</t>
  </si>
  <si>
    <t>급여 0건 시 EmptyState</t>
  </si>
  <si>
    <t>급여 등록 바로가기</t>
  </si>
  <si>
    <t>SCR-052 (0건)</t>
  </si>
  <si>
    <t>'등록된 급여 데이터가 없습니다'</t>
  </si>
  <si>
    <t>급여 0건</t>
  </si>
  <si>
    <t>SCR-052-PAY</t>
  </si>
  <si>
    <t>급여 관리 - 지급 확인 모달</t>
  </si>
  <si>
    <t>급여 지급 처리 확인 다이얼로그</t>
  </si>
  <si>
    <t>지급 확인, 취소, 금액 확인</t>
  </si>
  <si>
    <t>SCR-052 지급 버튼</t>
  </si>
  <si>
    <t>지급 실패 에러 toast</t>
  </si>
  <si>
    <t>AlertDialog</t>
  </si>
  <si>
    <t>지급 버튼 클릭</t>
  </si>
  <si>
    <t>지급 처리 중 스피너</t>
  </si>
  <si>
    <t>고정 너비</t>
  </si>
  <si>
    <t>오버레이</t>
  </si>
  <si>
    <t>SCR-052-M</t>
  </si>
  <si>
    <t>급여 관리 - 모바일 뷰</t>
  </si>
  <si>
    <t>모바일 급여 관리</t>
  </si>
  <si>
    <t>카드형</t>
  </si>
  <si>
    <t>SCR-053-L</t>
  </si>
  <si>
    <t>급여 명세서 - 로딩 상태</t>
  </si>
  <si>
    <t>/payroll/statement</t>
  </si>
  <si>
    <t>명세서 로딩 중</t>
  </si>
  <si>
    <t>SCR-053 진입</t>
  </si>
  <si>
    <t>SCR-053과 동일 (스켈레톤)</t>
  </si>
  <si>
    <t>명세서 스켈레톤</t>
  </si>
  <si>
    <t>SCR-053과 동일</t>
  </si>
  <si>
    <t>SCR-053-PRT</t>
  </si>
  <si>
    <t>급여 명세서 - 인쇄 미리보기</t>
  </si>
  <si>
    <t>급여명세서 인쇄 미리보기 모달</t>
  </si>
  <si>
    <t>인쇄 버튼, PDF 다운로드</t>
  </si>
  <si>
    <t>SCR-053 인쇄 클릭</t>
  </si>
  <si>
    <t>인쇄 실패 에러</t>
  </si>
  <si>
    <t>인쇄 미리보기 모달</t>
  </si>
  <si>
    <t>인쇄 클릭</t>
  </si>
  <si>
    <t>인쇄용 레이아웃</t>
  </si>
  <si>
    <t>SCR-060-L</t>
  </si>
  <si>
    <t>락커 현황 - 로딩 상태</t>
  </si>
  <si>
    <t>/lockers</t>
  </si>
  <si>
    <t>락커 그리드 로딩 중</t>
  </si>
  <si>
    <t>SCR-060 진입</t>
  </si>
  <si>
    <t>SCR-060과 동일 (스켈레톤)</t>
  </si>
  <si>
    <t>락커 그리드 스켈레톤</t>
  </si>
  <si>
    <t>SCR-060과 동일</t>
  </si>
  <si>
    <t>SCR-060-ASN</t>
  </si>
  <si>
    <t>락커 현황 - 배정 모달</t>
  </si>
  <si>
    <t>락커 배정 모달. 회원 검색 + 만료일 설정</t>
  </si>
  <si>
    <t>회원 검색 자동완성, 날짜 피커</t>
  </si>
  <si>
    <t>SCR-060 빈 락커 클릭</t>
  </si>
  <si>
    <t>회원 미선택 에러, 이미 배정된 락커 에러</t>
  </si>
  <si>
    <t>빈 락커 클릭</t>
  </si>
  <si>
    <t>배정 처리 중 스피너</t>
  </si>
  <si>
    <t>SCR-060-RLS</t>
  </si>
  <si>
    <t>락커 현황 - 반납 확인 모달</t>
  </si>
  <si>
    <t>락커 반납 확인 다이얼로그</t>
  </si>
  <si>
    <t>확인/취소 버튼</t>
  </si>
  <si>
    <t>SCR-060 반납 클릭</t>
  </si>
  <si>
    <t>반납 실패 에러 toast</t>
  </si>
  <si>
    <t>반납 클릭</t>
  </si>
  <si>
    <t>반납 처리 중 스피너</t>
  </si>
  <si>
    <t>SCR-060-M</t>
  </si>
  <si>
    <t>락커 현황 - 모바일 뷰</t>
  </si>
  <si>
    <t>모바일 락커 현황. 그리드 축소</t>
  </si>
  <si>
    <t>터치로 락커 선택</t>
  </si>
  <si>
    <t>축소 그리드</t>
  </si>
  <si>
    <t>락커 그리드 → 배정/반납 패널</t>
  </si>
  <si>
    <t>그리드 축소</t>
  </si>
  <si>
    <t>SCR-061-L</t>
  </si>
  <si>
    <t>락커 관리 - 로딩 상태</t>
  </si>
  <si>
    <t>/lockers/manage</t>
  </si>
  <si>
    <t>락커 설정 로딩 중</t>
  </si>
  <si>
    <t>SCR-061 진입</t>
  </si>
  <si>
    <t>SCR-061과 동일 (스켈레톤)</t>
  </si>
  <si>
    <t>설정 스켈레톤</t>
  </si>
  <si>
    <t>SCR-061과 동일</t>
  </si>
  <si>
    <t>SCR-061-ADD</t>
  </si>
  <si>
    <t>락커 관리 - 락커 추가 모달</t>
  </si>
  <si>
    <t>새 락커 번호 추가 모달</t>
  </si>
  <si>
    <t>번호 입력, 범위 일괄 추가</t>
  </si>
  <si>
    <t>SCR-061 추가 클릭</t>
  </si>
  <si>
    <t>번호 중복 에러</t>
  </si>
  <si>
    <t>추가 클릭</t>
  </si>
  <si>
    <t>추가 중 스피너</t>
  </si>
  <si>
    <t>모달 내부</t>
  </si>
  <si>
    <t>SCR-062-L</t>
  </si>
  <si>
    <t>메시지 발송 - 로딩 상태</t>
  </si>
  <si>
    <t>/messages/send</t>
  </si>
  <si>
    <t>수신자 목록 로딩 중</t>
  </si>
  <si>
    <t>SCR-062 진입</t>
  </si>
  <si>
    <t>SCR-062와 동일 (스켈레톤)</t>
  </si>
  <si>
    <t>회원 목록 스켈레톤</t>
  </si>
  <si>
    <t>SCR-062와 동일</t>
  </si>
  <si>
    <t>SCR-062-V</t>
  </si>
  <si>
    <t>메시지 발송 - 유효성 에러</t>
  </si>
  <si>
    <t>발송 폼 유효성 에러. 수신자 미선택/내용 미입력</t>
  </si>
  <si>
    <t>에러 표시</t>
  </si>
  <si>
    <t>SCR-062 발송 클릭</t>
  </si>
  <si>
    <t>수신자 미선택, 내용 미입력 에러</t>
  </si>
  <si>
    <t>수신자 선택 → 메시지 작성 → 발송/이력</t>
  </si>
  <si>
    <t>발송 클릭 (실패)</t>
  </si>
  <si>
    <t>SCR-062-SND</t>
  </si>
  <si>
    <t>메시지 발송 - 발송 중</t>
  </si>
  <si>
    <t>메시지 발송 API 호출 중</t>
  </si>
  <si>
    <t>발송 버튼 비활성</t>
  </si>
  <si>
    <t>발송 실패 에러 toast</t>
  </si>
  <si>
    <t>state (발송 중)</t>
  </si>
  <si>
    <t>발송 클릭</t>
  </si>
  <si>
    <t>버튼: 스피너 + '발송 중...'</t>
  </si>
  <si>
    <t>SCR-062-OK</t>
  </si>
  <si>
    <t>메시지 발송 - 발송 완료</t>
  </si>
  <si>
    <t>발송 성공 확인 상태</t>
  </si>
  <si>
    <t>발송 내역 확인, 새 발송 버튼</t>
  </si>
  <si>
    <t>SCR-062 발송 성공</t>
  </si>
  <si>
    <t>성공 아이콘 + 발송 요약</t>
  </si>
  <si>
    <t>발송 성공</t>
  </si>
  <si>
    <t>SCR-070-L</t>
  </si>
  <si>
    <t>체성분 분석 - 로딩 상태</t>
  </si>
  <si>
    <t>체성분 데이터 로딩 중</t>
  </si>
  <si>
    <t>차트 스켈레톤</t>
  </si>
  <si>
    <t>SCR-070 진입</t>
  </si>
  <si>
    <t>SCR-070과 동일 (스켈레톤)</t>
  </si>
  <si>
    <t>SCR-070과 동일</t>
  </si>
  <si>
    <t>SCR-070-EM</t>
  </si>
  <si>
    <t>체성분 분석 - 빈 상태</t>
  </si>
  <si>
    <t>측정 데이터 0건 시</t>
  </si>
  <si>
    <t>측정 추가 안내</t>
  </si>
  <si>
    <t>SCR-070 (0건)</t>
  </si>
  <si>
    <t>'체성분 측정 기록이 없습니다'</t>
  </si>
  <si>
    <t>데이터 0건</t>
  </si>
  <si>
    <t>SCR-071-S1</t>
  </si>
  <si>
    <t>계약 마법사 - Step 1 회원선택</t>
  </si>
  <si>
    <t>/contract</t>
  </si>
  <si>
    <t>계약 1단계: 회원 검색/선택</t>
  </si>
  <si>
    <t>회원 검색 자동완성, 신규 회원 등록 링크</t>
  </si>
  <si>
    <t>SCR-071 진입</t>
  </si>
  <si>
    <t>회원 미선택 시 다음단계 불가</t>
  </si>
  <si>
    <t>SCR-071과 동일 (Step1)</t>
  </si>
  <si>
    <t>스텝 인디케이터 → 현재 스텝 폼 → 이전/다음</t>
  </si>
  <si>
    <t>state (Step1)</t>
  </si>
  <si>
    <t>회원 목록 로딩</t>
  </si>
  <si>
    <t>SCR-071과 동일</t>
  </si>
  <si>
    <t>GNB + 스텝 인디케이터</t>
  </si>
  <si>
    <t>SCR-071-S2</t>
  </si>
  <si>
    <t>계약 마법사 - Step 2 상품선택</t>
  </si>
  <si>
    <t>계약 2단계: 상품 선택 + 옵션</t>
  </si>
  <si>
    <t>상품 검색, 카테고리 필터, 기간/횟수 설정</t>
  </si>
  <si>
    <t>SCR-071 Step1 완료</t>
  </si>
  <si>
    <t>상품 미선택 시 다음단계 불가</t>
  </si>
  <si>
    <t>SCR-071과 동일 (Step2)</t>
  </si>
  <si>
    <t>상품 목록 → 상품 등록/수정 폼</t>
  </si>
  <si>
    <t>state (Step2)</t>
  </si>
  <si>
    <t>Step1 완료</t>
  </si>
  <si>
    <t>상품 목록 로딩</t>
  </si>
  <si>
    <t>SCR-071-S3</t>
  </si>
  <si>
    <t>계약 마법사 - Step 3 결제</t>
  </si>
  <si>
    <t>계약 3단계: 결제 방법 선택 + 금액 확인</t>
  </si>
  <si>
    <t>결제수단 선택, 할인 적용, 분할결제</t>
  </si>
  <si>
    <t>SCR-071 Step2 완료</t>
  </si>
  <si>
    <t>결제 실패 시 에러 표시</t>
  </si>
  <si>
    <t>SCR-071과 동일 (Step3)</t>
  </si>
  <si>
    <t>state (Step3)</t>
  </si>
  <si>
    <t>Step2 완료</t>
  </si>
  <si>
    <t>SCR-071-OK</t>
  </si>
  <si>
    <t>계약 마법사 - 완료</t>
  </si>
  <si>
    <t>계약 완료 성공 화면. 계약서 출력 옵션</t>
  </si>
  <si>
    <t>계약서 출력, 회원 상세 이동, 목록 이동</t>
  </si>
  <si>
    <t>SCR-071 결제 성공</t>
  </si>
  <si>
    <t>성공 아이콘 + 계약 요약</t>
  </si>
  <si>
    <t>SCR-080-L</t>
  </si>
  <si>
    <t>설정 - 로딩 상태</t>
  </si>
  <si>
    <t>설정 데이터 로딩 중</t>
  </si>
  <si>
    <t>폼 스켈레톤</t>
  </si>
  <si>
    <t>SCR-080 진입</t>
  </si>
  <si>
    <t>SCR-080과 동일 (스켈레톤)</t>
  </si>
  <si>
    <t>폼 필드 스켈레톤</t>
  </si>
  <si>
    <t>SCR-080과 동일</t>
  </si>
  <si>
    <t>SCR-080-SAV</t>
  </si>
  <si>
    <t>설정 - 저장 중</t>
  </si>
  <si>
    <t>설정 저장 API 호출 중</t>
  </si>
  <si>
    <t>SCR-080 저장 클릭</t>
  </si>
  <si>
    <t>탭 네비게이션 → 설정 섹션 → 저장 버튼</t>
  </si>
  <si>
    <t>버튼: 스피너 + '저장 중...'</t>
  </si>
  <si>
    <t>SCR-081-L</t>
  </si>
  <si>
    <t>지점 관리 - 로딩 상태</t>
  </si>
  <si>
    <t>지점 목록 로딩 중</t>
  </si>
  <si>
    <t>SCR-081 진입</t>
  </si>
  <si>
    <t>SCR-081과 동일 (스켈레톤)</t>
  </si>
  <si>
    <t>SCR-081과 동일</t>
  </si>
  <si>
    <t>SCR-081-ADD</t>
  </si>
  <si>
    <t>지점 관리 - 지점 추가 모달</t>
  </si>
  <si>
    <t>새 지점 등록 모달</t>
  </si>
  <si>
    <t>지점명/주소/연락처 입력</t>
  </si>
  <si>
    <t>SCR-081 추가 클릭</t>
  </si>
  <si>
    <t>등록 중 스피너</t>
  </si>
  <si>
    <t>모달</t>
  </si>
  <si>
    <t>SCR-081-EDT</t>
  </si>
  <si>
    <t>지점 관리 - 지점 수정 모달</t>
  </si>
  <si>
    <t>지점 정보 수정 모달</t>
  </si>
  <si>
    <t>기존 데이터 프리필, 수정 가능</t>
  </si>
  <si>
    <t>SCR-081 수정 클릭</t>
  </si>
  <si>
    <t>수정 클릭</t>
  </si>
  <si>
    <t>수정 중 스피너</t>
  </si>
  <si>
    <t>SCR-090-L</t>
  </si>
  <si>
    <t>쿠폰 관리 - 로딩 상태</t>
  </si>
  <si>
    <t>/coupons</t>
  </si>
  <si>
    <t>쿠폰 목록 로딩 중</t>
  </si>
  <si>
    <t>SCR-090 진입</t>
  </si>
  <si>
    <t>SCR-090과 동일 (스켈레톤)</t>
  </si>
  <si>
    <t>카드 스켈레톤</t>
  </si>
  <si>
    <t>SCR-090과 동일</t>
  </si>
  <si>
    <t>SCR-090-EM</t>
  </si>
  <si>
    <t>쿠폰 관리 - 빈 상태</t>
  </si>
  <si>
    <t>쿠폰 0건 시</t>
  </si>
  <si>
    <t>쿠폰 생성 바로가기</t>
  </si>
  <si>
    <t>SCR-090 (0건)</t>
  </si>
  <si>
    <t>'등록된 쿠폰이 없습니다'</t>
  </si>
  <si>
    <t>쿠폰 0건</t>
  </si>
  <si>
    <t>SCR-090-ADD</t>
  </si>
  <si>
    <t>쿠폰 관리 - 쿠폰 생성 모달</t>
  </si>
  <si>
    <t>신규 쿠폰 생성 모달</t>
  </si>
  <si>
    <t>쿠폰 타입/금액/유효기간 입력</t>
  </si>
  <si>
    <t>SCR-090 생성 클릭</t>
  </si>
  <si>
    <t>생성 클릭</t>
  </si>
  <si>
    <t>생성 중 스피너</t>
  </si>
  <si>
    <t>SCR-091-L</t>
  </si>
  <si>
    <t>마일리지 관리 - 로딩 상태</t>
  </si>
  <si>
    <t>마일리지 로딩 중</t>
  </si>
  <si>
    <t>SCR-091 진입</t>
  </si>
  <si>
    <t>SCR-091과 동일 (스켈레톤)</t>
  </si>
  <si>
    <t>SCR-091과 동일</t>
  </si>
  <si>
    <t>SCR-091-EM</t>
  </si>
  <si>
    <t>마일리지 관리 - 빈 상태</t>
  </si>
  <si>
    <t>마일리지 이력 0건</t>
  </si>
  <si>
    <t>SCR-091 (0건)</t>
  </si>
  <si>
    <t>'마일리지 이력이 없습니다'</t>
  </si>
  <si>
    <t>이력 0건</t>
  </si>
  <si>
    <t>SCR-092-L</t>
  </si>
  <si>
    <t>구독 관리 - 로딩 상태</t>
  </si>
  <si>
    <t>구독 정보 로딩 중</t>
  </si>
  <si>
    <t>SCR-092 진입</t>
  </si>
  <si>
    <t>SCR-092와 동일 (스켈레톤)</t>
  </si>
  <si>
    <t>구독 카드 스켈레톤</t>
  </si>
  <si>
    <t>SCR-092와 동일</t>
  </si>
  <si>
    <t>SCR-093-L</t>
  </si>
  <si>
    <t>RFID 관리 - 로딩 상태</t>
  </si>
  <si>
    <t>RFID 카드 목록 로딩 중</t>
  </si>
  <si>
    <t>SCR-093 진입</t>
  </si>
  <si>
    <t>SCR-093과 동일 (스켈레톤)</t>
  </si>
  <si>
    <t>SCR-093과 동일</t>
  </si>
  <si>
    <t>SCR-093-EM</t>
  </si>
  <si>
    <t>RFID 관리 - 빈 상태</t>
  </si>
  <si>
    <t>RFID 카드 0건</t>
  </si>
  <si>
    <t>RFID 등록 안내</t>
  </si>
  <si>
    <t>SCR-093 (0건)</t>
  </si>
  <si>
    <t>'등록된 RFID 카드가 없습니다'</t>
  </si>
  <si>
    <t>RFID 0건</t>
  </si>
  <si>
    <t>SCR-094-L</t>
  </si>
  <si>
    <t>키오스크 설정 - 로딩 상태</t>
  </si>
  <si>
    <t>/kiosk</t>
  </si>
  <si>
    <t>키오스크 설정 로딩 중</t>
  </si>
  <si>
    <t>SCR-094 진입</t>
  </si>
  <si>
    <t>SCR-094와 동일 (스켈레톤)</t>
  </si>
  <si>
    <t>SCR-094와 동일</t>
  </si>
  <si>
    <t>SCR-CMN-SIDEBAR</t>
  </si>
  <si>
    <t>공통 - 사이드바</t>
  </si>
  <si>
    <t>모든 페이지</t>
  </si>
  <si>
    <t>GNB 사이드바. 메뉴 네비게이션 + 사용자 정보 + 로그아웃</t>
  </si>
  <si>
    <t>메뉴 클릭 이동, 접기/펼치기, 로그아웃</t>
  </si>
  <si>
    <t>로그인 후 모든 페이지</t>
  </si>
  <si>
    <t>로그아웃 실패 시 에러 toast</t>
  </si>
  <si>
    <t>aria-label/title 축소 모드. sr-only 스크린리더. 역할 기반 필터링 (2026-03-13)</t>
  </si>
  <si>
    <t>좌측 고정 사이드바 (240px → 60px 접기)</t>
  </si>
  <si>
    <t>component</t>
  </si>
  <si>
    <t>로그인 후</t>
  </si>
  <si>
    <t>≥1024px 고정, &lt;1024px 오버레이</t>
  </si>
  <si>
    <t>좌측 고정</t>
  </si>
  <si>
    <t>SCR-CMN-SIDEBAR-M</t>
  </si>
  <si>
    <t>공통 - 사이드바 모바일</t>
  </si>
  <si>
    <t>모바일 사이드바. 햄버거 메뉴 → 슬라이드 오버레이</t>
  </si>
  <si>
    <t>햄버거 클릭 열기, 바깥 클릭 닫기, 스와이프 닫기</t>
  </si>
  <si>
    <t>스와이프 닫기</t>
  </si>
  <si>
    <t>햄버거 아이콘 클릭</t>
  </si>
  <si>
    <t>SCR-CMN-SIDEBAR와 동일</t>
  </si>
  <si>
    <t>슬라이드 오버레이 (좌측에서)</t>
  </si>
  <si>
    <t>component (모바일)</t>
  </si>
  <si>
    <t>햄버거 클릭</t>
  </si>
  <si>
    <t>오버레이 슬라이드</t>
  </si>
  <si>
    <t>SCR-CMN-HEADER</t>
  </si>
  <si>
    <t>공통 - 페이지 헤더</t>
  </si>
  <si>
    <t>페이지 상단 헤더. 제목 + 설명 + 액션 버튼</t>
  </si>
  <si>
    <t>액션 버튼 클릭</t>
  </si>
  <si>
    <t>상단 고정 헤더 (제목 + 버튼)</t>
  </si>
  <si>
    <t>반응형</t>
  </si>
  <si>
    <t>상단 고정</t>
  </si>
  <si>
    <t>SCR-CMN-TABLE</t>
  </si>
  <si>
    <t>공통 - DataTable</t>
  </si>
  <si>
    <t>목록 페이지</t>
  </si>
  <si>
    <t>공통 테이블 컴포넌트. 정렬/페이지네이션/선택/가로스크롤</t>
  </si>
  <si>
    <t>컬럼 정렬, 행 클릭, 체크박스 선택, 페이지 이동</t>
  </si>
  <si>
    <t>데이터 없음: EmptyState</t>
  </si>
  <si>
    <t>모바일 sticky 첫 번째 컬럼 (left-0, z-10). md:static 데스크톱 해제 (2026-03-13)</t>
  </si>
  <si>
    <t>테이블 + 페이지네이션 하단</t>
  </si>
  <si>
    <t>행 스켈레톤</t>
  </si>
  <si>
    <t>데이터 없음: '데이터가 없습니다'</t>
  </si>
  <si>
    <t>좁은 화면 가로스크롤</t>
  </si>
  <si>
    <t>SCR-CMN-TOAST</t>
  </si>
  <si>
    <t>공통 - Toast 알림</t>
  </si>
  <si>
    <t>sonner Toast 알림. 성공/에러/경고/정보 4가지 유형</t>
  </si>
  <si>
    <t>3초 후 자동 닫힘, 클릭 닫기</t>
  </si>
  <si>
    <t>API 응답 후</t>
  </si>
  <si>
    <t>sonner 기반 전역 toast. alert() 40+건 교체 완료 (2026-03-13)</t>
  </si>
  <si>
    <t>우측 상단 고정</t>
  </si>
  <si>
    <t>API 호출 후</t>
  </si>
  <si>
    <t>우측 상단</t>
  </si>
  <si>
    <t>SCR-CMN-EMPTY</t>
  </si>
  <si>
    <t>공통 - EmptyState</t>
  </si>
  <si>
    <t>데이터 없음 빈 상태 컴포넌트. 아이콘 + 메시지 + CTA 버튼</t>
  </si>
  <si>
    <t>CTA 버튼 클릭</t>
  </si>
  <si>
    <t>중앙 정렬 (아이콘 + 텍스트 + 버튼)</t>
  </si>
  <si>
    <t>반응형 (텍스트 축소)</t>
  </si>
  <si>
    <t>SCR-CMN-CONFIRM</t>
  </si>
  <si>
    <t>공통 - 확인 다이얼로그</t>
  </si>
  <si>
    <t>삭제/처리 확인 AlertDialog. 제목 + 메시지 + 확인/취소</t>
  </si>
  <si>
    <t>확인/취소 클릭, ESC 닫기</t>
  </si>
  <si>
    <t>삭제/처리 버튼 클릭</t>
  </si>
  <si>
    <t>ConfirmDialog focus ring 수정 (ring-0/20→ring-primary/30). window.confirm 전면 교체 (2026-03-13)</t>
  </si>
  <si>
    <t>삭제/처리 버튼</t>
  </si>
  <si>
    <t>SCR-CMN-LOADING</t>
  </si>
  <si>
    <t>공통 - 전체 로딩</t>
  </si>
  <si>
    <t>페이지 전체 로딩 오버레이 (페이지 전환 시)</t>
  </si>
  <si>
    <t>없음 (자동)</t>
  </si>
  <si>
    <t>페이지 전환 시</t>
  </si>
  <si>
    <t>풀스크린 오버레이 + 중앙 스피너</t>
  </si>
  <si>
    <t>페이지 전환</t>
  </si>
  <si>
    <t>풀스크린 스피너</t>
  </si>
  <si>
    <t>풀스크린</t>
  </si>
  <si>
    <t>SCR-AUTO-L</t>
  </si>
  <si>
    <t>자동알림 설정 - 로딩 상태</t>
  </si>
  <si>
    <t>/auto-alarm</t>
  </si>
  <si>
    <t>자동알림 설정 로딩 중</t>
  </si>
  <si>
    <t>설정 메뉴</t>
  </si>
  <si>
    <t>스켈레톤</t>
  </si>
  <si>
    <t>동일</t>
  </si>
  <si>
    <t>SCR-IOT-L</t>
  </si>
  <si>
    <t>IoT 설정 - 로딩 상태</t>
  </si>
  <si>
    <t>/iot</t>
  </si>
  <si>
    <t>IoT 장비 목록 로딩 중</t>
  </si>
  <si>
    <t>장비 카드 스켈레톤</t>
  </si>
  <si>
    <t>SCR-IOT-EM</t>
  </si>
  <si>
    <t>IoT 설정 - 빈 상태</t>
  </si>
  <si>
    <t>IoT 장비 0건</t>
  </si>
  <si>
    <t>장비 추가 안내</t>
  </si>
  <si>
    <t>IoT 설정 (0건)</t>
  </si>
  <si>
    <t>'등록된 IoT 장비가 없습니다'</t>
  </si>
  <si>
    <t>장비 0건</t>
  </si>
  <si>
    <t>SCR-PERM-L</t>
  </si>
  <si>
    <t>권한 설정 - 로딩 상태</t>
  </si>
  <si>
    <t>/permissions</t>
  </si>
  <si>
    <t>권한 매트릭스 로딩 중</t>
  </si>
  <si>
    <t>매트릭스 스켈레톤</t>
  </si>
  <si>
    <t>SCR-ROOM-L</t>
  </si>
  <si>
    <t>시설 관리 - 로딩 상태</t>
  </si>
  <si>
    <t>시설/룸 목록 로딩 중</t>
  </si>
  <si>
    <t>시설 카드 스켈레톤</t>
  </si>
  <si>
    <t>SCR-ROOM-EM</t>
  </si>
  <si>
    <t>시설 관리 - 빈 상태</t>
  </si>
  <si>
    <t>시설 0건</t>
  </si>
  <si>
    <t>시설 추가 안내</t>
  </si>
  <si>
    <t>시설 관리 (0건)</t>
  </si>
  <si>
    <t>'등록된 시설이 없습니다'</t>
  </si>
  <si>
    <t>SCR-ROOM-ADD</t>
  </si>
  <si>
    <t>시설 관리 - 시설 추가 모달</t>
  </si>
  <si>
    <t>새 시설 등록 모달</t>
  </si>
  <si>
    <t>시설명/유형/수용인원 입력</t>
  </si>
  <si>
    <t>시설 추가 클릭</t>
  </si>
  <si>
    <t>요소 ID</t>
  </si>
  <si>
    <t>요소명</t>
  </si>
  <si>
    <t>요소 유형</t>
  </si>
  <si>
    <t>요소 설명</t>
  </si>
  <si>
    <t>기능 ID</t>
  </si>
  <si>
    <t>API ID</t>
  </si>
  <si>
    <t>Web 구현</t>
  </si>
  <si>
    <t>App 구현</t>
  </si>
  <si>
    <t>유효성 검사</t>
  </si>
  <si>
    <t>에러 메시지</t>
  </si>
  <si>
    <t>접근성</t>
  </si>
  <si>
    <t>[자동] 기능명</t>
  </si>
  <si>
    <t>[자동] API 엔드포인트</t>
  </si>
  <si>
    <t>내부 구성</t>
  </si>
  <si>
    <t>크기/간격</t>
  </si>
  <si>
    <t>상태 목록</t>
  </si>
  <si>
    <t>호버/클릭 피드백</t>
  </si>
  <si>
    <t>소속 섹션</t>
  </si>
  <si>
    <t>정렬 순서</t>
  </si>
  <si>
    <t>조건부 표시</t>
  </si>
  <si>
    <t>관련 디자인토큰</t>
  </si>
  <si>
    <t>▼ SCR-001</t>
  </si>
  <si>
    <t>로그인 (5개 요소)</t>
  </si>
  <si>
    <t>5개 요소</t>
  </si>
  <si>
    <t>UI-001</t>
  </si>
  <si>
    <t>이메일 입력</t>
  </si>
  <si>
    <t>Input</t>
  </si>
  <si>
    <t>로그인 이메일 주소 입력 필드</t>
  </si>
  <si>
    <t>포커스 시 라벨 상단 이동, 실시간 이메일 형식 검증</t>
  </si>
  <si>
    <t>FN-001</t>
  </si>
  <si>
    <t>API-001</t>
  </si>
  <si>
    <t>&lt;input type='email'&gt; + 실시간 validation</t>
  </si>
  <si>
    <t>이메일 형식 검증 (regex)</t>
  </si>
  <si>
    <t>올바른 이메일 주소를 입력하세요</t>
  </si>
  <si>
    <t>aria-label='이메일'</t>
  </si>
  <si>
    <t>설계중</t>
  </si>
  <si>
    <t>/api/v1/auth/login</t>
  </si>
  <si>
    <t>라벨('이메일') 상단 + input(type=email) + 실시간 형식검증</t>
  </si>
  <si>
    <t>w:100%, h:40px, padding:12px, label:14px gray-500</t>
  </si>
  <si>
    <t>default / focus(border-primary) / error(border-red + 에러텍스트) / filled</t>
  </si>
  <si>
    <t>focus: 라벨 상단이동 + border-primary
blur: 에러 시 border-red</t>
  </si>
  <si>
    <t>폼 영역</t>
  </si>
  <si>
    <t>1</t>
  </si>
  <si>
    <t>항상</t>
  </si>
  <si>
    <t>TK-304(input radius), TK-206(높이), TK-024(라벨색)</t>
  </si>
  <si>
    <t>UI-002</t>
  </si>
  <si>
    <t>비밀번호 입력</t>
  </si>
  <si>
    <t>로그인 비밀번호 입력 필드</t>
  </si>
  <si>
    <t>마스킹 토글 버튼, Enter키 로그인 트리거</t>
  </si>
  <si>
    <t>&lt;input type='password'&gt; + visibility toggle</t>
  </si>
  <si>
    <t>최소 1자 이상</t>
  </si>
  <si>
    <t>비밀번호를 입력하세요</t>
  </si>
  <si>
    <t>aria-label='비밀번호'</t>
  </si>
  <si>
    <t>라벨('비밀번호') + input(type=password) + Eye/EyeOff 토글버튼</t>
  </si>
  <si>
    <t>w:100%, h:40px, 토글버튼:24px 우측</t>
  </si>
  <si>
    <t>default / focus / error / masked / visible</t>
  </si>
  <si>
    <t>Eye클릭: password↔text 전환
Enter: 로그인 트리거</t>
  </si>
  <si>
    <t>2</t>
  </si>
  <si>
    <t>TK-304, TK-206</t>
  </si>
  <si>
    <t>UI-003</t>
  </si>
  <si>
    <t>지점 선택</t>
  </si>
  <si>
    <t>Select</t>
  </si>
  <si>
    <t>로그인 시 접근할 지점 선택 드롭다운</t>
  </si>
  <si>
    <t>선택 시 지점 로고/색상 변경</t>
  </si>
  <si>
    <t>&lt;select&gt; 커스텀 드롭다운</t>
  </si>
  <si>
    <t>필수 선택</t>
  </si>
  <si>
    <t>지점을 선택하세요</t>
  </si>
  <si>
    <t>aria-label='지점 선택'</t>
  </si>
  <si>
    <t>MapPin아이콘 + select 드롭다운 + 옵션리스트</t>
  </si>
  <si>
    <t>w:100%, h:40px</t>
  </si>
  <si>
    <t>default / loading(Loader2) / open(드롭다운펼침) / selected / error</t>
  </si>
  <si>
    <t>click: 드롭다운 열기
선택: 지점 로고/색상 변경</t>
  </si>
  <si>
    <t>0 (폼 최상단)</t>
  </si>
  <si>
    <t>TK-304, TK-206, TK-036(선택됨)</t>
  </si>
  <si>
    <t>UI-004</t>
  </si>
  <si>
    <t>로그인 버튼</t>
  </si>
  <si>
    <t>Button</t>
  </si>
  <si>
    <t>로그인 실행 버튼</t>
  </si>
  <si>
    <t>클릭/Enter 시 로그인 API 호출, 로딩 스피너</t>
  </si>
  <si>
    <t>&lt;button&gt; + loading state</t>
  </si>
  <si>
    <t>이메일/비밀번호/지점 모두 입력 시 활성화</t>
  </si>
  <si>
    <t>로그인에 실패했습니다</t>
  </si>
  <si>
    <t>aria-label='로그인'</t>
  </si>
  <si>
    <t>텍스트('로그인') + 조건부 Loader2 스핀</t>
  </si>
  <si>
    <t>w:100%, h:48px, font:16px bold white</t>
  </si>
  <si>
    <t>default(비활성, gray) / active(primary) / loading(스핀+'로그인 중...') / disabled</t>
  </si>
  <si>
    <t>hover: primary-600
click: scale(0.98)
loading: 클릭 불가</t>
  </si>
  <si>
    <t>5 (폼 하단)</t>
  </si>
  <si>
    <t>이메일/비밀번호/지점 모두 입력 시 활성</t>
  </si>
  <si>
    <t>TK-004(bg), TK-209(높이), TK-604(press)</t>
  </si>
  <si>
    <t>UI-005</t>
  </si>
  <si>
    <t>비밀번호 찾기 링크</t>
  </si>
  <si>
    <t>Link</t>
  </si>
  <si>
    <t>비밀번호 재설정 페이지 이동 링크</t>
  </si>
  <si>
    <t>클릭 시 비밀번호 찾기 모달 오픈</t>
  </si>
  <si>
    <t>&lt;a&gt; + 모달 트리거</t>
  </si>
  <si>
    <t>aria-label='비밀번호 찾기'</t>
  </si>
  <si>
    <t>텍스트 링크('비밀번호 찾기')</t>
  </si>
  <si>
    <t>font:13px, color:gray-500</t>
  </si>
  <si>
    <t>default / hover(underline)</t>
  </si>
  <si>
    <t>click: 비밀번호 찾기 모달 오픈</t>
  </si>
  <si>
    <t>옵션 영역</t>
  </si>
  <si>
    <t>4</t>
  </si>
  <si>
    <t>TK-024(색상)</t>
  </si>
  <si>
    <t>▼ SCR-002</t>
  </si>
  <si>
    <t>대시보드 (8개 요소)</t>
  </si>
  <si>
    <t>8개 요소</t>
  </si>
  <si>
    <t>UI-006</t>
  </si>
  <si>
    <t>총회원 통계 카드</t>
  </si>
  <si>
    <t>Card</t>
  </si>
  <si>
    <t>전체 회원 수 표시 카드</t>
  </si>
  <si>
    <t>클릭 시 SCR-010 이동, 전일 대비 증감 표시</t>
  </si>
  <si>
    <t>FN-002</t>
  </si>
  <si>
    <t>API-003</t>
  </si>
  <si>
    <t>Card 컴포넌트 + 숫자 애니메이션</t>
  </si>
  <si>
    <t>aria-label='총 회원 수'</t>
  </si>
  <si>
    <t>대시보드 통계 조회</t>
  </si>
  <si>
    <t>/api/v1/dashboard/stats</t>
  </si>
  <si>
    <t>[좌] Users아이콘(24px) + [중앙] 라벨('총 회원') 위 + 수치('450명') 아래 + [우하단] 증감배지('+3 ▲' 초록)</t>
  </si>
  <si>
    <t>w:카드1/6, h:auto, p:24px, 라벨:14px gray-500, 수치:32px bold</t>
  </si>
  <si>
    <t>default / hover(shadow-md) / loading(숫자 스켈레톤) / zero(수치0)</t>
  </si>
  <si>
    <t>hover: shadow-md + cursor-pointer
click: 회원목록 이동</t>
  </si>
  <si>
    <t>섹션1: 통계카드 영역</t>
  </si>
  <si>
    <t>1 (6개 중 첫째)</t>
  </si>
  <si>
    <t>TK-108(숫자), TK-024(라벨), TK-030(증가), TK-032(감소)</t>
  </si>
  <si>
    <t>UI-007</t>
  </si>
  <si>
    <t>활성회원 통계 카드</t>
  </si>
  <si>
    <t>활성(이용중) 회원 수 카드</t>
  </si>
  <si>
    <t>클릭 시 SCR-010 활성 필터 이동</t>
  </si>
  <si>
    <t>Card 컴포넌트</t>
  </si>
  <si>
    <t>aria-label='활성 회원 수'</t>
  </si>
  <si>
    <t>[좌] UserCheck아이콘 + [중앙] '활성회원' + 수치 + 증감</t>
  </si>
  <si>
    <t>동일 StatCard 규격</t>
  </si>
  <si>
    <t>default / hover / loading / zero</t>
  </si>
  <si>
    <t>hover: shadow-md
click: 회원목록(활성필터) 이동</t>
  </si>
  <si>
    <t>TK-108, TK-030</t>
  </si>
  <si>
    <t>UI-008</t>
  </si>
  <si>
    <t>만료임박 통계 카드</t>
  </si>
  <si>
    <t>7일 내 만료 예정 회원 수 카드</t>
  </si>
  <si>
    <t>클릭 시 SCR-010 만료임박 필터 이동, 경고 색상</t>
  </si>
  <si>
    <t>API-006</t>
  </si>
  <si>
    <t>Card 컴포넌트 + 경고 스타일</t>
  </si>
  <si>
    <t>aria-label='만료 임박 회원'</t>
  </si>
  <si>
    <t>/api/v1/dashboard/expiring-members</t>
  </si>
  <si>
    <t>[좌] AlertTriangle아이콘 + [중앙] '만료임박' + 수치 + 경고스타일</t>
  </si>
  <si>
    <t>동일 StatCard, 경고색상</t>
  </si>
  <si>
    <t>default / hover / loading / zero / warning(&gt;0일때 amber)</t>
  </si>
  <si>
    <t>hover: shadow-md
click: 회원목록(만료임박필터) 이동</t>
  </si>
  <si>
    <t>3</t>
  </si>
  <si>
    <t>TK-034(경고), TK-108</t>
  </si>
  <si>
    <t>UI-009</t>
  </si>
  <si>
    <t>만료회원 통계 카드</t>
  </si>
  <si>
    <t>이용권 만료된 회원 수 카드</t>
  </si>
  <si>
    <t>클릭 시 SCR-010 만료 필터 이동</t>
  </si>
  <si>
    <t>aria-label='만료 회원 수'</t>
  </si>
  <si>
    <t>[좌] UserX아이콘 + [중앙] '만료회원' + 수치</t>
  </si>
  <si>
    <t>hover: shadow-md
click: 회원목록(만료필터) 이동</t>
  </si>
  <si>
    <t>TK-108</t>
  </si>
  <si>
    <t>UI-010</t>
  </si>
  <si>
    <t>생일회원 리스트</t>
  </si>
  <si>
    <t>List</t>
  </si>
  <si>
    <t>오늘 생일인 회원 목록</t>
  </si>
  <si>
    <t>회원명 클릭 시 SCR-011 이동</t>
  </si>
  <si>
    <t>API-004</t>
  </si>
  <si>
    <t>리스트 컴포넌트 (최대 5명)</t>
  </si>
  <si>
    <t>aria-label='오늘 생일 회원'</t>
  </si>
  <si>
    <t>/api/v1/dashboard/birthday-members</t>
  </si>
  <si>
    <t>리스트: 회원명(링크) + 연락처 + 생일일자, 최대5명</t>
  </si>
  <si>
    <t>w:카드1/2, max-h:300px</t>
  </si>
  <si>
    <t>default / empty('오늘 생일인 회원이 없습니다') / loading(3줄 스켈레톤)</t>
  </si>
  <si>
    <t>회원명 click: 회원상세 이동</t>
  </si>
  <si>
    <t>섹션3: 리스트 카드</t>
  </si>
  <si>
    <t>1 (4개 중)</t>
  </si>
  <si>
    <t>TK-004(링크)</t>
  </si>
  <si>
    <t>UI-011</t>
  </si>
  <si>
    <t>미납회원 리스트</t>
  </si>
  <si>
    <t>미납 내역이 있는 회원 목록</t>
  </si>
  <si>
    <t>회원명 클릭 시 SCR-011 이동, 미납 금액 표시</t>
  </si>
  <si>
    <t>API-005</t>
  </si>
  <si>
    <t>리스트 컴포넌트 + 금액 강조</t>
  </si>
  <si>
    <t>aria-label='미납 회원'</t>
  </si>
  <si>
    <t>/api/v1/dashboard/unpaid-members</t>
  </si>
  <si>
    <t>리스트: 회원명(링크) + 미납금액(빨간) + 결제버튼</t>
  </si>
  <si>
    <t>w:카드1/2, 금액:빨간bold</t>
  </si>
  <si>
    <t>default / empty / loading</t>
  </si>
  <si>
    <t>회원명 click: 회원상세
결제 click: POS 이동</t>
  </si>
  <si>
    <t>TK-032(미납금액)</t>
  </si>
  <si>
    <t>UI-012</t>
  </si>
  <si>
    <t>만료예정 리스트</t>
  </si>
  <si>
    <t>7일 내 만료 예정 회원 목록</t>
  </si>
  <si>
    <t>회원명 클릭 시 SCR-011 이동, D-day 표시</t>
  </si>
  <si>
    <t>리스트 컴포넌트 + D-day 배지</t>
  </si>
  <si>
    <t>aria-label='만료 예정 회원'</t>
  </si>
  <si>
    <t>UI-013</t>
  </si>
  <si>
    <t>매출 차트</t>
  </si>
  <si>
    <t>당월 매출 추이 라인 차트</t>
  </si>
  <si>
    <t>호버 시 일별 금액 툴팁, 기간 필터</t>
  </si>
  <si>
    <t>Recharts LineChart</t>
  </si>
  <si>
    <t>차트 데이터 테이블 대체 제공</t>
  </si>
  <si>
    <t>▼ SCR-010</t>
  </si>
  <si>
    <t>회원 목록 (8개 요소)</t>
  </si>
  <si>
    <t>UI-014</t>
  </si>
  <si>
    <t>검색바</t>
  </si>
  <si>
    <t>회원 이름/연락처/번호 검색 입력</t>
  </si>
  <si>
    <t>실시간 검색 (300ms debounce), 검색 아이콘</t>
  </si>
  <si>
    <t>FN-003</t>
  </si>
  <si>
    <t>API-007</t>
  </si>
  <si>
    <t>SearchInput 컴포넌트</t>
  </si>
  <si>
    <t>최소 2자 이상</t>
  </si>
  <si>
    <t>검색어를 입력하세요</t>
  </si>
  <si>
    <t>aria-label='회원 검색'</t>
  </si>
  <si>
    <t>회원 목록 조회/검색/필터</t>
  </si>
  <si>
    <t>/api/v1/members</t>
  </si>
  <si>
    <t>UI-015</t>
  </si>
  <si>
    <t>상태 필터</t>
  </si>
  <si>
    <t>회원 상태(활성/만료/휴회/탈퇴) 필터</t>
  </si>
  <si>
    <t>멀티 선택 가능, 선택 시 즉시 필터 적용</t>
  </si>
  <si>
    <t>MultiSelect 컴포넌트</t>
  </si>
  <si>
    <t>1개 이상 선택 필수</t>
  </si>
  <si>
    <t>상태 필터을(를) 선택하세요</t>
  </si>
  <si>
    <t>aria-label='상태 필터'</t>
  </si>
  <si>
    <t>UI-016</t>
  </si>
  <si>
    <t>성별 필터</t>
  </si>
  <si>
    <t>성별(전체/남/여) 필터</t>
  </si>
  <si>
    <t>단일 선택, 즉시 적용</t>
  </si>
  <si>
    <t>Select 컴포넌트</t>
  </si>
  <si>
    <t>성별 필터을(를) 선택하세요</t>
  </si>
  <si>
    <t>aria-label='성별 필터'</t>
  </si>
  <si>
    <t>UI-017</t>
  </si>
  <si>
    <t>담당자 필터</t>
  </si>
  <si>
    <t>담당 FC 필터</t>
  </si>
  <si>
    <t>담당자 필터을(를) 선택하세요</t>
  </si>
  <si>
    <t>aria-label='담당자 필터'</t>
  </si>
  <si>
    <t>UI-018</t>
  </si>
  <si>
    <t>회원 테이블</t>
  </si>
  <si>
    <t>회원 목록 데이터 테이블</t>
  </si>
  <si>
    <t>행 클릭 시 SCR-011 이동, 컬럼 정렬, 행 호버</t>
  </si>
  <si>
    <t>DataTable 컴포넌트 + 정렬/페이지네이션</t>
  </si>
  <si>
    <t>aria-label='회원 목록 테이블'</t>
  </si>
  <si>
    <t>UI-019</t>
  </si>
  <si>
    <t>페이지네이션</t>
  </si>
  <si>
    <t>Nav</t>
  </si>
  <si>
    <t>테이블 하단 페이지 네비게이션</t>
  </si>
  <si>
    <t>페이지 이동, 페이지당 행 수 선택</t>
  </si>
  <si>
    <t>Pagination 컴포넌트</t>
  </si>
  <si>
    <t>aria-label='페이지 이동'</t>
  </si>
  <si>
    <t>UI-020</t>
  </si>
  <si>
    <t>엑셀 다운로드</t>
  </si>
  <si>
    <t>현재 필터 결과 엑셀 다운로드</t>
  </si>
  <si>
    <t>클릭 시 xlsx 파일 다운로드, 로딩 표시</t>
  </si>
  <si>
    <t>다운로드 버튼 + 로딩 스피너</t>
  </si>
  <si>
    <t>aria-label='엑셀 다운로드'</t>
  </si>
  <si>
    <t>UI-021</t>
  </si>
  <si>
    <t>회원등록 버튼</t>
  </si>
  <si>
    <t>신규 회원 등록 페이지 이동 버튼</t>
  </si>
  <si>
    <t>클릭 시 SCR-012 이동</t>
  </si>
  <si>
    <t>FN-004</t>
  </si>
  <si>
    <t>Primary Button</t>
  </si>
  <si>
    <t>aria-label='회원 등록'</t>
  </si>
  <si>
    <t>▼ SCR-011</t>
  </si>
  <si>
    <t>회원 상세 (6개 요소)</t>
  </si>
  <si>
    <t>6개 요소</t>
  </si>
  <si>
    <t>UI-022</t>
  </si>
  <si>
    <t>프로필 영역</t>
  </si>
  <si>
    <t>회원 기본 정보 카드 (사진/이름/연락처/상태)</t>
  </si>
  <si>
    <t>수정 버튼 → SCR-013 이동</t>
  </si>
  <si>
    <t>FN-006</t>
  </si>
  <si>
    <t>API-008</t>
  </si>
  <si>
    <t>프로필 Card 컴포넌트</t>
  </si>
  <si>
    <t>aria-label='회원 프로필'</t>
  </si>
  <si>
    <t>회원 상세 조회</t>
  </si>
  <si>
    <t>/api/v1/members/:id</t>
  </si>
  <si>
    <t>UI-023</t>
  </si>
  <si>
    <t>이용권 탭</t>
  </si>
  <si>
    <t>Tab</t>
  </si>
  <si>
    <t>보유 이용권 목록 탭</t>
  </si>
  <si>
    <t>만료일 강조, 잔여 횟수 표시</t>
  </si>
  <si>
    <t>Tab + 이용권 리스트</t>
  </si>
  <si>
    <t>aria-label='이용권 탭'</t>
  </si>
  <si>
    <t>UI-024</t>
  </si>
  <si>
    <t>출석 탭</t>
  </si>
  <si>
    <t>출석 이력 탭 (히트맵 + 리스트)</t>
  </si>
  <si>
    <t>히트맵 날짜 클릭 시 상세, 타지점 출석 구분</t>
  </si>
  <si>
    <t>API-013</t>
  </si>
  <si>
    <t>Tab + 히트맵 + 테이블</t>
  </si>
  <si>
    <t>aria-label='출석 탭'</t>
  </si>
  <si>
    <t>/api/v1/attendance</t>
  </si>
  <si>
    <t>UI-025</t>
  </si>
  <si>
    <t>결제 탭</t>
  </si>
  <si>
    <t>결제/매출 이력 탭</t>
  </si>
  <si>
    <t>결제 상세 모달, 환불 처리</t>
  </si>
  <si>
    <t>API-015</t>
  </si>
  <si>
    <t>Tab + 결제 테이블</t>
  </si>
  <si>
    <t>aria-label='결제 탭'</t>
  </si>
  <si>
    <t>/api/v1/sales</t>
  </si>
  <si>
    <t>UI-026</t>
  </si>
  <si>
    <t>체성분 탭</t>
  </si>
  <si>
    <t>체성분 측정 이력 + 차트 탭</t>
  </si>
  <si>
    <t>측정 추가, 변화 추이 차트</t>
  </si>
  <si>
    <t>FN-007</t>
  </si>
  <si>
    <t>Tab + 차트 + 입력 폼</t>
  </si>
  <si>
    <t>aria-label='체성분 탭'</t>
  </si>
  <si>
    <t>체성분 기록/분석</t>
  </si>
  <si>
    <t>UI-027</t>
  </si>
  <si>
    <t>메모 탭</t>
  </si>
  <si>
    <t>상담/메모 기록 탭</t>
  </si>
  <si>
    <t>메모 추가/수정/삭제, 시간순 정렬</t>
  </si>
  <si>
    <t>Tab + 메모 리스트 + 에디터</t>
  </si>
  <si>
    <t>aria-label='메모 탭'</t>
  </si>
  <si>
    <t>▼ SCR-012</t>
  </si>
  <si>
    <t>회원 등록 (10개 요소)</t>
  </si>
  <si>
    <t>10개 요소</t>
  </si>
  <si>
    <t>UI-028</t>
  </si>
  <si>
    <t>이름 입력</t>
  </si>
  <si>
    <t>회원 이름 입력 필드</t>
  </si>
  <si>
    <t>필수 항목, 한글 2~20자</t>
  </si>
  <si>
    <t>API-009</t>
  </si>
  <si>
    <t>&lt;input&gt; + validation</t>
  </si>
  <si>
    <t>한글 2~20자</t>
  </si>
  <si>
    <t>이름을 입력하세요</t>
  </si>
  <si>
    <t>aria-required='true'</t>
  </si>
  <si>
    <t>UI-029</t>
  </si>
  <si>
    <t>성별 선택</t>
  </si>
  <si>
    <t>Radio</t>
  </si>
  <si>
    <t>성별 선택 (남/여)</t>
  </si>
  <si>
    <t>라디오 버튼 2개</t>
  </si>
  <si>
    <t>RadioGroup 컴포넌트</t>
  </si>
  <si>
    <t>성별을 선택하세요</t>
  </si>
  <si>
    <t>role='radiogroup'</t>
  </si>
  <si>
    <t>UI-030</t>
  </si>
  <si>
    <t>생년월일</t>
  </si>
  <si>
    <t>생년월일 입력 (date picker)</t>
  </si>
  <si>
    <t>달력 팝업 또는 직접 입력</t>
  </si>
  <si>
    <t>DatePicker 컴포넌트</t>
  </si>
  <si>
    <t>미래 날짜 불가</t>
  </si>
  <si>
    <t>올바른 날짜를 입력하세요</t>
  </si>
  <si>
    <t>aria-label='생년월일'</t>
  </si>
  <si>
    <t>UI-031</t>
  </si>
  <si>
    <t>연락처 입력</t>
  </si>
  <si>
    <t>연락처 입력 (자동 하이픈)</t>
  </si>
  <si>
    <t>입력 시 자동 포맷 (010-xxxx-xxxx)</t>
  </si>
  <si>
    <t>PhoneInput 컴포넌트</t>
  </si>
  <si>
    <t>전화번호 형식 검증, 중복 체크</t>
  </si>
  <si>
    <t>올바른 연락처를 입력하세요</t>
  </si>
  <si>
    <t>aria-label='연락처'</t>
  </si>
  <si>
    <t>UI-032</t>
  </si>
  <si>
    <t>이메일 주소 입력</t>
  </si>
  <si>
    <t>선택 항목</t>
  </si>
  <si>
    <t>&lt;input type='email'&gt;</t>
  </si>
  <si>
    <t>이메일 형식 검증</t>
  </si>
  <si>
    <t>올바른 이메일을 입력하세요</t>
  </si>
  <si>
    <t>UI-033</t>
  </si>
  <si>
    <t>주소 입력</t>
  </si>
  <si>
    <t>주소 검색 및 입력</t>
  </si>
  <si>
    <t>다음 주소 API 연동</t>
  </si>
  <si>
    <t>AddressSearch 컴포넌트</t>
  </si>
  <si>
    <t>최소 5자 이상</t>
  </si>
  <si>
    <t>주소를 입력하세요</t>
  </si>
  <si>
    <t>aria-label='주소'</t>
  </si>
  <si>
    <t>UI-034</t>
  </si>
  <si>
    <t>메모 입력</t>
  </si>
  <si>
    <t>Textarea</t>
  </si>
  <si>
    <t>관리자 메모 입력</t>
  </si>
  <si>
    <t>최대 500자, 글자수 카운터</t>
  </si>
  <si>
    <t>&lt;textarea&gt; + counter</t>
  </si>
  <si>
    <t>최대 500자</t>
  </si>
  <si>
    <t>메모 입력을(를) 입력하세요</t>
  </si>
  <si>
    <t>aria-label='메모'</t>
  </si>
  <si>
    <t>UI-035</t>
  </si>
  <si>
    <t>담당자 선택</t>
  </si>
  <si>
    <t>담당 FC 선택 드롭다운</t>
  </si>
  <si>
    <t>직원 목록에서 FC 역할만 필터</t>
  </si>
  <si>
    <t>담당자 선택을(를) 선택하세요</t>
  </si>
  <si>
    <t>aria-label='담당자 선택'</t>
  </si>
  <si>
    <t>UI-036</t>
  </si>
  <si>
    <t>저장 버튼</t>
  </si>
  <si>
    <t>회원 등록 저장</t>
  </si>
  <si>
    <t>모든 필수 항목 입력 시 활성화, 클릭 시 API 호출</t>
  </si>
  <si>
    <t>Primary Button + loading</t>
  </si>
  <si>
    <t>필수 항목 검증</t>
  </si>
  <si>
    <t>등록에 실패했습니다</t>
  </si>
  <si>
    <t>aria-label='저장'</t>
  </si>
  <si>
    <t>UI-037</t>
  </si>
  <si>
    <t>취소 버튼</t>
  </si>
  <si>
    <t>등록 취소, 목록으로 이동</t>
  </si>
  <si>
    <t>변경사항 있을 시 확인 모달</t>
  </si>
  <si>
    <t>Secondary Button</t>
  </si>
  <si>
    <t>aria-label='취소'</t>
  </si>
  <si>
    <t>▼ SCR-030</t>
  </si>
  <si>
    <t>매출 조회 (7개 요소)</t>
  </si>
  <si>
    <t>7개 요소</t>
  </si>
  <si>
    <t>UI-038</t>
  </si>
  <si>
    <t>날짜 범위 선택</t>
  </si>
  <si>
    <t>시작일~종료일 범위 선택</t>
  </si>
  <si>
    <t>DateRangePicker, 프리셋(오늘/이번주/이번달)</t>
  </si>
  <si>
    <t>FN-010</t>
  </si>
  <si>
    <t>DateRangePicker 컴포넌트</t>
  </si>
  <si>
    <t>시작일 ≤ 종료일</t>
  </si>
  <si>
    <t>올바른 기간을 선택하세요</t>
  </si>
  <si>
    <t>aria-label='조회 기간'</t>
  </si>
  <si>
    <t>매출 조회/통계</t>
  </si>
  <si>
    <t>UI-039</t>
  </si>
  <si>
    <t>유형 필터</t>
  </si>
  <si>
    <t>매출 유형(이용권/PT/상품/기타) 필터</t>
  </si>
  <si>
    <t>멀티 선택, 즉시 적용</t>
  </si>
  <si>
    <t>유형 필터을(를) 선택하세요</t>
  </si>
  <si>
    <t>aria-label='매출 유형'</t>
  </si>
  <si>
    <t>UI-040</t>
  </si>
  <si>
    <t>결제 상태(완료/환불/미납) 필터</t>
  </si>
  <si>
    <t>aria-label='결제 상태'</t>
  </si>
  <si>
    <t>UI-041</t>
  </si>
  <si>
    <t>구매자/상품명 검색</t>
  </si>
  <si>
    <t>실시간 검색 (debounce)</t>
  </si>
  <si>
    <t>SearchInput</t>
  </si>
  <si>
    <t>aria-label='매출 검색'</t>
  </si>
  <si>
    <t>UI-042</t>
  </si>
  <si>
    <t>매출 테이블</t>
  </si>
  <si>
    <t>매출 내역 데이터 테이블</t>
  </si>
  <si>
    <t>행 클릭 시 상세 모달, 정렬, 페이지네이션</t>
  </si>
  <si>
    <t>DataTable 컴포넌트</t>
  </si>
  <si>
    <t>aria-label='매출 목록'</t>
  </si>
  <si>
    <t>UI-043</t>
  </si>
  <si>
    <t>총매출 요약</t>
  </si>
  <si>
    <t>총매출/현금/카드/마일리지 요약 카드</t>
  </si>
  <si>
    <t>필터 변경 시 자동 갱신</t>
  </si>
  <si>
    <t>API-017</t>
  </si>
  <si>
    <t>요약 Card 4개</t>
  </si>
  <si>
    <t>aria-label='매출 요약'</t>
  </si>
  <si>
    <t>/api/v1/sales/stats/summary</t>
  </si>
  <si>
    <t>UI-044</t>
  </si>
  <si>
    <t>매출 데이터 엑셀 다운로드</t>
  </si>
  <si>
    <t>클릭 시 xlsx 다운로드</t>
  </si>
  <si>
    <t>다운로드 버튼</t>
  </si>
  <si>
    <t>▼ SCR-031</t>
  </si>
  <si>
    <t>POS (4개 요소)</t>
  </si>
  <si>
    <t>4개 요소</t>
  </si>
  <si>
    <t>UI-045</t>
  </si>
  <si>
    <t>카테고리 탭</t>
  </si>
  <si>
    <t>상품 카테고리 탭 (이용권/PT/GX/기타)</t>
  </si>
  <si>
    <t>탭 전환 시 상품 그리드 갱신</t>
  </si>
  <si>
    <t>FN-011</t>
  </si>
  <si>
    <t>API-018</t>
  </si>
  <si>
    <t>Tab 컴포넌트</t>
  </si>
  <si>
    <t>aria-label='상품 카테고리'</t>
  </si>
  <si>
    <t>POS 상품 선택/결제</t>
  </si>
  <si>
    <t>/api/v1/products</t>
  </si>
  <si>
    <t>UI-046</t>
  </si>
  <si>
    <t>상품 그리드</t>
  </si>
  <si>
    <t>카테고리별 상품 카드 그리드</t>
  </si>
  <si>
    <t>카드 클릭 시 장바구니 추가</t>
  </si>
  <si>
    <t>CSS Grid + Card</t>
  </si>
  <si>
    <t>aria-label='상품 목록'</t>
  </si>
  <si>
    <t>UI-047</t>
  </si>
  <si>
    <t>장바구니</t>
  </si>
  <si>
    <t>선택한 상품 목록 + 합계</t>
  </si>
  <si>
    <t>수량 조절, 삭제, 합계 자동 계산</t>
  </si>
  <si>
    <t>장바구니 컴포넌트</t>
  </si>
  <si>
    <t>aria-label='장바구니'</t>
  </si>
  <si>
    <t>UI-048</t>
  </si>
  <si>
    <t>결제 버튼</t>
  </si>
  <si>
    <t>결제 화면(SCR-032) 이동</t>
  </si>
  <si>
    <t>장바구니 1개 이상 시 활성화</t>
  </si>
  <si>
    <t>장바구니 비어있으면 비활성</t>
  </si>
  <si>
    <t>상품을 선택해주세요</t>
  </si>
  <si>
    <t>aria-label='결제하기'</t>
  </si>
  <si>
    <t>▼ SCR-032</t>
  </si>
  <si>
    <t>POS 결제 (4개 요소)</t>
  </si>
  <si>
    <t>UI-049</t>
  </si>
  <si>
    <t>결제 요약</t>
  </si>
  <si>
    <t>결제 대상 상품 요약 및 총액</t>
  </si>
  <si>
    <t>상품명, 수량, 금액 표시</t>
  </si>
  <si>
    <t>FN-012</t>
  </si>
  <si>
    <t>API-016</t>
  </si>
  <si>
    <t>요약 Card</t>
  </si>
  <si>
    <t>aria-label='결제 요약'</t>
  </si>
  <si>
    <t>POS 결제 처리</t>
  </si>
  <si>
    <t>UI-050</t>
  </si>
  <si>
    <t>결제수단 선택</t>
  </si>
  <si>
    <t>현금/카드/마일리지/복합 선택</t>
  </si>
  <si>
    <t>복합 선택 시 금액 분배 입력 필드 표시</t>
  </si>
  <si>
    <t>RadioGroup + 조건부 입력</t>
  </si>
  <si>
    <t>결제수단 선택을(를) 선택하세요</t>
  </si>
  <si>
    <t>UI-051</t>
  </si>
  <si>
    <t>회원 검색</t>
  </si>
  <si>
    <t>결제 대상 회원 검색</t>
  </si>
  <si>
    <t>회원 선택 시 마일리지 잔액 표시</t>
  </si>
  <si>
    <t>AutoComplete 컴포넌트</t>
  </si>
  <si>
    <t>UI-052</t>
  </si>
  <si>
    <t>결제 확인 버튼</t>
  </si>
  <si>
    <t>결제 실행</t>
  </si>
  <si>
    <t>결제 확인 모달 → API 호출 → 영수증</t>
  </si>
  <si>
    <t>Primary Button + 확인 모달</t>
  </si>
  <si>
    <t>결제수단/금액 검증</t>
  </si>
  <si>
    <t>결제에 실패했습니다</t>
  </si>
  <si>
    <t>aria-label='결제 확인'</t>
  </si>
  <si>
    <t>▼ SCR-050</t>
  </si>
  <si>
    <t>락커 현황 (4개 요소)</t>
  </si>
  <si>
    <t>UI-053</t>
  </si>
  <si>
    <t>구역 탭</t>
  </si>
  <si>
    <t>락커 구역(A/B/C...) 탭</t>
  </si>
  <si>
    <t>탭 전환 시 해당 구역 그리드 표시</t>
  </si>
  <si>
    <t>FN-015</t>
  </si>
  <si>
    <t>API-020</t>
  </si>
  <si>
    <t>aria-label='락커 구역'</t>
  </si>
  <si>
    <t>락커 현황 조회</t>
  </si>
  <si>
    <t>/api/v1/lockers</t>
  </si>
  <si>
    <t>UI-054</t>
  </si>
  <si>
    <t>락커 그리드</t>
  </si>
  <si>
    <t>락커 번호별 색상 그리드</t>
  </si>
  <si>
    <t>사용중(파랑)/빈(회색)/만료임박(주황)/고장(빨강)</t>
  </si>
  <si>
    <t>CSS Grid + 색상 매핑</t>
  </si>
  <si>
    <t>색상+패턴으로 상태 구분</t>
  </si>
  <si>
    <t>UI-055</t>
  </si>
  <si>
    <t>범례</t>
  </si>
  <si>
    <t>Label</t>
  </si>
  <si>
    <t>락커 상태별 색상 범례</t>
  </si>
  <si>
    <t>4가지 상태 색상 설명</t>
  </si>
  <si>
    <t>범례 컴포넌트</t>
  </si>
  <si>
    <t>aria-label='범례'</t>
  </si>
  <si>
    <t>UI-056</t>
  </si>
  <si>
    <t>락커 상세 모달</t>
  </si>
  <si>
    <t>Modal</t>
  </si>
  <si>
    <t>락커 클릭 시 상세 정보 모달</t>
  </si>
  <si>
    <t>배정 회원, 만료일, 이력 표시</t>
  </si>
  <si>
    <t>Modal 컴포넌트</t>
  </si>
  <si>
    <t>aria-modal='true'</t>
  </si>
  <si>
    <t>▼ SCR-060</t>
  </si>
  <si>
    <t>직원 목록 (5개 요소)</t>
  </si>
  <si>
    <t>UI-057</t>
  </si>
  <si>
    <t>직원 이름/연락처 검색</t>
  </si>
  <si>
    <t>실시간 검색</t>
  </si>
  <si>
    <t>FN-019</t>
  </si>
  <si>
    <t>API-022</t>
  </si>
  <si>
    <t>aria-label='직원 검색'</t>
  </si>
  <si>
    <t>직원 목록 조회</t>
  </si>
  <si>
    <t>/api/v1/staff</t>
  </si>
  <si>
    <t>UI-058</t>
  </si>
  <si>
    <t>역할 필터</t>
  </si>
  <si>
    <t>역할(센터장/매니저/FC/스태프) 필터</t>
  </si>
  <si>
    <t>단일 선택</t>
  </si>
  <si>
    <t>역할 필터을(를) 선택하세요</t>
  </si>
  <si>
    <t>aria-label='역할 필터'</t>
  </si>
  <si>
    <t>UI-059</t>
  </si>
  <si>
    <t>재직 상태(재직/휴직/퇴사) 필터</t>
  </si>
  <si>
    <t>UI-060</t>
  </si>
  <si>
    <t>직원 테이블</t>
  </si>
  <si>
    <t>직원 목록 데이터 테이블</t>
  </si>
  <si>
    <t>행 클릭 시 상세 모달</t>
  </si>
  <si>
    <t>DataTable</t>
  </si>
  <si>
    <t>aria-label='직원 목록'</t>
  </si>
  <si>
    <t>UI-061</t>
  </si>
  <si>
    <t>직원등록 버튼</t>
  </si>
  <si>
    <t>SCR-061 이동</t>
  </si>
  <si>
    <t>클릭 시 등록 페이지 이동</t>
  </si>
  <si>
    <t>FN-020</t>
  </si>
  <si>
    <t>aria-label='직원 등록'</t>
  </si>
  <si>
    <t>직원 등록/수정</t>
  </si>
  <si>
    <t>▼ SCR-070</t>
  </si>
  <si>
    <t>메시지 발송 (5개 요소)</t>
  </si>
  <si>
    <t>UI-062</t>
  </si>
  <si>
    <t>수신자 선택</t>
  </si>
  <si>
    <t>회원 검색/그룹 선택으로 수신자 지정</t>
  </si>
  <si>
    <t>AutoComplete + 그룹 선택 토글</t>
  </si>
  <si>
    <t>FN-023</t>
  </si>
  <si>
    <t>AutoComplete + ChipInput</t>
  </si>
  <si>
    <t>필수 입력</t>
  </si>
  <si>
    <t>수신자 선택을(를) 입력하세요</t>
  </si>
  <si>
    <t>aria-label='수신자'</t>
  </si>
  <si>
    <t>UI-063</t>
  </si>
  <si>
    <t>메시지 유형</t>
  </si>
  <si>
    <t>SMS/카카오톡 탭</t>
  </si>
  <si>
    <t>탭에 따라 본문 제한 변경</t>
  </si>
  <si>
    <t>aria-label='메시지 유형'</t>
  </si>
  <si>
    <t>UI-064</t>
  </si>
  <si>
    <t>본문 에디터</t>
  </si>
  <si>
    <t>메시지 본문 입력</t>
  </si>
  <si>
    <t>글자수 카운터, 변수 삽입 (#{이름} 등)</t>
  </si>
  <si>
    <t>Textarea + 변수 버튼</t>
  </si>
  <si>
    <t>SMS 90자/LMS 2000자</t>
  </si>
  <si>
    <t>본문 에디터을(를) 입력하세요</t>
  </si>
  <si>
    <t>aria-label='메시지 본문'</t>
  </si>
  <si>
    <t>UI-065</t>
  </si>
  <si>
    <t>발송 버튼</t>
  </si>
  <si>
    <t>메시지 발송 실행</t>
  </si>
  <si>
    <t>발송 전 미리보기 확인 모달</t>
  </si>
  <si>
    <t>수신자/본문 필수</t>
  </si>
  <si>
    <t>수신자를 선택해주세요</t>
  </si>
  <si>
    <t>aria-label='발송'</t>
  </si>
  <si>
    <t>UI-066</t>
  </si>
  <si>
    <t>발송 이력</t>
  </si>
  <si>
    <t>발송 이력 테이블</t>
  </si>
  <si>
    <t>발송일시/유형/수신자수/성공률 표시</t>
  </si>
  <si>
    <t>aria-label='발송 이력'</t>
  </si>
  <si>
    <t>▼ SCR-080</t>
  </si>
  <si>
    <t>계약 마법사 (6개 요소)</t>
  </si>
  <si>
    <t>UI-067</t>
  </si>
  <si>
    <t>스텝 인디케이터</t>
  </si>
  <si>
    <t>계약 단계 표시 (1.회원→2.상품→3.기간→4.결제→5.확인)</t>
  </si>
  <si>
    <t>현재 단계 강조, 완료 단계 체크마크</t>
  </si>
  <si>
    <t>FN-027</t>
  </si>
  <si>
    <t>Stepper 컴포넌트</t>
  </si>
  <si>
    <t>aria-label='계약 단계'</t>
  </si>
  <si>
    <t>계약 등록</t>
  </si>
  <si>
    <t>UI-068</t>
  </si>
  <si>
    <t>회원 선택 스텝</t>
  </si>
  <si>
    <t>계약 대상 회원 검색/선택</t>
  </si>
  <si>
    <t>AutoComplete 검색, 선택 시 프로필 카드 표시</t>
  </si>
  <si>
    <t>검색 + 프로필 Card</t>
  </si>
  <si>
    <t>회원 필수 선택</t>
  </si>
  <si>
    <t>회원을 선택하세요</t>
  </si>
  <si>
    <t>aria-label='회원 선택'</t>
  </si>
  <si>
    <t>UI-069</t>
  </si>
  <si>
    <t>상품 선택 스텝</t>
  </si>
  <si>
    <t>계약 상품 선택</t>
  </si>
  <si>
    <t>카테고리별 상품 목록, 복수 선택 가능</t>
  </si>
  <si>
    <t>상품 Card Grid</t>
  </si>
  <si>
    <t>상품 필수 선택</t>
  </si>
  <si>
    <t>상품을 선택하세요</t>
  </si>
  <si>
    <t>aria-label='상품 선택'</t>
  </si>
  <si>
    <t>UI-070</t>
  </si>
  <si>
    <t>기간/금액 스텝</t>
  </si>
  <si>
    <t>계약 기간 및 결제 금액 설정</t>
  </si>
  <si>
    <t>시작일/종료일, 할인 적용, 총액 자동 계산</t>
  </si>
  <si>
    <t>DatePicker + 금액 입력</t>
  </si>
  <si>
    <t>시작일 필수</t>
  </si>
  <si>
    <t>기간을 설정하세요</t>
  </si>
  <si>
    <t>aria-label='기간 설정'</t>
  </si>
  <si>
    <t>UI-071</t>
  </si>
  <si>
    <t>결제 스텝</t>
  </si>
  <si>
    <t>결제 수단 선택 및 처리</t>
  </si>
  <si>
    <t>현금/카드/마일리지/복합결제</t>
  </si>
  <si>
    <t>결제 컴포넌트</t>
  </si>
  <si>
    <t>결제수단 필수</t>
  </si>
  <si>
    <t>aria-label='결제'</t>
  </si>
  <si>
    <t>UI-072</t>
  </si>
  <si>
    <t>확인 스텝</t>
  </si>
  <si>
    <t>계약 내용 최종 확인 및 완료</t>
  </si>
  <si>
    <t>계약 요약, 확인 버튼, 인쇄 옵션</t>
  </si>
  <si>
    <t>요약 Card + 확인 버튼</t>
  </si>
  <si>
    <t>aria-label='계약 확인'</t>
  </si>
  <si>
    <t>▼ SCR-090</t>
  </si>
  <si>
    <t>설정 (3개 요소)</t>
  </si>
  <si>
    <t>3개 요소</t>
  </si>
  <si>
    <t>UI-073</t>
  </si>
  <si>
    <t>기본 설정 탭</t>
  </si>
  <si>
    <t>센터명/영업시간/연락처 등 기본 정보</t>
  </si>
  <si>
    <t>폼 입력, 저장 버튼</t>
  </si>
  <si>
    <t>FN-029</t>
  </si>
  <si>
    <t>Tab + Form</t>
  </si>
  <si>
    <t>aria-label='기본 설정'</t>
  </si>
  <si>
    <t>시스템 설정</t>
  </si>
  <si>
    <t>UI-074</t>
  </si>
  <si>
    <t>알림 설정 탭</t>
  </si>
  <si>
    <t>푸시/이메일/SMS 알림 ON/OFF</t>
  </si>
  <si>
    <t>토글 스위치</t>
  </si>
  <si>
    <t>Tab + Toggle List</t>
  </si>
  <si>
    <t>aria-label='알림 설정'</t>
  </si>
  <si>
    <t>UI-075</t>
  </si>
  <si>
    <t>설정 저장</t>
  </si>
  <si>
    <t>변경사항 감지 시 활성화</t>
  </si>
  <si>
    <t>aria-label='설정 저장'</t>
  </si>
  <si>
    <t>▼ SCR-091</t>
  </si>
  <si>
    <t>권한 설정 (3개 요소)</t>
  </si>
  <si>
    <t>UI-076</t>
  </si>
  <si>
    <t>역할 탭</t>
  </si>
  <si>
    <t>6단계 역할별 탭</t>
  </si>
  <si>
    <t>탭 전환 시 해당 역할 권한 매트릭스</t>
  </si>
  <si>
    <t>FN-030</t>
  </si>
  <si>
    <t>aria-label='역할 선택'</t>
  </si>
  <si>
    <t>권한 관리</t>
  </si>
  <si>
    <t>UI-077</t>
  </si>
  <si>
    <t>권한 매트릭스</t>
  </si>
  <si>
    <t>메뉴/기능별 읽기/쓰기/삭제 체크박스 테이블</t>
  </si>
  <si>
    <t>체크/해제 시 즉시 반영, 변경 이력 기록</t>
  </si>
  <si>
    <t>체크박스 매트릭스 테이블</t>
  </si>
  <si>
    <t>aria-label='권한 매트릭스'</t>
  </si>
  <si>
    <t>UI-078</t>
  </si>
  <si>
    <t>일괄 설정 버튼</t>
  </si>
  <si>
    <t>전체 선택/해제</t>
  </si>
  <si>
    <t>메뉴 단위 일괄 설정</t>
  </si>
  <si>
    <t>Toggle Button</t>
  </si>
  <si>
    <t>aria-label='일괄 설정'</t>
  </si>
  <si>
    <t>▼ SCR-094</t>
  </si>
  <si>
    <t>지점 관리 (3개 요소)</t>
  </si>
  <si>
    <t>UI-079</t>
  </si>
  <si>
    <t>지점 카드 뷰</t>
  </si>
  <si>
    <t>지점별 카드 (이름/주소/회원수/상태)</t>
  </si>
  <si>
    <t>카드 클릭 시 상세 모달</t>
  </si>
  <si>
    <t>FN-033</t>
  </si>
  <si>
    <t>Card Grid</t>
  </si>
  <si>
    <t>aria-label='지점 목록'</t>
  </si>
  <si>
    <t>UI-080</t>
  </si>
  <si>
    <t>지점 추가 버튼</t>
  </si>
  <si>
    <t>신규 지점 추가 모달 오픈</t>
  </si>
  <si>
    <t>모달 폼 (이름/코드/주소/연락처)</t>
  </si>
  <si>
    <t>Primary Button + Modal</t>
  </si>
  <si>
    <t>지점명/코드 필수</t>
  </si>
  <si>
    <t>지점명을 입력하세요</t>
  </si>
  <si>
    <t>aria-label='지점 추가'</t>
  </si>
  <si>
    <t>UI-081</t>
  </si>
  <si>
    <t>데이터 초기화 버튼</t>
  </si>
  <si>
    <t>지점 데이터 초기화 (개발용)</t>
  </si>
  <si>
    <t>2중 확인 모달 (비밀번호 입력)</t>
  </si>
  <si>
    <t>API-027</t>
  </si>
  <si>
    <t>Danger Button + 확인 모달</t>
  </si>
  <si>
    <t>관리자 비밀번호 필수</t>
  </si>
  <si>
    <t>비밀번호가 올바르지 않습니다</t>
  </si>
  <si>
    <t>aria-label='데이터 초기화'</t>
  </si>
  <si>
    <t>/api/v1/system/reset</t>
  </si>
  <si>
    <t>▼ SCR-040</t>
  </si>
  <si>
    <t>상품 목록 (3개 요소)</t>
  </si>
  <si>
    <t>UI-082</t>
  </si>
  <si>
    <t>카테고리 필터</t>
  </si>
  <si>
    <t>상품 카테고리 필터</t>
  </si>
  <si>
    <t>FN-013</t>
  </si>
  <si>
    <t>카테고리 필터을(를) 선택하세요</t>
  </si>
  <si>
    <t>aria-label='카테고리'</t>
  </si>
  <si>
    <t>상품 목록 조회</t>
  </si>
  <si>
    <t>UI-083</t>
  </si>
  <si>
    <t>상품 테이블</t>
  </si>
  <si>
    <t>상품 목록 테이블</t>
  </si>
  <si>
    <t>정렬, 키오스크 노출 토글</t>
  </si>
  <si>
    <t>DataTable + Toggle</t>
  </si>
  <si>
    <t>UI-084</t>
  </si>
  <si>
    <t>상품등록 버튼</t>
  </si>
  <si>
    <t>SCR-041 이동</t>
  </si>
  <si>
    <t>클릭 시 등록 페이지</t>
  </si>
  <si>
    <t>FN-014</t>
  </si>
  <si>
    <t>aria-label='상품 등록'</t>
  </si>
  <si>
    <t>상품 등록/수정</t>
  </si>
  <si>
    <t>▼ SCR-041</t>
  </si>
  <si>
    <t>상품 등록 (4개 요소)</t>
  </si>
  <si>
    <t>UI-085</t>
  </si>
  <si>
    <t>카테고리 선택</t>
  </si>
  <si>
    <t>상품 카테고리 선택</t>
  </si>
  <si>
    <t>선택에 따라 하위 필드 동적 변경</t>
  </si>
  <si>
    <t>API-019</t>
  </si>
  <si>
    <t>Select + 조건부 필드</t>
  </si>
  <si>
    <t>카테고리를 선택하세요</t>
  </si>
  <si>
    <t>aria-required</t>
  </si>
  <si>
    <t>UI-086</t>
  </si>
  <si>
    <t>상품명 입력</t>
  </si>
  <si>
    <t>중복 체크</t>
  </si>
  <si>
    <t>&lt;input&gt; + 중복 체크</t>
  </si>
  <si>
    <t>필수, 중복 불가</t>
  </si>
  <si>
    <t>상품명을 입력하세요</t>
  </si>
  <si>
    <t>UI-087</t>
  </si>
  <si>
    <t>가격 입력</t>
  </si>
  <si>
    <t>현금가/카드가 입력</t>
  </si>
  <si>
    <t>숫자만 입력, 천단위 콤마 포맷</t>
  </si>
  <si>
    <t>CurrencyInput</t>
  </si>
  <si>
    <t>0 이상 숫자</t>
  </si>
  <si>
    <t>올바른 금액을 입력하세요</t>
  </si>
  <si>
    <t>aria-label='가격'</t>
  </si>
  <si>
    <t>UI-088</t>
  </si>
  <si>
    <t>상품 등록 저장</t>
  </si>
  <si>
    <t>필수 항목 검증 후 API 호출</t>
  </si>
  <si>
    <t>▼ SCR-051</t>
  </si>
  <si>
    <t>락커 관리 (4개 요소)</t>
  </si>
  <si>
    <t>UI-089</t>
  </si>
  <si>
    <t>배정 대상 회원 검색</t>
  </si>
  <si>
    <t>AutoComplete</t>
  </si>
  <si>
    <t>FN-016</t>
  </si>
  <si>
    <t>락커 배정/관리</t>
  </si>
  <si>
    <t>UI-090</t>
  </si>
  <si>
    <t>빈 락커 선택</t>
  </si>
  <si>
    <t>배정 가능한 빈 락커 그리드</t>
  </si>
  <si>
    <t>클릭 선택, 선택 시 강조</t>
  </si>
  <si>
    <t>Grid + 선택 상태</t>
  </si>
  <si>
    <t>aria-label='락커 선택'</t>
  </si>
  <si>
    <t>UI-091</t>
  </si>
  <si>
    <t>배정 버튼</t>
  </si>
  <si>
    <t>락커 배정 실행</t>
  </si>
  <si>
    <t>회원+락커 선택 시 활성화</t>
  </si>
  <si>
    <t>API-021</t>
  </si>
  <si>
    <t>회원/락커 필수</t>
  </si>
  <si>
    <t>배정에 실패했습니다</t>
  </si>
  <si>
    <t>aria-label='배정'</t>
  </si>
  <si>
    <t>/api/v1/lockers/:id</t>
  </si>
  <si>
    <t>UI-092</t>
  </si>
  <si>
    <t>일괄 해제 버튼</t>
  </si>
  <si>
    <t>만료 락커 일괄 해제</t>
  </si>
  <si>
    <t>확인 모달 후 실행</t>
  </si>
  <si>
    <t>aria-label='일괄 해제'</t>
  </si>
  <si>
    <t>▼ SCR-061</t>
  </si>
  <si>
    <t>직원 등록 (5개 요소)</t>
  </si>
  <si>
    <t>UI-093</t>
  </si>
  <si>
    <t>직원 이름</t>
  </si>
  <si>
    <t>필수</t>
  </si>
  <si>
    <t>API-023</t>
  </si>
  <si>
    <t>&lt;input&gt;</t>
  </si>
  <si>
    <t>UI-094</t>
  </si>
  <si>
    <t>역할 선택</t>
  </si>
  <si>
    <t>직원 역할 선택</t>
  </si>
  <si>
    <t>선택 시 권한 미리보기 표시</t>
  </si>
  <si>
    <t>Select + 권한 미리보기</t>
  </si>
  <si>
    <t>역할을 선택하세요</t>
  </si>
  <si>
    <t>UI-095</t>
  </si>
  <si>
    <t>직원 연락처</t>
  </si>
  <si>
    <t>자동 포맷</t>
  </si>
  <si>
    <t>PhoneInput</t>
  </si>
  <si>
    <t>전화번호 형식</t>
  </si>
  <si>
    <t>UI-096</t>
  </si>
  <si>
    <t>입사일 선택</t>
  </si>
  <si>
    <t>입사일 date picker</t>
  </si>
  <si>
    <t>달력 팝업</t>
  </si>
  <si>
    <t>DatePicker</t>
  </si>
  <si>
    <t>입사일을 선택하세요</t>
  </si>
  <si>
    <t>aria-label='입사일'</t>
  </si>
  <si>
    <t>UI-097</t>
  </si>
  <si>
    <t>직원 등록 저장</t>
  </si>
  <si>
    <t>필수 검증 후 저장</t>
  </si>
  <si>
    <t>필수 항목</t>
  </si>
  <si>
    <t>▼ SCR-062</t>
  </si>
  <si>
    <t>급여 현황 (3개 요소)</t>
  </si>
  <si>
    <t>UI-098</t>
  </si>
  <si>
    <t>월 선택</t>
  </si>
  <si>
    <t>급여 조회 월 선택</t>
  </si>
  <si>
    <t>월 변경 시 테이블 갱신</t>
  </si>
  <si>
    <t>FN-021</t>
  </si>
  <si>
    <t>MonthPicker</t>
  </si>
  <si>
    <t>월 선택을(를) 선택하세요</t>
  </si>
  <si>
    <t>aria-label='조회 월'</t>
  </si>
  <si>
    <t>급여 관리</t>
  </si>
  <si>
    <t>UI-099</t>
  </si>
  <si>
    <t>급여 테이블</t>
  </si>
  <si>
    <t>직원별 급여 테이블</t>
  </si>
  <si>
    <t>기본급/인센티브/공제/실지급액 컬럼</t>
  </si>
  <si>
    <t>aria-label='급여 현황'</t>
  </si>
  <si>
    <t>UI-100</t>
  </si>
  <si>
    <t>합계 행</t>
  </si>
  <si>
    <t>전체 합계/평균 표시 행</t>
  </si>
  <si>
    <t>테이블 하단 고정</t>
  </si>
  <si>
    <t>테이블 footer</t>
  </si>
  <si>
    <t>aria-label='합계'</t>
  </si>
  <si>
    <t>▼ SCR-071</t>
  </si>
  <si>
    <t>자동 알림 (2개 요소)</t>
  </si>
  <si>
    <t>2개 요소</t>
  </si>
  <si>
    <t>UI-101</t>
  </si>
  <si>
    <t>알림 규칙 리스트</t>
  </si>
  <si>
    <t>자동 알림 규칙 목록</t>
  </si>
  <si>
    <t>각 규칙에 ON/OFF 토글</t>
  </si>
  <si>
    <t>FN-024</t>
  </si>
  <si>
    <t>List + Toggle</t>
  </si>
  <si>
    <t>aria-label='알림 규칙'</t>
  </si>
  <si>
    <t>자동 알림 설정</t>
  </si>
  <si>
    <t>UI-102</t>
  </si>
  <si>
    <t>규칙 설정 모달</t>
  </si>
  <si>
    <t>알림 규칙 상세 설정</t>
  </si>
  <si>
    <t>발송 시점/대상/메시지 템플릿 설정</t>
  </si>
  <si>
    <t>Modal + Form</t>
  </si>
  <si>
    <t>▼ SCR-072</t>
  </si>
  <si>
    <t>쿠폰 관리 (2개 요소)</t>
  </si>
  <si>
    <t>UI-103</t>
  </si>
  <si>
    <t>쿠폰 리스트</t>
  </si>
  <si>
    <t>쿠폰 목록 테이블</t>
  </si>
  <si>
    <t>상태/유형별 필터</t>
  </si>
  <si>
    <t>FN-025</t>
  </si>
  <si>
    <t>aria-label='쿠폰 목록'</t>
  </si>
  <si>
    <t>UI-104</t>
  </si>
  <si>
    <t>쿠폰 생성 버튼</t>
  </si>
  <si>
    <t>쿠폰 생성 모달 오픈</t>
  </si>
  <si>
    <t>모달 폼 (이름/유형/할인값/기간)</t>
  </si>
  <si>
    <t>aria-label='쿠폰 생성'</t>
  </si>
  <si>
    <t>▼ SCR-073</t>
  </si>
  <si>
    <t>마일리지 관리 (3개 요소)</t>
  </si>
  <si>
    <t>UI-105</t>
  </si>
  <si>
    <t>마일리지 조회 회원 검색</t>
  </si>
  <si>
    <t>FN-026</t>
  </si>
  <si>
    <t>UI-106</t>
  </si>
  <si>
    <t>마일리지 이력</t>
  </si>
  <si>
    <t>적립/사용 이력 테이블</t>
  </si>
  <si>
    <t>유형/날짜/금액/잔액 표시</t>
  </si>
  <si>
    <t>aria-label='마일리지 이력'</t>
  </si>
  <si>
    <t>UI-107</t>
  </si>
  <si>
    <t>적립/차감 버튼</t>
  </si>
  <si>
    <t>마일리지 적립/차감 모달</t>
  </si>
  <si>
    <t>금액 입력, 사유 선택</t>
  </si>
  <si>
    <t>Button + Modal</t>
  </si>
  <si>
    <t>금액 필수</t>
  </si>
  <si>
    <t>금액을 입력하세요</t>
  </si>
  <si>
    <t>aria-label='마일리지 변경'</t>
  </si>
  <si>
    <t>▼ SCR-052</t>
  </si>
  <si>
    <t>RFID 관리 (3개 요소)</t>
  </si>
  <si>
    <t>UI-108</t>
  </si>
  <si>
    <t>카드 번호 입력</t>
  </si>
  <si>
    <t>RFID 카드 번호 스캔/입력</t>
  </si>
  <si>
    <t>스캔 시 자동 입력, 직접 입력 가능</t>
  </si>
  <si>
    <t>FN-017</t>
  </si>
  <si>
    <t>&lt;input&gt; + 스캔 연동</t>
  </si>
  <si>
    <t>카드 번호 입력을(를) 입력하세요</t>
  </si>
  <si>
    <t>aria-label='카드 번호'</t>
  </si>
  <si>
    <t>UI-109</t>
  </si>
  <si>
    <t>회원 매핑</t>
  </si>
  <si>
    <t>카드-회원 매핑</t>
  </si>
  <si>
    <t>회원 검색 후 매핑</t>
  </si>
  <si>
    <t>회원 매핑을(를) 선택하세요</t>
  </si>
  <si>
    <t>aria-label='회원 매핑'</t>
  </si>
  <si>
    <t>UI-110</t>
  </si>
  <si>
    <t>카드 이력</t>
  </si>
  <si>
    <t>카드 등록/해제 이력</t>
  </si>
  <si>
    <t>시간순 정렬</t>
  </si>
  <si>
    <t>aria-label='카드 이력'</t>
  </si>
  <si>
    <t>▼ SCR-053</t>
  </si>
  <si>
    <t>룸 관리 (2개 요소)</t>
  </si>
  <si>
    <t>UI-111</t>
  </si>
  <si>
    <t>룸 카드</t>
  </si>
  <si>
    <t>GX/PT 룸 카드 뷰</t>
  </si>
  <si>
    <t>룸명/수용인원/상태 표시</t>
  </si>
  <si>
    <t>FN-018</t>
  </si>
  <si>
    <t>aria-label='룸 목록'</t>
  </si>
  <si>
    <t>UI-112</t>
  </si>
  <si>
    <t>룸 등록 모달</t>
  </si>
  <si>
    <t>신규 룸 등록</t>
  </si>
  <si>
    <t>룸명/유형/수용인원/시간대 설정</t>
  </si>
  <si>
    <t>룸명 필수</t>
  </si>
  <si>
    <t>룸명을 입력하세요</t>
  </si>
  <si>
    <t>▼ SCR-081</t>
  </si>
  <si>
    <t>구독 관리 (2개 요소)</t>
  </si>
  <si>
    <t>UI-113</t>
  </si>
  <si>
    <t>구독 목록</t>
  </si>
  <si>
    <t>정기 구독 상품 목록</t>
  </si>
  <si>
    <t>상태/결제일/금액 표시</t>
  </si>
  <si>
    <t>FN-028</t>
  </si>
  <si>
    <t>aria-label='구독 목록'</t>
  </si>
  <si>
    <t>UI-114</t>
  </si>
  <si>
    <t>구독 상세 정보</t>
  </si>
  <si>
    <t>결제 이력, 해지 옵션</t>
  </si>
  <si>
    <t>▼ SCR-092</t>
  </si>
  <si>
    <t>키오스크 설정 (2개 요소)</t>
  </si>
  <si>
    <t>UI-115</t>
  </si>
  <si>
    <t>미리보기</t>
  </si>
  <si>
    <t>키오스크 화면 미리보기</t>
  </si>
  <si>
    <t>실시간 설정 반영</t>
  </si>
  <si>
    <t>FN-031</t>
  </si>
  <si>
    <t>Preview 컴포넌트</t>
  </si>
  <si>
    <t>aria-label='미리보기'</t>
  </si>
  <si>
    <t>UI-116</t>
  </si>
  <si>
    <t>로고 업로드</t>
  </si>
  <si>
    <t>센터 로고 업로드</t>
  </si>
  <si>
    <t>이미지 파일 선택, 5MB 제한</t>
  </si>
  <si>
    <t>FileUpload</t>
  </si>
  <si>
    <t>5MB 이하, JPG/PNG</t>
  </si>
  <si>
    <t>5MB 이하 파일만 가능</t>
  </si>
  <si>
    <t>aria-label='로고 업로드'</t>
  </si>
  <si>
    <t>▼ SCR-093</t>
  </si>
  <si>
    <t>IoT 설정 (2개 요소)</t>
  </si>
  <si>
    <t>UI-117</t>
  </si>
  <si>
    <t>기기 목록</t>
  </si>
  <si>
    <t>연동 기기 목록</t>
  </si>
  <si>
    <t>연결상태 표시 (온라인/오프라인)</t>
  </si>
  <si>
    <t>FN-032</t>
  </si>
  <si>
    <t>DataTable + 상태 아이콘</t>
  </si>
  <si>
    <t>aria-label='기기 목록'</t>
  </si>
  <si>
    <t>UI-118</t>
  </si>
  <si>
    <t>연결 테스트 버튼</t>
  </si>
  <si>
    <t>기기 연결 테스트</t>
  </si>
  <si>
    <t>클릭 시 ping 테스트, 결과 표시</t>
  </si>
  <si>
    <t>Button + 결과 표시</t>
  </si>
  <si>
    <t>aria-label='연결 테스트'</t>
  </si>
  <si>
    <t>▼ SCR-013</t>
  </si>
  <si>
    <t>회원 수정 (2개 요소)</t>
  </si>
  <si>
    <t>UI-119</t>
  </si>
  <si>
    <t>기존 정보 프리필 폼</t>
  </si>
  <si>
    <t>기존 회원 정보가 채워진 폼</t>
  </si>
  <si>
    <t>변경된 필드 강조 표시</t>
  </si>
  <si>
    <t>FN-005</t>
  </si>
  <si>
    <t>API-010</t>
  </si>
  <si>
    <t>폼 + diff 표시</t>
  </si>
  <si>
    <t>aria-label='회원 정보 수정'</t>
  </si>
  <si>
    <t>회원 정보 수정</t>
  </si>
  <si>
    <t>UI-120</t>
  </si>
  <si>
    <t>수정 저장</t>
  </si>
  <si>
    <t>변경사항 확인 모달 후 저장</t>
  </si>
  <si>
    <t>변경사항 존재</t>
  </si>
  <si>
    <t>수정에 실패했습니다</t>
  </si>
  <si>
    <t>▼ SCR-014</t>
  </si>
  <si>
    <t>체성분 분석 추가 (2개 요소)</t>
  </si>
  <si>
    <t>UI-121</t>
  </si>
  <si>
    <t>측정값 입력 폼</t>
  </si>
  <si>
    <t>체중/골격근/체지방률 등 입력</t>
  </si>
  <si>
    <t>숫자 입력, 단위 표시</t>
  </si>
  <si>
    <t>입력 폼</t>
  </si>
  <si>
    <t>aria-label='체성분 입력'</t>
  </si>
  <si>
    <t>UI-122</t>
  </si>
  <si>
    <t>변화 추이 차트</t>
  </si>
  <si>
    <t>측정일 기준 라인 차트</t>
  </si>
  <si>
    <t>항목별 토글, 호버 툴팁</t>
  </si>
  <si>
    <t>차트 데이터 테이블 대체</t>
  </si>
  <si>
    <t>▼ SCR-020</t>
  </si>
  <si>
    <t>출석 기록 추가 (2개 요소)</t>
  </si>
  <si>
    <t>UI-123</t>
  </si>
  <si>
    <t>날짜 필터</t>
  </si>
  <si>
    <t>출석 조회 날짜 선택</t>
  </si>
  <si>
    <t>일별/주별/월별 토글</t>
  </si>
  <si>
    <t>FN-008</t>
  </si>
  <si>
    <t>DatePicker + 뷰 토글</t>
  </si>
  <si>
    <t>YYYY-MM-DD 형식, 유효한 날짜</t>
  </si>
  <si>
    <t>aria-label='날짜 필터'</t>
  </si>
  <si>
    <t>출석 기록 조회</t>
  </si>
  <si>
    <t>UI-124</t>
  </si>
  <si>
    <t>출석 테이블</t>
  </si>
  <si>
    <t>출석 이력 데이터 테이블</t>
  </si>
  <si>
    <t>유형/시간/타지점 여부 표시</t>
  </si>
  <si>
    <t>aria-label='출석 목록'</t>
  </si>
  <si>
    <t>▼ SCR-021</t>
  </si>
  <si>
    <t>일정 관리 추가 (2개 요소)</t>
  </si>
  <si>
    <t>UI-125</t>
  </si>
  <si>
    <t>캘린더 뷰</t>
  </si>
  <si>
    <t>월/주/일 캘린더</t>
  </si>
  <si>
    <t>드래그앤드롭 일정 이동</t>
  </si>
  <si>
    <t>FN-009</t>
  </si>
  <si>
    <t>FullCalendar</t>
  </si>
  <si>
    <t>키보드 네비게이션 지원</t>
  </si>
  <si>
    <t>UI-126</t>
  </si>
  <si>
    <t>일정 상세 모달</t>
  </si>
  <si>
    <t>일정 클릭 시 상세</t>
  </si>
  <si>
    <t>수정/삭제/회원 연결</t>
  </si>
  <si>
    <t>▼ SCR-063</t>
  </si>
  <si>
    <t>급여명세서 추가 (3개 요소)</t>
  </si>
  <si>
    <t>UI-127</t>
  </si>
  <si>
    <t>직원/월 선택</t>
  </si>
  <si>
    <t>급여명세서 조회 조건</t>
  </si>
  <si>
    <t>직원 + 월 선택</t>
  </si>
  <si>
    <t>FN-022</t>
  </si>
  <si>
    <t>Select 2개</t>
  </si>
  <si>
    <t>직원/월 선택을(를) 선택하세요</t>
  </si>
  <si>
    <t>aria-label='조회 조건'</t>
  </si>
  <si>
    <t>급여명세서 조회</t>
  </si>
  <si>
    <t>UI-128</t>
  </si>
  <si>
    <t>명세서 상세</t>
  </si>
  <si>
    <t>급여명세서 상세 내역</t>
  </si>
  <si>
    <t>기본급/수당/공제/실지급 항목별 표시</t>
  </si>
  <si>
    <t>명세서 Card</t>
  </si>
  <si>
    <t>aria-label='급여명세서'</t>
  </si>
  <si>
    <t>UI-129</t>
  </si>
  <si>
    <t>PDF 다운로드</t>
  </si>
  <si>
    <t>명세서 PDF 다운로드</t>
  </si>
  <si>
    <t>클릭 시 PDF 생성/다운로드</t>
  </si>
  <si>
    <t>Button + html2pdf</t>
  </si>
  <si>
    <t>aria-label='PDF 다운로드'</t>
  </si>
  <si>
    <t>▼ 공통</t>
  </si>
  <si>
    <t>공통 컴포넌트 (27개 요소)</t>
  </si>
  <si>
    <t>27개 요소</t>
  </si>
  <si>
    <t>UI-201</t>
  </si>
  <si>
    <t>공통</t>
  </si>
  <si>
    <t>AppLayout</t>
  </si>
  <si>
    <t>Layout</t>
  </si>
  <si>
    <t>전체 페이지 레이아웃 (사이드바 + 헤더 + 콘텐츠 영역)</t>
  </si>
  <si>
    <t>사이드바 접기/펼치기 시 콘텐츠 영역 자동 조정</t>
  </si>
  <si>
    <t>UI-202</t>
  </si>
  <si>
    <t>AppHeader (GNB)</t>
  </si>
  <si>
    <t>Navigation</t>
  </si>
  <si>
    <t>상단 글로벌 네비게이션 바: 로고, 햄버거 메뉴, 지점 선택 드롭다운, 글로벌 검색바, 알림 벨(배지), 사용자 프로필(역할+이름), 회원등록 CTA</t>
  </si>
  <si>
    <t>로고 클릭→대시보드, 지점 선택→데이터 전환, 검색→회원/연락처 실시간 검색, 벨→알림 패널 토글, 프로필→드롭다운(내 정보/비밀번호 변경/로그아웃)</t>
  </si>
  <si>
    <t>UI-203</t>
  </si>
  <si>
    <t>AppSidebar</t>
  </si>
  <si>
    <t>좌측 사이드바 네비게이션: 9개 메뉴 그룹(대시보드/회원/수업/매출/상품/시설/급여/메시지/설정), 서브메뉴 아코디언, 하단 프로필+로그아웃</t>
  </si>
  <si>
    <t>메뉴 클릭→페이지 이동+활성 하이라이트, 현재 경로 자동 메뉴 열기, 접기 시 아이콘만 표시(60px), 역할별 메뉴 필터링</t>
  </si>
  <si>
    <t>UI-204</t>
  </si>
  <si>
    <t>Table</t>
  </si>
  <si>
    <t>공통 데이터 테이블: 컬럼 정렬, 페이지네이션(20/50/100), 행 선택(체크박스), 엑셀 다운로드, 스켈레톤 로딩, 빈 상태 메시지, 타이틀+검색</t>
  </si>
  <si>
    <t>컬럼 헤더 클릭→정렬 토글(asc/desc), 체크박스→벌크 액션 바, 페이지 변경→데이터 리로드</t>
  </si>
  <si>
    <t>모바일 sticky 첫 컬럼. 페이지네이션 상태 관리. 정렬/필터 통합 (2026-03-13)</t>
  </si>
  <si>
    <t>UI-205</t>
  </si>
  <si>
    <t>SearchFilter</t>
  </si>
  <si>
    <t>Filter</t>
  </si>
  <si>
    <t>검색+필터 콤보: 텍스트 검색(300ms debounce), 셀렉트/날짜범위 필터, 활성 필터 태그, 초기화 버튼</t>
  </si>
  <si>
    <t>검색어 입력→300ms 후 자동 필터, 필터 변경→즉시 반영, 초기화→모든 필터 제거</t>
  </si>
  <si>
    <t>UI-206</t>
  </si>
  <si>
    <t>Dialog</t>
  </si>
  <si>
    <t>공통 모달: sm(400px)/md(500px)/lg(600px)/xl(800px) 사이즈, ESC 닫기, 배경 클릭 닫기, body 스크롤 잠금</t>
  </si>
  <si>
    <t>ESC키→닫기, 배경 클릭→닫기, 열기 시 body overflow:hidden</t>
  </si>
  <si>
    <t>UI-207</t>
  </si>
  <si>
    <t>ConfirmDialog</t>
  </si>
  <si>
    <t>확인 대화상자: 제목/설명/확인/취소 버튼, danger variant(빨간 확인 버튼), 텍스트 입력 확인(위험 작업)</t>
  </si>
  <si>
    <t>확인 클릭→콜백 실행, 취소/ESC→닫기, confirmationText 일치 시에만 확인 버튼 활성</t>
  </si>
  <si>
    <t>window.confirm 전면 교체. focus ring 수정. role=alertdialog (2026-03-13)</t>
  </si>
  <si>
    <t>UI-208</t>
  </si>
  <si>
    <t>StatCard</t>
  </si>
  <si>
    <t>KPI 통계 카드: 레이블, 값, 아이콘, 변동률(증감 화살표), 설명, variant(default/mint/peach)</t>
  </si>
  <si>
    <t>호버 시 미세한 scale-up 효과</t>
  </si>
  <si>
    <t>UI-209</t>
  </si>
  <si>
    <t>StatusBadge</t>
  </si>
  <si>
    <t>Badge</t>
  </si>
  <si>
    <t>상태 배지: dot(●) + 레이블, variant(success/error/warning/default/info)</t>
  </si>
  <si>
    <t>정적 표시</t>
  </si>
  <si>
    <t>UI-210</t>
  </si>
  <si>
    <t>PageHeader</t>
  </si>
  <si>
    <t>Header</t>
  </si>
  <si>
    <t>페이지 상단 헤더: 제목(H1), 설명, 우측 액션 버튼 영역</t>
  </si>
  <si>
    <t>UI-211</t>
  </si>
  <si>
    <t>TabNav</t>
  </si>
  <si>
    <t>탭 네비게이션: 탭 목록, 활성 탭 하이라이트, 아이콘 지원</t>
  </si>
  <si>
    <t>탭 클릭→콘텐츠 전환, 활성 탭 하단 인디케이터</t>
  </si>
  <si>
    <t>UI-212</t>
  </si>
  <si>
    <t>FormField</t>
  </si>
  <si>
    <t>폼 필드 래퍼: 라벨, 필수 표시(*), 에러 메시지, 힌트 텍스트</t>
  </si>
  <si>
    <t>에러 시 빨간 테두리+에러 메시지, 포커스 시 accent 테두리</t>
  </si>
  <si>
    <t>UI-213</t>
  </si>
  <si>
    <t>FormSection</t>
  </si>
  <si>
    <t>Container</t>
  </si>
  <si>
    <t>폼 섹션 그룹: 섹션 제목, 1~2컬럼 그리드, 구분선</t>
  </si>
  <si>
    <t>정적 레이아웃</t>
  </si>
  <si>
    <t>UI-214</t>
  </si>
  <si>
    <t>날짜 선택기: 캘린더 팝업, 직접 입력, 포맷(YYYY-MM-DD)</t>
  </si>
  <si>
    <t>클릭→캘린더 팝업, 날짜 선택→값 설정</t>
  </si>
  <si>
    <t>UI-215</t>
  </si>
  <si>
    <t>DateRangePicker</t>
  </si>
  <si>
    <t>기간 선택기: 시작일~종료일, 프리셋(오늘/이번주/이번달/3개월)</t>
  </si>
  <si>
    <t>프리셋 클릭→자동 범위 설정, 직접 날짜 선택</t>
  </si>
  <si>
    <t>UI-216</t>
  </si>
  <si>
    <t>파일 업로드: 드래그앤드롭, 클릭 선택, 미리보기(이미지), 크기 제한, Supabase Storage 연동, 업로드 진행률</t>
  </si>
  <si>
    <t>드래그→하이라이트, 파일 선택→미리보기+업로드, X→파일 제거</t>
  </si>
  <si>
    <t>UI-217</t>
  </si>
  <si>
    <t>SignaturePad</t>
  </si>
  <si>
    <t>전자서명 캔버스: 마우스+터치 드로잉, undo/clear, 서명 확인 버튼</t>
  </si>
  <si>
    <t>드로잉→실시간 캔버스 렌더, clear→초기화, 확인→base64 데이터URL 반환</t>
  </si>
  <si>
    <t>UI-218</t>
  </si>
  <si>
    <t>Skeleton</t>
  </si>
  <si>
    <t>Loading</t>
  </si>
  <si>
    <t>로딩 스켈레톤: base/card/table/text 변형, 펄스 애니메이션</t>
  </si>
  <si>
    <t>데이터 로딩 중 표시, 데이터 도착 시 자동 교체</t>
  </si>
  <si>
    <t>UI-219</t>
  </si>
  <si>
    <t>EmptyState</t>
  </si>
  <si>
    <t>Feedback</t>
  </si>
  <si>
    <t>빈 상태 표시: 아이콘, 제목, 설명, 액션 버튼</t>
  </si>
  <si>
    <t>데이터 0건 시 테이블/리스트 대신 표시</t>
  </si>
  <si>
    <t>전 페이지 빈 상태 UI 적용. 아이콘+메시지+액션 패턴 (2026-03-13)</t>
  </si>
  <si>
    <t>UI-220</t>
  </si>
  <si>
    <t>Toast</t>
  </si>
  <si>
    <t>토스트 알림(sonner): success/error/info/warning, 자동 닫힘(3초), 우측 상단</t>
  </si>
  <si>
    <t>자동 소멸, 여러 개 스택, 닫기 버튼</t>
  </si>
  <si>
    <t>sonner 기반. alert() 40+건 교체 완료. 성공/실패/정보 variant (2026-03-13)</t>
  </si>
  <si>
    <t>UI-221</t>
  </si>
  <si>
    <t>Toggle</t>
  </si>
  <si>
    <t>토글 스위치: on/off, 라벨, disabled 상태</t>
  </si>
  <si>
    <t>클릭→상태 전환</t>
  </si>
  <si>
    <t>공통 컴포넌트 분리. IoT/자동알림/메시지 페이지에서 사용 (2026-03-13)</t>
  </si>
  <si>
    <t>UI-222</t>
  </si>
  <si>
    <t>Tooltip</t>
  </si>
  <si>
    <t>툴팁: 호버 시 표시, 상/하/좌/우 방향</t>
  </si>
  <si>
    <t>마우스 호버→표시, 마우스 아웃→숨김</t>
  </si>
  <si>
    <t>UI-223</t>
  </si>
  <si>
    <t>ProgressBar</t>
  </si>
  <si>
    <t>진행률 바: 0~100%, 라벨, 색상 variant</t>
  </si>
  <si>
    <t>UI-224</t>
  </si>
  <si>
    <t>NumberInput</t>
  </si>
  <si>
    <t>숫자 입력: 천단위 콤마 포맷, +/- 버튼, min/max</t>
  </si>
  <si>
    <t>입력→자동 포맷, +/-→증감</t>
  </si>
  <si>
    <t>UI-225</t>
  </si>
  <si>
    <t>범용 배지: 텍스트, 색상 variant, 크기(sm/md)</t>
  </si>
  <si>
    <t>UI-226</t>
  </si>
  <si>
    <t>ErrorBoundary</t>
  </si>
  <si>
    <t>React 에러 경계: 렌더 에러 캐치, 폴백 UI(에러 메시지+새로고침 버튼)</t>
  </si>
  <si>
    <t>에러 발생 시 폴백 UI 표시, 새로고침 버튼 클릭→페이지 리로드</t>
  </si>
  <si>
    <t>UI-227</t>
  </si>
  <si>
    <t>PrivateRoute</t>
  </si>
  <si>
    <t>Guard</t>
  </si>
  <si>
    <t>인증 가드: 미인증 시 /login 리다이렉트, 인증 확인 중 로딩 표시</t>
  </si>
  <si>
    <t>비인증→로그인 페이지 리다이렉트</t>
  </si>
  <si>
    <t>UI-228</t>
  </si>
  <si>
    <t>공통 모달 컴포넌트</t>
  </si>
  <si>
    <t>ESC 닫기, 바깥 클릭 닫기, body scroll lock</t>
  </si>
  <si>
    <t>구현완료</t>
  </si>
  <si>
    <t>role=dialog, aria-modal=true, focus trap</t>
  </si>
  <si>
    <t>인라인 모달 전면 교체. Attendance/Locker/MemberList 등 적용 (2026-03-13)</t>
  </si>
  <si>
    <t>Overlay + Content + Header + Body + Footer</t>
  </si>
  <si>
    <t>max-w-[480px] p-xl</t>
  </si>
  <si>
    <t>open, closing(애니메이션)</t>
  </si>
  <si>
    <t>overlay dim 처리</t>
  </si>
  <si>
    <t>modal-content</t>
  </si>
  <si>
    <t>TK-601</t>
  </si>
  <si>
    <t>UI-229</t>
  </si>
  <si>
    <t>검색+필터 통합 컴포넌트</t>
  </si>
  <si>
    <t>검색어 입력, 필터 선택, 리셋</t>
  </si>
  <si>
    <t>aria-label 검색 입력</t>
  </si>
  <si>
    <t>회원/직원/매출/출석 등 전 페이지 적용 (2026-03-13)</t>
  </si>
  <si>
    <t>SearchInput + FilterSelect + ResetButton</t>
  </si>
  <si>
    <t>default, filtered(활성필터 표시)</t>
  </si>
  <si>
    <t>필터 활성 시 뱃지 표시</t>
  </si>
  <si>
    <t>기능명</t>
  </si>
  <si>
    <t>기능 분류</t>
  </si>
  <si>
    <t>기능 설명</t>
  </si>
  <si>
    <t>상세 요구사항</t>
  </si>
  <si>
    <t>입력 항목</t>
  </si>
  <si>
    <t>출력 항목</t>
  </si>
  <si>
    <t>비즈니스 규칙</t>
  </si>
  <si>
    <t>예외 처리</t>
  </si>
  <si>
    <t>Web 구현 사항</t>
  </si>
  <si>
    <t>App 구현 사항</t>
  </si>
  <si>
    <t>관련 API ID</t>
  </si>
  <si>
    <t>[자동] 관련 UI 요소</t>
  </si>
  <si>
    <t>로그인 (1개 기능)</t>
  </si>
  <si>
    <t>로그인 유지, sr-only 접근성, aria 속성 (2026-03-13)</t>
  </si>
  <si>
    <t>Supabase Auth 기반 로그인 (signInWithPassword) + 평문 비밀번호 fallback. 지점 선택 포함.</t>
  </si>
  <si>
    <t>1) Supabase Auth signInWithPassword({email}@spogym.local, password) 1차 시도
2) Auth 실패 시 기존 평문 비밀번호 fallback (마이그레이션 호환)
3) 지점 선택 필수
4) 로그인 유지 체크 시 localStorage 아이디 저장
5) onAuthStateChange 리스너로 세션 자동 관리
6) TOKEN_REFRESHED 시 토큰 자동 갱신, SIGNED_OUT 시 자동 로그아웃</t>
  </si>
  <si>
    <t>이메일, 비밀번호, 지점ID</t>
  </si>
  <si>
    <t>JWT 토큰, 사용자 정보, 권한 목록</t>
  </si>
  <si>
    <t>1) 5회 연속 실패 시 30분 계정 잠금
2) 비밀번호: 최소 8자, 영문+숫자+특수문자 조합 필수
3) 이전 3개 비밀번호 재사용 금지
4) 90일 경과 시 비밀번호 변경 권장 팝업 (강제 변경 or 건너뛰기)
5) 동시 세션 1개 제한 – 신규 로그인 시 기존 세션 강제 종료
6) 토큰 만료: 기본 2시간 / 로그인 유지 체크 시 7일 (refresh token)
7) 로그인 시 선택한 지점만 데이터 접근 허용
8) 탈퇴·비활성 계정 접근 불가</t>
  </si>
  <si>
    <t>계정 잠금: '5회 실패로 잠금. 30분 후 재시도 또는 비밀번호 찾기'
서버 오류: '일시적 오류. 잠시 후 다시 시도하세요'
탈퇴 계정: '탈퇴 처리된 계정입니다'
네트워크 오류: '인터넷 연결을 확인하세요'
지점 미선택: '지점을 선택해주세요'
잘못된 자격증명: '이메일 또는 비밀번호를 확인하세요'</t>
  </si>
  <si>
    <t>Supabase Auth + React Zustand 스토어
authStore.ts: initAuthListener() 세션 관리
비밀번호 변경: AppHeader 모달 → supabase.auth.updateUser()
감사로그: 로그인 실패/로그아웃 시 자동 기록</t>
  </si>
  <si>
    <t>Supabase Auth 전환 완료 (2026-03-12). 비밀번호 변경 모달 구현 (2026-03-13). 로그인 유지 + 세션 자동관리 + 감사로그 연동</t>
  </si>
  <si>
    <t>대시보드 (1개 기능)</t>
  </si>
  <si>
    <t>실데이터 차트, 카드 클릭 네비게이션 (2026-03-13)</t>
  </si>
  <si>
    <t>지점별 핵심 KPI 대시보드 (회원/매출/출석 요약)</t>
  </si>
  <si>
    <t>1) 총회원/활성/만료임박/만료 카운트
2) 오늘 생일 회원 리스트
3) 미납 회원 리스트
4) 만료 예정 회원
5) 당월 매출 차트</t>
  </si>
  <si>
    <t>지점ID (JWT에서 추출)</t>
  </si>
  <si>
    <t>통계 데이터, 리스트, 차트 데이터</t>
  </si>
  <si>
    <t>1) 통계 카드: 페이지 진입 시 + 5분 주기 자동 갱신
2) 만료임박: D-7 이내 카운트, D-3 이내 긴급(빨간색), D-0 만료 처리
3) 미납: 결제예정일 초과 + 미결제 → 미납, 30일 초과 시 장기미납 표시
4) 차트: 페이지 진입 시 1회 조회 (BarChart/PieChart/LineChart)
5) 통계 카드 클릭 시 해당 목록으로 이동 (status 필터 자동 적용)
6) 지점별 데이터 격리 – branch_id 기준 필터 필수
7) 알림 리스트: 실시간 polling 30초 주기</t>
  </si>
  <si>
    <t>데이터 로드 실패: 각 섹션 독립 에러 표시 + 재시도 버튼
빈 데이터: '아직 데이터가 없습니다' Empty State UI
지점 미설정: '지점 정보를 설정하세요' 안내
네트워크 단절: 마지막 갱신 시각 표시 + 수동 갱신 버튼</t>
  </si>
  <si>
    <t>TanStack Query (5분 refetchInterval, staleTime 설정)
Recharts – BarChart, PieChart, LineChart
useNavigate() + query string으로 필터 목록 이동
Skeleton 로딩 UI (카드/차트 영역)
RefreshCw 아이콘 수동 갱신 버튼
date-fns 날짜 계산 (D-day)</t>
  </si>
  <si>
    <t>실 데이터 차트 연동 완료. soft delete 필터 적용. 클릭 네비게이션 구현 (2026-03-13)</t>
  </si>
  <si>
    <t>회원 목록 (2개 기능)</t>
  </si>
  <si>
    <t>회원 검색, 필터, 페이지네이션 목록 조회</t>
  </si>
  <si>
    <t>1) 이름/연락처/회원번호 검색 (300ms debounce)
2) 상태/성별/담당자 필터 조합
3) 컬럼 정렬
4) 페이지당 20/50/100건
5) 엑셀 다운로드</t>
  </si>
  <si>
    <t>검색어, 필터 조건, 페이지 번호, 정렬 기준</t>
  </si>
  <si>
    <t>회원 목록 (이름/연락처/상태/이용권/담당자)</t>
  </si>
  <si>
    <t>1) 검색: 이름 부분일치(2자 이상), 연락처 숫자만 추출 후 부분일치, 회원번호 완전일치
2) 검색 debounce 300ms 적용
3) 모든 필터는 AND 조합, 탭 필터와 상세 필터 동시 적용
4) 회원 상태: 활성/만료/예정/임박(D-30 이내)/홀딩/미등록 정의
5) 일괄 처리 최대 100명 동시 선택
6) 삭제 회원 기본 미표시, 옵션으로 표시 전환 가능
7) 권한별 조회 범위 제한 (FC: 담당 회원만, 스태프: 조회만)</t>
  </si>
  <si>
    <t>검색 결과 없음: '조건에 맞는 회원이 없습니다' Empty State
필터 오류: 필터 초기화 버튼 항상 노출
API 오류: '회원 목록을 불러오지 못했습니다. 재시도' 버튼
일괄 처리 100명 초과: '최대 100명까지 선택 가능합니다'
권한 없음: 해당 기능 버튼 비활성화 처리</t>
  </si>
  <si>
    <t>TanStack Query – GET /api/v1/members (캐싱)
useDebounce() 훅 (300ms)
DataTable 컴포넌트 (정렬/페이지네이션/다중선택)
URL 쿼리 파라미터로 필터 상태 동기화
xlsx 라이브러리 – 엑셀 다운로드
Checkbox 다중선택 + 일괄 처리 드롭다운</t>
  </si>
  <si>
    <t>서버사이드 페이지네이션/정렬/필터 완료. 상태 변경 모달 (window.prompt→셀렉트) 개선 (2026-03-13)</t>
  </si>
  <si>
    <t>신규 회원 등록</t>
  </si>
  <si>
    <t>1) 필수: 이름, 성별, 연락처
2) 선택: 이메일, 주소, 생년월일, 메모
3) 담당 FC 배정
4) 연락처 중복 체크</t>
  </si>
  <si>
    <t>이름, 성별, 생년월일, 연락처, 이메일, 주소, 메모, 담당자ID</t>
  </si>
  <si>
    <t>등록된 회원 정보</t>
  </si>
  <si>
    <t>1) 필수 입력: 이름(2~20자, 한글/영문), 성별, 연락처(010-XXXX-XXXX), 회원구분
2) 연락처: 동일 지점 내 중복 불가 (API 중복확인)
3) 회원번호 자동 생성: 지점코드-YYMMDD-순번
4) 출석번호 자동 생성: 4자리 랜덤 (중복 체크)
5) 기본 상태: '미등록' (이용권 구매 시 '활성'으로 자동 전환)
6) 프로필 사진: JPG/PNG, 5MB 이하
7) 생년월일: 미래 날짜 입력 불가
8) 이메일: RFC 5322 형식 검증</t>
  </si>
  <si>
    <t>연락처 중복: '이미 등록된 연락처입니다 (지점 내)'
이름 형식 오류: '이름은 2~20자 한글 또는 영문으로 입력하세요'
연락처 형식 오류: '010-XXXX-XXXX 형식으로 입력하세요'
파일 크기 초과: '이미지 파일은 5MB 이하만 업로드 가능합니다'
저장 실패: '회원 등록에 실패했습니다. 다시 시도하세요'
취소 시: '변경사항이 있습니다. 정말 나가시겠습니까?' 확인 다이얼로그</t>
  </si>
  <si>
    <t>React Hook Form + Zod 스키마 (2단계 폼)
useMutation – POST /api/v1/members
Kakao 주소 API 연동 (주소 검색 버튼)
이미지 업로드 – FileReader + presigned URL
연락처 입력 자동 하이픈 포맷팅
취소 확인 useBlocker() (React Router v6)</t>
  </si>
  <si>
    <t>회원 상세 (2개 기능)</t>
  </si>
  <si>
    <t>기존 회원 정보 수정</t>
  </si>
  <si>
    <t>1) 기존 데이터 프리필
2) 변경 필드 강조
3) 변경 이력 자동 기록
4) 담당자 변경 가능</t>
  </si>
  <si>
    <t>수정할 회원 정보</t>
  </si>
  <si>
    <t>수정된 회원 정보</t>
  </si>
  <si>
    <t>1) 수정 시 변경 전/후 값 audit log 자동 저장
2) 변경자 + 변경일시 자동 기록
3) 연락처 변경 시 재중복 체크 필수
4) 변경된 필드 강조 표시 (초록색 border)
5) 미납 건 있는 회원 삭제 불가
6) 유효 이용권 있는 회원 삭제 불가 (환불 선행 필요)
7) 소프트 삭제 (is_deleted 플래그), 삭제 후 30일 복구 가능</t>
  </si>
  <si>
    <t>수정 중 다른 관리자 수정 감지: '다른 사용자가 수정 중입니다'
미납 상태 삭제 시도: '미납 건이 있어 삭제할 수 없습니다'
유효 이용권 삭제 시도: '유효한 이용권이 있습니다. 환불 후 삭제 가능'
저장 실패: '회원 정보 수정에 실패했습니다'
연락처 중복: '이미 등록된 연락처입니다'</t>
  </si>
  <si>
    <t>React Hook Form + defaultValues 초기값 설정
useMutation – PATCH /api/v1/members/:id
dirtyFields로 변경 필드 감지 + 강조 표시
Optimistic update (TanStack Query)
삭제 확인 AlertDialog (shadcn/ui)
Kakao 주소 API 연동</t>
  </si>
  <si>
    <t>회원 프로필 + 탭별 상세 정보 조회</t>
  </si>
  <si>
    <t>1) 프로필: 기본 정보 + 사진
2) 이용권 탭: 보유 이용권 목록
3) 출석 탭: 히트맵 + 리스트
4) 결제 탭: 결제 이력
5) 체성분 탭: 측정 기록 + 차트
6) 메모 탭: 상담/메모</t>
  </si>
  <si>
    <t>회원ID</t>
  </si>
  <si>
    <t>회원 전체 정보 (프로필+이용권+출석+결제+체성분+메모)</t>
  </si>
  <si>
    <t>1) 기본정보 탭: 페이지 진입 시 즉시 로드
2) 나머지 탭: 클릭 시 lazy 로드 (React.lazy + Suspense)
3) 탭 전환 시 이전 데이터 캐싱 유지
4) 탭 상태 URL 파라미터 유지 (?tab=attendance)
5) 출석 히트맵: 최근 6개월, 1회=연한색, 3회 이상=진한색
6) 이용권 유효 → 상단, 만료 → 하단 접힘, D-7 주황 경고
7) 회원 미존재 시 404 페이지 리다이렉트</t>
  </si>
  <si>
    <t>존재하지 않는 회원 ID: 404 페이지 이동
탭 데이터 로드 실패: 해당 탭 내 에러 메시지 + 재시도 버튼
네트워크 오류: 마지막 캐시 데이터 표시 + 경고 배너
권한 없는 탭 접근: 탭 비활성화 처리</t>
  </si>
  <si>
    <t>TanStack Query – GET /api/v1/members/:id
React.lazy() + Suspense 탭별 코드 스플리팅
useSearchParams()로 탭 URL 동기화
출석 히트맵 – react-calendar-heatmap
Skeleton 로딩 UI (탭 콘텐츠 영역)
date-fns – D-day, 날짜 포맷</t>
  </si>
  <si>
    <t>Supabase 실데이터 전환 완료. 메모/목표 탭 구현 (2026-03-13)</t>
  </si>
  <si>
    <t>체성분 (1개 기능)</t>
  </si>
  <si>
    <t>회원 체성분 측정 기록 입력 및 변화 추이 분석</t>
  </si>
  <si>
    <t>1) 체중/골격근/체지방률/BMI 등 입력
2) 측정일 기준 시계열 차트
3) 목표 대비 달성률 게이지</t>
  </si>
  <si>
    <t>체중, 골격근, 체지방률, 측정일</t>
  </si>
  <si>
    <t>체성분 이력, 변화 차트</t>
  </si>
  <si>
    <t>1) 체중 유효 범위: 20~300kg, 골격근량: 5~80kg, 체지방률: 3~60%
2) BMI 자동 계산: 체중(kg) / 신장(m)²
3) 범위 초과 시: 경고 후 저장 허용 (강제 차단 아님)
4) 동일 날짜 기존 기록 존재 시 '덮어쓰기' 확인 모달
5) 미래 날짜 측정 불가
6) 목표 체중/체지방률 대비 달성률 게이지 표시
7) 달성 시 축하 메시지 표시</t>
  </si>
  <si>
    <t>범위 초과 입력: '입력값이 정상 범위를 벗어났습니다. 그래도 저장하시겠습니까?'
미래 날짜: '미래 날짜에는 측정 기록을 입력할 수 없습니다'
동일 날짜 중복: '해당 날짜에 이미 기록이 있습니다. 덮어쓰시겠습니까?'
저장 실패: '체성분 기록 저장에 실패했습니다'
신장 미입력: 'BMI 계산을 위해 회원 신장을 먼저 입력하세요'</t>
  </si>
  <si>
    <t>React Hook Form + Zod (범위 검증 + 경고)
useMutation – POST /api/v1/members/:id/body-composition
Recharts LineChart – 시계열 추이 차트
진행률 게이지 – shadcn/ui Progress
확인 모달 – AlertDialog (덮어쓰기)
date-fns – 날짜 비교/포맷</t>
  </si>
  <si>
    <t>출석 (1개 기능)</t>
  </si>
  <si>
    <t>1) 날짜 필터 (일/주/월 뷰)
2) 출석 유형(일반/PT/GX) 필터
3) 타지점 출석 표시
4) 키오스크/앱 체크인 구분</t>
  </si>
  <si>
    <t>날짜 범위, 필터 조건</t>
  </si>
  <si>
    <t>출석 목록, 통계</t>
  </si>
  <si>
    <t>1) 출석 유형: 일반(키오스크/앱), PT, GX, 수동(관리자)
2) 이용권 만료 회원: 출입 차단 (센터 설정에 따라 경고만 가능)
3) 미납 회원: 센터 설정에 따라 허용/경고/차단
4) 타지점 출석: 전지점 이용권 보유 시 허용, 원지점에 알림
5) 실시간 팝업: 5초 자동 종료, 거부 시 빨간색 팝업
6) 일별/주별/월별 뷰 제공
7) 수동 출석: 관리자 권한, 사유 필수 입력</t>
  </si>
  <si>
    <t>이용권 만료 회원 체크인: '이용권이 만료되었습니다. 관리자에게 문의하세요'
미납 회원 체크인: '미납이 있습니다. 결제 후 이용 가능합니다'
타지점 전용 이용권: '이 지점은 이용 불가한 이용권입니다'
데이터 로드 실패: '출석 기록을 불러오지 못했습니다'
날짜 범위 초과: '조회 가능한 최대 기간은 1년입니다'</t>
  </si>
  <si>
    <t>TanStack Query – GET /api/v1/attendance
WebSocket or SSE – 실시간 체크인 팝업
DataTable + 날짜 필터 (date-fns)
일별/주별/월별 뷰 탭 전환
유형별 색상 Badge (일반/PT/GX/수동)
수동 출석 등록 모달 (React Hook Form)</t>
  </si>
  <si>
    <t>날짜 필터 동적화, DataTable 키보드 접근성, Modal 컴포넌트 통일 (2026-03-13)</t>
  </si>
  <si>
    <t>일정 (1개 기능)</t>
  </si>
  <si>
    <t>PT/GX 일정 캘린더 관리</t>
  </si>
  <si>
    <t>1) 월/주/일 캘린더 뷰 전환
2) 드래그앤드롭 일정 이동
3) 트레이너별 색상 구분
4) 일정 충돌 감지</t>
  </si>
  <si>
    <t>일정 제목, 시간, 트레이너, 회원, 룸</t>
  </si>
  <si>
    <t>캘린더 일정 목록</t>
  </si>
  <si>
    <t>1) 일정 충돌: 동일 시간대 + 동일 트레이너 or 동일 룸 → 경고
2) 1:1 PT: 트레이너당 동시 1건만 등록 가능
3) GX: 룸 수용인원 초과 불가
4) 과거 일정 수정/삭제 불가
5) 당일 일정: 시작 2시간 전까지 수정 가능
6) 반복 일정: 개별/전체 수정 선택
7) PT 예약 취소: 24시간 전 무료, 당일 취소 1회 차감, 노쇼 1회 차감 + 패널티
8) 페널티 3회 누적 → 관리자 알림</t>
  </si>
  <si>
    <t>일정 충돌: '해당 시간에 이미 일정이 있습니다 (트레이너/룸 충돌)'
수용인원 초과: '룸 수용 인원을 초과했습니다'
과거 일정 수정 시도: '과거 일정은 수정할 수 없습니다'
당일 2시간 내 수정: '수업 2시간 전부터 수정이 불가합니다'
반복 일정 수정: '이 일정만 수정' / '이후 모든 일정 수정' 선택 모달</t>
  </si>
  <si>
    <t>FullCalendar React (@fullcalendar/react + daygrid/timegrid/interaction 플러그인)
드래그앤드롭 일정 이동/리사이즈
주/월/일 뷰 전환
일정 추가/수정 모달
Supabase 연동 CRUD</t>
  </si>
  <si>
    <t>FullCalendar D&amp;D, 노쇼/패널티 mock→빈상태, 모달 통일 (2026-03-13)</t>
  </si>
  <si>
    <t>매출 (2개 기능)</t>
  </si>
  <si>
    <t>매출 현황 조회 및 통계 요약</t>
  </si>
  <si>
    <t>1) 기간별 필터 (프리셋: 오늘/이번주/이번달/커스텀)
2) 유형별 필터 (이용권/PT/상품/기타)
3) 상태별 필터 (완료/환불/미납)
4) 통계 카드: 총매출/현금/카드/마일리지
5) 엑셀 다운로드</t>
  </si>
  <si>
    <t>기간, 유형, 상태, 페이지</t>
  </si>
  <si>
    <t>매출 목록, 통계 요약</t>
  </si>
  <si>
    <t>1) 총매출 = 현금 + 카드 + 마일리지 - 환불
2) 순매출 = 총매출 - 부가세 (10%)
3) 일/주/월/연 단위 집계, 지점별 독립 집계
4) 환불 정책: 7일 이내 전액, 7일 초과~이용 전 위약금 10%, 이용 후 잔여일 일할 계산
5) 미납 7일 경과 시 SMS 자동 발송 (설정 시)
6) 미납 30일 경과 시 장기미납 분류
7) 기간 프리셋: 오늘/이번주/이번달/커스텀</t>
  </si>
  <si>
    <t>날짜 범위 오류: '시작일이 종료일보다 클 수 없습니다'
데이터 없음: 해당 기간 매출 없음 Empty State
엑셀 다운로드 실패: '파일 생성에 실패했습니다'
권한 없음: 매출 데이터 접근 불가 (FC 이하)
네트워크 오류: 마지막 조회 데이터 캐시 유지</t>
  </si>
  <si>
    <t>TanStack Query – GET /api/v1/sales
Recharts – BarChart, PieChart (매출 분포)
date-fns – 기간 프리셋, 날짜 포맷
xlsx 라이브러리 – 엑셀 다운로드
금액 포맷 – Intl.NumberFormat (천단위 콤마)
DataTable (23개 컬럼, 가로 스크롤)</t>
  </si>
  <si>
    <t>탭별 실제 집계 뷰 구현 (기간별/상품별/결제수단별/담당자별) (2026-03-13)</t>
  </si>
  <si>
    <t>POS 상품 선택 및 장바구니 관리</t>
  </si>
  <si>
    <t>1) 카테고리별 상품 그리드
2) 상품 클릭 → 장바구니 추가
3) 수량 조절/삭제
4) 합계 자동 계산</t>
  </si>
  <si>
    <t>상품 선택, 수량</t>
  </si>
  <si>
    <t>장바구니 목록, 합계</t>
  </si>
  <si>
    <t>1) 상품 그리드: 카테고리 탭 + 검색으로 필터
2) 재고 0인 상품 자동 비활성화 표시
3) 재고 5개 이하 경고 표시 (노란 뱃지)
4) 비회원 결제 시 마일리지 적립/사용 불가
5) 장바구니 수량 변경 시 즉시 소계 재계산
6) 부가세 10% 자동 계산 (포함/별도 상품별 설정)
7) 회원 검색: 이름/전화번호 검색</t>
  </si>
  <si>
    <t>재고 없는 상품 추가: '재고가 없는 상품입니다'
장바구니 비어있음: '상품을 선택해주세요'
회원 검색 결과 없음: '검색된 회원이 없습니다'
수량 0 이하 입력: '수량은 1 이상이어야 합니다'
상품 판매 중지: '현재 판매 중지된 상품입니다'</t>
  </si>
  <si>
    <t>Zustand cartStore (장바구니 상태 관리)
TanStack Query – GET /api/v1/products (카테고리별)
실시간 소계/합계 계산 (useMemo)
회원 검색 Combobox (debounce 300ms)
상품 이미지 lazy loading
Badge 컴포넌트 – 재고 상태 표시</t>
  </si>
  <si>
    <t>POS 결제 (1개 기능)</t>
  </si>
  <si>
    <t>결제 수단 선택 및 결제 실행</t>
  </si>
  <si>
    <t>1) 현금/카드/마일리지/복합결제
2) 회원 검색 → 마일리지 잔액 표시
3) 결제 확인 모달
4) 영수증 출력 옵션</t>
  </si>
  <si>
    <t>결제수단, 금액, 회원ID</t>
  </si>
  <si>
    <t>결제 결과, 영수증</t>
  </si>
  <si>
    <t>1) 혼합결제: 각 수단 합계 = 총 결제금액 일치 필수
2) 마일리지: 잔액 초과 사용 불가, 최소 1,000원
3) 마일리지 최대 사용: 결제금액의 50% (센터 설정)
4) 현금 결제: 거스름돈 자동 계산
5) 당일 취소: 즉시 환불, 익일 이후: 환불 프로세스
6) 결제 완료 시 재고 자동 차감
7) 마일리지 자동 적립 (설정된 적립률 기준)
8) 영수증 자동 생성 + 프린트/문자 발송</t>
  </si>
  <si>
    <t>혼합결제 금액 불일치: '결제 수단 합계가 총 결제금액과 다릅니다'
마일리지 잔액 초과: '사용 가능한 마일리지가 부족합니다 (잔액: N원)'
결제 실패: '결제 처리에 실패했습니다. 다시 시도하세요'
카드 단말기 오류: '카드 단말기 연결을 확인하세요'
재고 부족: '결제 처리 중 재고가 부족해졌습니다'</t>
  </si>
  <si>
    <t>useMutation – POST /api/v1/sales/payment
결제 수단별 금액 입력 폼 (React Hook Form)
거스름돈 실시간 계산 (useMemo)
마일리지 잔액 조회 – GET /api/v1/members/:id/mileage
영수증 컴포넌트 – react-to-print
결제 성공 애니메이션 (Framer Motion)</t>
  </si>
  <si>
    <t>상품 (2개 기능)</t>
  </si>
  <si>
    <t>이용권/PT/GX/기타 상품 목록 조회</t>
  </si>
  <si>
    <t>1) 카테고리 필터
2) 상태(판매중/중지) 필터
3) 키오스크 노출 토글</t>
  </si>
  <si>
    <t>카테고리, 상태</t>
  </si>
  <si>
    <t>1) 상품 카테고리: 시설이용권/수강권(PT)/수강권(GX)/대여/기타
2) 가격: 0원(무료) ~ 99,999,999원
3) 현금가 ≤ 카드가 권장 (강제 아님)
4) 판매 중지 상품: POS/키오스크 모두 비활성화
5) 키오스크 노출 ON/OFF 별도 관리
6) 상태별 탭: 전체/판매중/판매중지/재고소진
7) 검색: 상품명 부분일치</t>
  </si>
  <si>
    <t>검색 결과 없음: '검색된 상품이 없습니다' Empty State
데이터 로드 실패: '상품 목록을 불러오지 못했습니다'
권한 없음: 상품 등록/수정/삭제 버튼 비활성화 (FC 이하)
삭제 시도 (결제 이력 있음): '결제 이력이 있어 삭제할 수 없습니다'</t>
  </si>
  <si>
    <t>TanStack Query – GET /api/v1/products
DataTable (정렬, 페이지네이션)
카테고리 탭 필터 (URL 쿼리 파라미터 동기화)
xlsx 라이브러리 – 상품 목록 다운로드
상품 상태 Badge 색상 구분
Skeleton 로딩 UI</t>
  </si>
  <si>
    <t>신규 상품 등록 및 기존 상품 수정</t>
  </si>
  <si>
    <t>1) 카테고리/이름/현금가/카드가/기간 입력
2) 키오스크 노출 설정
3) 상품명 중복 체크</t>
  </si>
  <si>
    <t>카테고리, 이름, 가격, 기간</t>
  </si>
  <si>
    <t>등록/수정된 상품 정보</t>
  </si>
  <si>
    <t>1) 상품명: 동일 카테고리 내 중복 불가
2) 가격: 0 이상 정수, 음수 불가
3) 홀딩 설정: 최대 N일, 최대 N회 (상품별 개별 설정)
4) 홀딩 시 잔여일 정지 (소진 아님)
5) 만료 후 재활성화 불가 (재구매 필요)
6) 이용 시간 설정: 요일별/시간대별 이용 가능 설정
7) 부가세 포함/별도 선택
8) 이미지: JPG/PNG, 5MB 이하</t>
  </si>
  <si>
    <t>상품명 중복: '동일 카테고리에 같은 이름의 상품이 있습니다'
가격 음수/문자 입력: '가격은 0 이상의 숫자만 입력 가능합니다'
이미지 형식 오류: 'JPG 또는 PNG 파일만 업로드 가능합니다'
이미지 크기 초과: '이미지 파일은 5MB 이하만 가능합니다'
저장 실패: '상품 저장에 실패했습니다'
취소 시: '변경사항이 있습니다. 나가시겠습니까?'</t>
  </si>
  <si>
    <t>React Hook Form + Zod (상품 유형별 동적 스키마)
useMutation – POST/PATCH /api/v1/products
이미지 업로드 – FileReader + presigned URL
이용 시간 설정 – 요일별 체크박스 + 시간 범위 선택
상품 유형 선택 시 폼 필드 동적 변경
Tabs 컴포넌트 (기본/기간/추가설정)</t>
  </si>
  <si>
    <t>락커 (2개 기능)</t>
  </si>
  <si>
    <t>구역별 락커 배정 현황 조회 (색상 그리드)</t>
  </si>
  <si>
    <t>1) 구역별 탭
2) 색상 상태 (사용중/빈/만료임박/고장)
3) 클릭 시 상세 모달</t>
  </si>
  <si>
    <t>구역</t>
  </si>
  <si>
    <t>락커 그리드 데이터</t>
  </si>
  <si>
    <t>1) 락커 상태: 사용중/빈/만료임박/고장 4가지
2) D-3 이내: 만료임박 (노란색), D-0: 만료 (빨간색)
3) D+3 초과: 자동 해제 여부 센터 설정에 따름
4) 고장 상태 락커: 배정 불가
5) 구역별 필터링, 그리드/리스트 뷰 전환
6) 통계: 전체/사용중/빈/만료임박/고장 카운트</t>
  </si>
  <si>
    <t>데이터 로드 실패: '락커 현황을 불러오지 못했습니다'
구역 없음: '등록된 구역이 없습니다. 구역을 먼저 설정하세요'
권한 없음: 배정/반납 버튼 비활성화</t>
  </si>
  <si>
    <t>TanStack Query – GET /api/v1/lockers
그리드/리스트 뷰 전환 토글
상태별 색상 코딩 (CSS variables)
구역별 필터 Select 컴포넌트
Skeleton 로딩 (그리드 레이아웃)
date-fns – D-day 계산</t>
  </si>
  <si>
    <t>락커 DB 동기화 완료, 그리드 셀 접근성 개선, 모달 통일 (2026-03-13)</t>
  </si>
  <si>
    <t>1) 회원 검색 → 빈 락커 선택 → 배정
2) 만료일 설정
3) 일괄 해제 (만료 락커)
4) 고장 등록</t>
  </si>
  <si>
    <t>회원ID, 락커번호, 만료일</t>
  </si>
  <si>
    <t>배정 결과</t>
  </si>
  <si>
    <t>1) 1회원 1락커 (동일 유형 내)
2) 배정 시 만료일 필수 (상품 기간 연동 or 수동 입력)
3) 이미 배정된 락커 재배정 불가
4) 배정 취소: 배정일 당일만 가능
5) 일괄 해제: 만료+N일 초과 건 일괄 처리
6) 고장 등록 시 해당 락커 배정 불가
7) 수리 완료 → 사용가능으로 복원</t>
  </si>
  <si>
    <t>이미 배정된 락커: '이미 사용 중인 락커입니다'
만료일 미입력: '만료일을 입력해주세요'
1인 1락커 초과: '해당 회원에게 이미 배정된 락커가 있습니다'
당일 이후 취소 시도: '배정일 당일만 취소 가능합니다'
API 오류: '락커 배정 처리에 실패했습니다'</t>
  </si>
  <si>
    <t>useMutation – PATCH /api/v1/lockers/:id
회원 검색 Combobox (배정 시)
DatePicker – 만료일 선택 (react-day-picker)
일괄 해제 – 체크박스 다중선택 + Confirm 모달
고장 등록/해제 AlertDialog
반납 처리 Confirm 다이얼로그</t>
  </si>
  <si>
    <t>락커 배정 만료일 동적 계산 (현재+3개월), date picker UI (2026-03-13)</t>
  </si>
  <si>
    <t>RFID (1개 기능)</t>
  </si>
  <si>
    <t>1) 카드 번호 스캔/수동 입력
2) 회원-카드 매핑
3) 분실 처리
4) 이력 조회</t>
  </si>
  <si>
    <t>카드 번호, 회원ID</t>
  </si>
  <si>
    <t>매핑 결과, 이력</t>
  </si>
  <si>
    <t>1) 1회원 1카드 원칙 (활성 카드 기준)
2) 카드 번호: 10자리 영숫자 형식
3) 분실 신고 → 기존 카드 비활성화 → 신규 발급
4) 카드 반납 시 초기화 후 재사용 가능
5) RFID 태그 → 회원 조회 → 이용권 유효 확인 → 출입 허용/거부
6) 미등록 카드: '등록되지 않은 카드' 즉시 표시
7) 만료 회원: 센터 설정에 따라 허용/차단</t>
  </si>
  <si>
    <t>1인 1카드 초과: '해당 회원에게 이미 활성 카드가 등록되어 있습니다'
카드 번호 형식 오류: '카드 번호는 10자리 영숫자로 입력하세요'
중복 카드 번호: '이미 등록된 카드 번호입니다'
미등록 카드 태그: '등록되지 않은 카드입니다'
삭제 시 확인: '삭제하려면 카드 번호를 입력하세요' (확인 텍스트 입력)</t>
  </si>
  <si>
    <t>TanStack Query – GET/POST/PATCH/DELETE /api/v1/rfid
RFID 시뮬레이션 – WebSocket 이벤트
삭제 확인 – 텍스트 입력 방식 (Confirmation Input)
사용 이력 모달 – 페이지네이션 테이블
카드 번호 자동 대문자 변환
상태 Badge (활성/분실/반납/비활성)</t>
  </si>
  <si>
    <t>룸 (1개 기능)</t>
  </si>
  <si>
    <t>GX룸/PT룸 등록/수정/삭제</t>
  </si>
  <si>
    <t>1) 룸 CRUD
2) 수용 인원 설정
3) 예약 가능 시간대 설정</t>
  </si>
  <si>
    <t>룸명, 유형, 수용인원, 시간대</t>
  </si>
  <si>
    <t>룸 정보</t>
  </si>
  <si>
    <t>1) 룸명: 고유값, 2~20자
2) 수용 인원: 1~100명
3) 유형: PT룸/GX룸/다목적
4) 예약 가능 시간: 요일별 개별 설정
5) 미래 예약 존재 시 삭제 불가
6) 삭제 시 관련 일정에서 룸 정보 자동 제거
7) 비활성화: 신규 예약 차단 (기존 예약 유지)</t>
  </si>
  <si>
    <t>룸명 중복: '이미 사용 중인 룸 이름입니다'
수용 인원 범위 오류: '수용 인원은 1~100명으로 입력하세요'
예약 있는 룸 삭제 시도: '미래 예약이 있어 삭제할 수 없습니다'
저장 실패: '룸 정보 저장에 실패했습니다'</t>
  </si>
  <si>
    <t>TanStack Query – GET/POST/PATCH/DELETE /api/v1/rooms
React Hook Form + Zod 룸 폼 검증
요일별 시간 설정 UI (요일 체크박스 + 시간 범위)
배치도 탭 – 드래그 배치 (react-dnd)
삭제 확인 AlertDialog
상태 토글 Switch 컴포넌트</t>
  </si>
  <si>
    <t>직원 (2개 기능)</t>
  </si>
  <si>
    <t>1) 이름/연락처 검색
2) 역할/상태 필터
3) 테이블 정렬</t>
  </si>
  <si>
    <t>검색어, 필터</t>
  </si>
  <si>
    <t>1) 역할 체계: 최고관리자/센터장/매니저/FC/스태프/조회전용
2) 역할별 기본 권한 자동 배정
3) 고용 유형: 정규직(월급)/계약직(월급+계약기간)/시간제(시급)
4) 퇴사 처리 시 관리자 계정 자동 비활성화
5) 담당 회원 재배정 알림 자동 발송
6) 검색: 이름 부분일치, debounce 300ms
7) 권한별 조회 범위 (FC: 본인 담당만)</t>
  </si>
  <si>
    <t>검색 결과 없음: '검색된 직원이 없습니다' Empty State
권한 없음: 직원 등록/수정/삭제 버튼 비활성화
퇴사 처리 확인: '퇴사 처리하면 계정이 비활성화됩니다. 진행하시겠습니까?'
데이터 로드 실패: '직원 목록을 불러오지 못했습니다'</t>
  </si>
  <si>
    <t>TanStack Query – GET /api/v1/staff
DataTable (정렬, 필터, 다중선택)
퇴사 처리 AlertDialog + useMutation
useDebounce() (300ms) 검색
역할별 색상 Badge
근태/급여 탭 컴포넌트 분리</t>
  </si>
  <si>
    <t>페이지네이션 수정, sticky 컬럼 (모바일), 퇴사 ConfirmDialog (2026-03-13)</t>
  </si>
  <si>
    <t>신규 직원 등록 및 기존 직원 수정</t>
  </si>
  <si>
    <t>1) 이름/역할/연락처/입사일 입력
2) 관리자 계정 자동 생성
3) 근무 유형 설정</t>
  </si>
  <si>
    <t>이름, 역할, 연락처, 입사일</t>
  </si>
  <si>
    <t>등록된 직원 정보</t>
  </si>
  <si>
    <t>1) 이메일 기반 관리자 계정 자동 생성 (등록 시)
2) 역할 선택 시 기본 권한 자동 배정
3) 연락처: 동일 지점 내 중복 불가
4) 계약직: 계약 종료일 필수 입력
5) 수정 시 변경 이력 자동 기록
6) 프로필 사진: JPG/PNG, 5MB 이하
7) 퇴사 후 데이터: 6개월 보관 후 삭제 or 영구 보관 (설정)</t>
  </si>
  <si>
    <t>이메일 중복: '이미 사용 중인 이메일입니다'
연락처 중복: '이미 등록된 연락처입니다'
계약 종료일 미입력 (계약직): '계약직은 계약 종료일이 필수입니다'
저장 실패: '직원 정보 저장에 실패했습니다'
취소 시: '변경사항이 있습니다. 나가시겠습니까?'</t>
  </si>
  <si>
    <t>React Hook Form + Zod (고용유형별 동적 스키마)
useMutation – POST/PATCH /api/v1/staff
이미지 업로드 – presigned URL
역할 선택 시 권한 미리보기 표시
4섹션 Accordion 폼 (인적사항/근무/급여/계정)
useBlocker() – 미저장 이탈 방지</t>
  </si>
  <si>
    <t>급여 (2개 기능)</t>
  </si>
  <si>
    <t>월별 급여 현황 조회 및 관리</t>
  </si>
  <si>
    <t>1) 월별 급여 테이블
2) 기본급/인센티브/공제 내역
3) 지급 상태 관리
4) 합계/평균 요약</t>
  </si>
  <si>
    <t>연월</t>
  </si>
  <si>
    <t>급여 목록, 합계</t>
  </si>
  <si>
    <t>1) 실지급액 = 기본급 + 인센티브 + 수당 - 4대보험 - 소득세
2) 인센티브: PT 건당 커미션 (예: 30%, 센터 설정)
3) 급여 상태 흐름: 미정산 → 임시저장 → 확정대기 → 확정완료
4) 확정완료 상태: 수정 불가 (최고관리자 해제 가능)
5) 마감: 매월 25일 (센터 설정 가능)
6) 이의제기: 직원 제출 → 관리자 재검토
7) 권한: 센터장 이상만 전체 조회, FC는 본인만</t>
  </si>
  <si>
    <t>확정완료 후 수정 시도: '확정된 급여는 수정할 수 없습니다 (관리자 해제 필요)'
계산 오류: '급여 계산 중 오류가 발생했습니다'
마감 후 수정: '마감 처리된 급여입니다'
권한 없음: 타인 급여 조회 불가
데이터 없음: '해당 월의 급여 데이터가 없습니다'</t>
  </si>
  <si>
    <t>TanStack Query – GET /api/v1/payroll
월 선택 DatePicker (year/month)
급여 계산 로직 (useMemo)
상태 흐름 표시 – Step Indicator
확정 처리 AlertDialog
DataTable (97명, 가상화 – react-virtual)</t>
  </si>
  <si>
    <t>페이지네이션 수정, 수정→명세서 바로 이동 (2026-03-13)</t>
  </si>
  <si>
    <t>직원별 급여명세서 상세 조회 및 PDF 다운로드</t>
  </si>
  <si>
    <t>1) 직원/월 선택
2) 상세 항목별 표시
3) PDF 다운로드</t>
  </si>
  <si>
    <t>직원ID, 연월</t>
  </si>
  <si>
    <t>급여명세서 상세</t>
  </si>
  <si>
    <t>1) 명세서 조회 권한: 본인 or 센터장 이상
2) 확정완료 후 자동 생성
3) PDF 다운로드 지원
4) 이메일 자동 발송 (설정 시)
5) 이의제기 기능 제공
6) 조회 이력 로깅</t>
  </si>
  <si>
    <t>본인 외 명세서 접근: '조회 권한이 없습니다'
미확정 명세서: '아직 확정되지 않은 급여입니다'
PDF 생성 실패: '명세서 PDF 생성에 실패했습니다'
이메일 발송 실패: '이메일 발송에 실패했습니다. 직접 다운로드 해주세요'</t>
  </si>
  <si>
    <t>TanStack Query – GET /api/v1/payroll/statement
html2pdf.js – PDF 다운로드
명세서 상세 모달 (Dialog)
이의제기 Textarea 폼
이메일 발송 – POST /api/v1/payroll/statement/send
인쇄 – react-to-print</t>
  </si>
  <si>
    <t>메시지 (2개 기능)</t>
  </si>
  <si>
    <t>1) 수신자 선택 (개별/그룹/전체)
2) 메시지 유형(SMS/LMS/카카오)
3) 변수 삽입 (#{이름})
4) 발송 이력 조회</t>
  </si>
  <si>
    <t>수신자, 유형, 본문</t>
  </si>
  <si>
    <t>발송 결과</t>
  </si>
  <si>
    <t>1) SMS: 최대 90자 (초과 시 LMS 자동 전환)
2) LMS: 최대 2,000자
3) 카카오 알림톡: 최대 1,000자
4) 예약 발송: 최소 5분 후 ~ 최대 30일 후
5) 발송 전 비용 사전 표시 (SMS 70원, LMS 30원, 카카오 8원)
6) 치환 변수 지원: {이름}, {만료일}, {잔여일} 등
7) 중복 발송 방지: 동일 수신자 + 동일 내용 5분 내 차단</t>
  </si>
  <si>
    <t>수신자 없음: '수신자를 선택해주세요'
내용 없음: '메시지 내용을 입력해주세요'
잔액 부족: '발송 잔액이 부족합니다. 충전 후 이용하세요'
예약 시간 오류: '예약 시간은 5분 후부터 설정 가능합니다'
발송 실패: '메시지 발송에 실패했습니다 (N건 실패)'</t>
  </si>
  <si>
    <t>React Hook Form – 발송 폼
useMutation – POST /api/v1/messages/send
회원 선택 Combobox (다중선택, 검색)
글자 수 카운터 + 자동 LMS 전환 표시
치환 변수 삽입 버튼
DateTimePicker – 예약 발송
sonner 토스트 – 발송 결과</t>
  </si>
  <si>
    <t>수신자 수 Supabase 실데이터, Toggle 공통 컴포넌트 교체 (2026-03-13)</t>
  </si>
  <si>
    <t>자동 알림 규칙 설정</t>
  </si>
  <si>
    <t>1) 만료 D-7/D-3/D-1 알림
2) 생일 축하 알림
3) 장기 미출석(30일) 알림
4) 규칙별 ON/OFF</t>
  </si>
  <si>
    <t>규칙 설정</t>
  </si>
  <si>
    <t>알림 발송</t>
  </si>
  <si>
    <t>1) 13종 트리거 정의 (만료 D-7/D-3/D-1/당일, 생일, 장기미출석 30일 등)
2) 매일 오전 9시 스케줄러 실행
3) 중복 방지: 동일 회원 + 동일 규칙 → 1일 1회만 발송
4) 템플릿별 치환 변수 관리
5) 채널별 개별 ON/OFF 설정 (SMS/카카오)
6) 테스트 발송 기능 (본인 번호로)</t>
  </si>
  <si>
    <t>템플릿 내 잘못된 변수: '유효하지 않은 치환 변수입니다: {변수명}'
발송 채널 미선택: '최소 1개의 발송 채널을 선택하세요'
테스트 발송 실패: '테스트 발송에 실패했습니다'
저장 실패: '알림 설정 저장에 실패했습니다'</t>
  </si>
  <si>
    <t>Toggle Switch 컴포넌트 (13종 ON/OFF)
템플릿 편집 모달 (Textarea + 변수 삽입)
useMutation – PATCH /api/v1/auto-alarms
미리보기 렌더링 (치환 변수 치환 표시)
테스트 발송 버튼 + 로딩 상태
TanStack Query – GET /api/v1/auto-alarms</t>
  </si>
  <si>
    <t>쿠폰/마일리지 (2개 기능)</t>
  </si>
  <si>
    <t>1) 할인율/금액 쿠폰 생성
2) 유효기간 설정
3) 사용 한도 설정
4) 발급 대상 선택
5) 사용 이력 추적</t>
  </si>
  <si>
    <t>쿠폰 정보</t>
  </si>
  <si>
    <t>쿠폰 목록, 이력</t>
  </si>
  <si>
    <t>1) 쿠폰 유형: 정률(%)/정액(원)/무료 이용권
2) 유효기간: 특정 기간 or 발급일+N일
3) 사용 한도: 전체 N회 or 회원당 1회
4) 최소 주문 금액 설정 가능
5) 만료 쿠폰 자동 비활성화 (매일 자정)
6) 발급 건수 1개 이상인 쿠폰 삭제 불가
7) 쿠폰 코드: 8자리 영숫자 자동 생성</t>
  </si>
  <si>
    <t>발급 건수 있는 쿠폰 삭제: '발급된 쿠폰이 있어 삭제할 수 없습니다'
중복 쿠폰명: '이미 사용 중인 쿠폰 이름입니다'
할인율 범위 오류: '할인율은 1~100% 범위로 입력하세요'
최소 금액 이하 사용 시도: '최소 주문 금액(N원) 이상에서 사용 가능합니다'
만료 쿠폰 사용: '만료된 쿠폰입니다'
한도 초과: '쿠폰 사용 한도를 초과했습니다'</t>
  </si>
  <si>
    <t>React Hook Form + Zod (유형별 동적 폼)
useMutation – POST/PATCH/DELETE /api/v1/coupons
쿠폰 코드 자동 생성 버튼 (nanoid)
발급 모달 – 대상 회원 다중선택
DataTable – 쿠폰 목록/발급 이력
만료일 자동 계산 (발급일+N일)</t>
  </si>
  <si>
    <t>회원 마일리지 적립/사용 관리</t>
  </si>
  <si>
    <t>1) 마일리지 적립 (결제 시 자동/수동)
2) 마일리지 차감
3) 잔액 조회
4) 이력 조회</t>
  </si>
  <si>
    <t>회원ID, 금액, 유형</t>
  </si>
  <si>
    <t>마일리지 잔액, 이력</t>
  </si>
  <si>
    <t>1) 기본 적립률: 결제금액의 N% (센터 설정)
2) 유효기간: N개월 기본 12개월
3) 최소 사용: 1,000원 이상
4) 최대 사용: 결제금액의 50% (센터 설정)
5) 현금 전환 불가
6) 만료 마일리지 자동 소멸 (매일 자정)
7) 수동 처리: 적립/차감 사유 필수 입력</t>
  </si>
  <si>
    <t>잔액 부족: '사용 가능한 마일리지가 부족합니다 (잔액: N원)'
최소 사용 미달: '마일리지는 최소 1,000원 이상 사용 가능합니다'
최대 사용 초과: '결제금액의 50%까지만 마일리지 사용 가능합니다'
만료 마일리지: '만료된 마일리지는 사용할 수 없습니다'
수동 처리 사유 미입력: '사유를 입력해주세요'</t>
  </si>
  <si>
    <t>TanStack Query – GET /api/v1/mileage
수동 처리 모달 (React Hook Form)
적립/차감 이력 DataTable
정책 설정 폼 – useMutation PATCH /api/v1/mileage/policy
만료 예정 마일리지 경고 표시
Intl.NumberFormat – 마일리지 금액 포맷</t>
  </si>
  <si>
    <t>마일리지 이력 탭 엑셀 다운로드 구현 완료 (2026-03-13). stub toast 제거</t>
  </si>
  <si>
    <t>계약/구독 (2개 기능)</t>
  </si>
  <si>
    <t>1) 회원 선택 → 상품 선택 → 기간/금액 설정 → 결제 → 확인
2) 할인 적용
3) 계약서 자동 생성
4) 결제 처리</t>
  </si>
  <si>
    <t>회원ID, 상품ID, 기간, 금액, 결제수단</t>
  </si>
  <si>
    <t>계약 정보, 영수증</t>
  </si>
  <si>
    <t>1) 계약 5단계: 회원선택 → 상품선택 → 기간/금액설정 → 결제 → 전자서명
2) 할인 최대 50%, 할인 사유 필수 입력
3) 할인 유형: 재등록/신규/이벤트/관리자 재량
4) 계약 완료 시 이용권 자동 생성
5) 매출 자동 등록
6) 마일리지 자동 적립 (설정 시)
7) 환영 메시지 자동 발송 (설정 시)
8) 계약서 PDF 자동 생성 및 저장</t>
  </si>
  <si>
    <t>회원 미선택: '회원을 먼저 선택해주세요'
상품 미선택: '상품을 1개 이상 선택해주세요'
할인 50% 초과: '할인율은 최대 50%까지 가능합니다'
할인 사유 미입력: '할인 사유를 입력해주세요'
서명 미완료: '전자서명을 완료해주세요'
결제 실패: '결제 처리에 실패했습니다'</t>
  </si>
  <si>
    <t>5단계 Stepper 컴포넌트
useMutation – POST /api/v1/contracts
회원 검색 Combobox
Canvas 전자서명 (센터측+고객측 양방향)
서명 데이터 Base64 저장</t>
  </si>
  <si>
    <t>전자서명 양방향 + 중복결제 체크 순서 교정 + ConfirmDialog + 모바일 Step (2026-03-13)</t>
  </si>
  <si>
    <t>1) 구독 상품 CRUD
2) 자동 결제 설정
3) 구독 현황 대시보드
4) 해지 처리</t>
  </si>
  <si>
    <t>구독 상품 정보</t>
  </si>
  <si>
    <t>구독 목록, 결제 이력</t>
  </si>
  <si>
    <t>1) 플랜: Starter(회원 200명, 지점 1개)/Pro(1,000명, 3개)/Enterprise(무제한)
2) 연간 결제 시 20% 할인
3) 다운그레이드: 현재 사용량이 하위 플랜 제한 이하일 때만 가능
4) 구독 취소: 현재 기간 만료까지 사용 가능
5) 사용량 초과 시 업그레이드 안내
6) 결제 수단 등록 필수 (카드)</t>
  </si>
  <si>
    <t>다운그레이드 불가: '현재 회원 수(N명)가 하위 플랜 제한을 초과합니다'
결제 실패: '결제 처리에 실패했습니다. 카드 정보를 확인하세요'
구독 취소 확인: '취소 시 현재 기간(~날짜) 만료 후 서비스가 종료됩니다'
사용량 초과: '현재 플랜의 회원 수 한도에 도달했습니다. 업그레이드가 필요합니다'</t>
  </si>
  <si>
    <t>플랜 비교 카드 UI (Starter/Pro/Enterprise)
사용량 Progress Bar (회원수, 지점수)
결제 수단 관리 – Stripe 또는 토스페이먼츠
플랜 변경 AlertDialog
인보이스 목록 DataTable
인보이스 PDF 다운로드</t>
  </si>
  <si>
    <t>설정/권한 (5개 기능)</t>
  </si>
  <si>
    <t>시스템 기본 설정 관리</t>
  </si>
  <si>
    <t>1) 센터명/영업시간/연락처 설정
2) 알림 기본값 설정
3) 테마 설정</t>
  </si>
  <si>
    <t>설정 값</t>
  </si>
  <si>
    <t>저장 결과</t>
  </si>
  <si>
    <t>1) 설정 변경 시 즉시 반영 (페이지 새로고침 불필요)
2) 이미지 업로드: JPG/PNG, 2MB 이하
3) 주소: Kakao 주소 API 연동
4) 카드 단말기 연결 테스트 기능
5) 출입문 목록 관리 (IoT 연동)
6) 설정 변경 이력 로깅
7) 7개 탭: 기본/출입문/키오스크/앱/알림/권한/기타</t>
  </si>
  <si>
    <t>이미지 크기 초과: '이미지는 2MB 이하만 업로드 가능합니다'
필수 항목 미입력: '센터명은 필수 입력 항목입니다'
저장 실패: '설정 저장에 실패했습니다'
카드 단말기 연결 실패: '단말기 연결을 확인하세요'
권한 없음: 설정 메뉴 접근 불가 (매니저 이하)</t>
  </si>
  <si>
    <t>TanStack Query – GET /api/v1/settings
useMutation – PATCH /api/v1/settings
Tabs 컴포넌트 (7탭, URL 동기화)
이미지 업로드 + 미리보기
Kakao 주소 API
React Hook Form (탭별 폼 분리)
저장 성공 sonner 토스트</t>
  </si>
  <si>
    <t>역할별 메뉴/기능 권한 설정</t>
  </si>
  <si>
    <t>1) 6단계 역할 (최고관리자~조회전용)
2) 메뉴별 접근 권한
3) 기능별 읽기/쓰기/삭제
4) 변경 이력 로그</t>
  </si>
  <si>
    <t>역할, 권한 매트릭스</t>
  </si>
  <si>
    <t>권한 설정 결과</t>
  </si>
  <si>
    <t>1) 권한 매트릭스: 6역할 × 10메뉴 × CRUD 조합
2) 최고관리자 권한 수정 불가
3) 커스텀 역할 생성 가능
4) 변경 감지 후 저장 버튼 활성화
5) 변경 이력 로깅
6) 역할 복사 기능</t>
  </si>
  <si>
    <t>최고관리자 권한 수정 시도: '최고관리자 권한은 수정할 수 없습니다'
권한 충돌: '하위 역할에 상위 역할보다 높은 권한을 부여할 수 없습니다'
저장 실패: '권한 설정 저장에 실패했습니다'
역할 삭제 시 소속 직원 있음: '소속 직원이 있어 역할을 삭제할 수 없습니다'</t>
  </si>
  <si>
    <t>권한 매트릭스 테이블 (Checkbox 그리드)
localStorage 기반 권한 저장/로드 (permissions_{roleCode})
역할별 userCount Supabase users 테이블에서 동적 집계
변경 감지 (dirtyFields) + 저장/초기화
전체 허용/차단 토글 버튼
커스텀 역할 추가/복사/삭제 모달
권한 충돌 검증 (삭제+미수정, 쓰기+미접근, 쓰기+미조회)</t>
  </si>
  <si>
    <t>1) 로고/배경 업로드
2) 동작 시나리오 설정
3) 미리보기</t>
  </si>
  <si>
    <t>이미지 파일, 설정 값</t>
  </si>
  <si>
    <t>1) 체크인 방식: QR코드/RFID/바코드/전화번호
2) 대기 화면: 로고+공지사항+광고 배너 슬라이드
3) 체크인 성공: TTS 음성 + 환영 메시지
4) 체크인 실패: TTS 음성 + 거부 사유 표시
5) 자동 로그아웃: 10초 (설정 가능)
6) 테마/폰트 크기 설정 가능
7) 기기별 설정 독립 관리</t>
  </si>
  <si>
    <t>TTS 지원 불가 브라우저: TTS 없이 텍스트만 표시
이미지 업로드 실패: '이미지 업로드에 실패했습니다'
키오스크 연결 실패: '키오스크 기기와 연결할 수 없습니다'
저장 실패: '키오스크 설정 저장에 실패했습니다'</t>
  </si>
  <si>
    <t>Web Speech API (TTS – speechSynthesis)
useMutation – PATCH /api/v1/kiosk/settings
이미지 업로드 + 미리보기 (배너/로고)
키오스크 미리보기 모달
4탭 (기본/화면/TTS/출입규칙)
자동 로그아웃 타이머 설정 Slider</t>
  </si>
  <si>
    <t>1) 기기 등록/해제
2) 연결 상태 모니터링
3) 연결 테스트</t>
  </si>
  <si>
    <t>기기 정보</t>
  </si>
  <si>
    <t>기기 목록, 연결 상태</t>
  </si>
  <si>
    <t>1) IoT 출입문 연결 상태: 5분 주기 갱신
2) 오프라인 30분 이상 → 관리자 알림
3) 원격 개방: 관리자 권한만 가능
4) 비상 해제: 화재/정전 시 전체 개방
5) 출입 로그: 실시간 기록
6) 기기 유형: 게이트/카메라/체성분계/기타</t>
  </si>
  <si>
    <t>IoT 기기 오프라인: '기기가 오프라인 상태입니다 (30분 이상)'
원격 개방 권한 없음: '원격 개방은 관리자 권한이 필요합니다'
원격 개방 확인: '출입문을 원격으로 개방하시겠습니까?'
기기 연결 실패: '기기 연결에 실패했습니다'
설정 저장 실패: 'IoT 설정 저장에 실패했습니다'</t>
  </si>
  <si>
    <t>WebSocket – 실시간 기기 상태 모니터링
TanStack Query (5분 refetchInterval) – 기기 상태
원격 개방 AlertDialog + useMutation
출입 로그 DataTable (실시간 갱신)
기기 상태 색상 표시 (온라인/오프라인/경고)
4탭 (게이트/기기/로그/규칙)</t>
  </si>
  <si>
    <t>1) 지점 추가 (이름/코드/주소/연락처)
2) 지점 수정
3) 지점 비활성화
4) 데이터 초기화 (개발용)</t>
  </si>
  <si>
    <t>지점 정보</t>
  </si>
  <si>
    <t>지점 목록</t>
  </si>
  <si>
    <t>1) 지점 코드: 영문 2~5자 고유값
2) 지점별 데이터 완전 격리 (멀티테넌트 – branch_id)
3) 지점 비활성화: 소속 데이터 유지, 로그인 차단
4) 데이터 초기화: 최고관리자 + 비밀번호 확인 + 2중 확인 필수
5) 회원 지점 이동: 이용권 유지 or 신규 발급 선택
6) 지점 통합 현황 통계 (전체 지점 합산)
7) 최고관리자만 지점 생성/삭제 가능</t>
  </si>
  <si>
    <t>지점 코드 중복: '이미 사용 중인 지점 코드입니다'
지점 코드 형식 오류: '지점 코드는 영문 2~5자로 입력하세요'
비활성 지점 로그인: '비활성화된 지점입니다. 관리자에게 문의하세요'
데이터 초기화 확인: '지점명을 입력하여 초기화를 확인하세요'
지점 삭제 (회원 있음): '소속 회원이 있어 삭제할 수 없습니다'
권한 없음: '지점 관리는 최고관리자만 가능합니다'</t>
  </si>
  <si>
    <t>Supabase branches 테이블 CRUD (실 데이터)
지점별 회원 수: members 테이블 count(exact) per branchId
지점별 매출: sales 테이블 totalAmount 합산 per branchId
통합 통계 카드 (동적 합산)
파이차트: 지점별 회원 비율 동적 계산
지점 등록: Supabase insert + optimistic state update
지점 이동: 빈 이력 (DB 테이블 추가 필요)
지점 비활성화: 2단계 확인 모달</t>
  </si>
  <si>
    <t>Supabase branches 테이블 CRUD 실데이터 완료. 지점별 회원수 표시 (2026-03-13)</t>
  </si>
  <si>
    <t>▼ SCR-022</t>
  </si>
  <si>
    <t>GX 예약 관리 (3개 기능)</t>
  </si>
  <si>
    <t>FN-034</t>
  </si>
  <si>
    <t>GX 예약 오픈/관리</t>
  </si>
  <si>
    <t>GX 프로그램 예약 생성, N시간 전 자동 오픈, 일괄 변경</t>
  </si>
  <si>
    <t>1) 수업별 예약 오픈 시간 설정(N시간 전 자동 오픈)
2) 강사 일괄 변경(기간 지정)
3) 수업 복사/반복 생성
4) 예약 정원 설정
5) 수업별 횟수권/기간권 구분 설정</t>
  </si>
  <si>
    <t>수업명, 강사, 요일, 시간, 정원, 예약오픈시간</t>
  </si>
  <si>
    <t>예약 현황, 대기 목록</t>
  </si>
  <si>
    <t>1) 예약 오픈: 수업 시작 N시간 전 자동(설정값)
2) 일괄 오픈: 매주 금요일 특정 시간 등 설정 가능
3) 강사 변경 시 기존 예약 유지, 알림 발송</t>
  </si>
  <si>
    <t>정원 초과: 대기 등록 안내
강사 미배정: 예약 오픈 불가 경고</t>
  </si>
  <si>
    <t>React Calendar + Drag&amp;Drop</t>
  </si>
  <si>
    <t>(직접 Supabase 호출)</t>
  </si>
  <si>
    <t>FN-035</t>
  </si>
  <si>
    <t>GX 출석 체크 자동화</t>
  </si>
  <si>
    <t>GX/스피닝/필라테스 출석 자동 체크. QR/NFC/안면인식 연동</t>
  </si>
  <si>
    <t>1) QR코드 스캔 출석 체크(가장 저비용)
2) NFC 밴드 태그 출석 체크
3) 예약자 명단 대조 자동 체크
4) 미출석자 노쇼 자동 처리
5) 센터 입장과 프로그램 출석 연동</t>
  </si>
  <si>
    <t>회원ID, 수업ID, 체크방식(QR/NFC/수동)</t>
  </si>
  <si>
    <t>출석 결과, 노쇼 목록</t>
  </si>
  <si>
    <t>1) 센터 입장 + 프로그램 예약 매칭 → 자동 출석
2) 예약 후 미출석: 수업 종료 시점에 노쇼 처리
3) 비예약자 참석 감지 → FC 알림</t>
  </si>
  <si>
    <t>QR 인식 실패: 수동 체크 폴백
중복 체크: 이미 출석 처리됨 안내</t>
  </si>
  <si>
    <t>QR Reader API + WebSocket 실시간</t>
  </si>
  <si>
    <t>주간/월간 통계 실 데이터 전환 완료 (2026-03-12). 하드코딩 제거.</t>
  </si>
  <si>
    <t>FN-036</t>
  </si>
  <si>
    <t>노쇼 페널티 자동 처리</t>
  </si>
  <si>
    <t>GX/PT 노쇼 시 자동 페널티 부여. 횟수 차감 및 예약 제한</t>
  </si>
  <si>
    <t>1) 노쇼 시 횟수권 1회 자동 차감
2) N회 노쇼 시 일정 기간 예약 제한 페널티
3) 취소 가능 시한 설정(수업 N시간 전)
4) 시한 내 취소: 횟수 미차감
5) 페널티 이력 관리 및 알림</t>
  </si>
  <si>
    <t>노쇼 기준시간, 페널티 횟수, 제한 기간</t>
  </si>
  <si>
    <t>페널티 현황, 이력</t>
  </si>
  <si>
    <t>1) 취소 시한 기본값: 수업 5시간 전
2) 노쇼 = 수업 진행으로 처리(횟수 차감)
3) 월 2회 노쇼: 1주 예약 제한</t>
  </si>
  <si>
    <t>페널티 부과 전 회원 알림 발송</t>
  </si>
  <si>
    <t>▼ SCR-023</t>
  </si>
  <si>
    <t>좌석 예약 관리 (2개 기능)</t>
  </si>
  <si>
    <t>FN-037</t>
  </si>
  <si>
    <t>스피닝/GX 좌석 예약</t>
  </si>
  <si>
    <t>스피닝 바이크, GX 매트 등 좌석 지정 예약</t>
  </si>
  <si>
    <t>1) 좌석 배치도 시각화(바이크/매트 번호)
2) 예약 선착순 좌석 선택권 부여
3) 고장 좌석 비활성화 표시(사선)
4) 좌석별 예약자 확인
5) 회원 앱 예약 시 좌석 선택 가능</t>
  </si>
  <si>
    <t>수업ID, 좌석번호, 회원ID</t>
  </si>
  <si>
    <t>좌석 배치 현황, 예약 확인</t>
  </si>
  <si>
    <t>1) 예약 시간순으로 좌석 선택 우선권
2) 고장 좌석: 관리자만 비활성화/활성화 가능
3) 좌석 미선택 시 자동 배정</t>
  </si>
  <si>
    <t>좌석 중복 선택: 이미 예약된 좌석 안내
고장 좌석 선택: 사용 불가 안내</t>
  </si>
  <si>
    <t>SVG 좌석 배치도 + 실시간 업데이트</t>
  </si>
  <si>
    <t>FN-038</t>
  </si>
  <si>
    <t>좌석 고장/관리</t>
  </si>
  <si>
    <t>좌석(바이크/매트 등) 고장 등록, 수리 이력 관리</t>
  </si>
  <si>
    <t>1) 고장 등록 시 예약 자동 차단
2) 수리 완료 시 활성화 복구
3) 고장 이력/빈도 통계</t>
  </si>
  <si>
    <t>좌석번호, 고장유형, 수리일</t>
  </si>
  <si>
    <t>고장 이력, 통계</t>
  </si>
  <si>
    <t>고장 등록 시 해당 좌석 기예약자에게 알림 발송</t>
  </si>
  <si>
    <t>▼ SCR-024</t>
  </si>
  <si>
    <t>레슨 기록/서명 (2개 기능)</t>
  </si>
  <si>
    <t>FN-039</t>
  </si>
  <si>
    <t>레슨 기록 및 고객 서명</t>
  </si>
  <si>
    <t>PT/골프 레슨 수업 기록 작성 + 고객 서명으로 수업 진위 확인</t>
  </si>
  <si>
    <t>1) 트레이너가 수업 내용 기록(텍스트/템플릿)
2) 수업 완료 시 고객 터치 서명
3) 서명 미완료 시 24시간 후 자동 완료 처리
4) 서명 없으면 수업 인정 불가(정책 설정)
5) 모바일에서도 서명 가능</t>
  </si>
  <si>
    <t>수업ID, 레슨내용, 고객서명이미지</t>
  </si>
  <si>
    <t>레슨 기록, 서명 확인 상태</t>
  </si>
  <si>
    <t>1) 서명 필수 정책: 센터별 ON/OFF 설정
2) 서명 없이 24시간 경과 → 자동 수업 완료(정책에 따라)
3) 노쇼는 수업 진행으로 카운트(취소와 구분)</t>
  </si>
  <si>
    <t>서명 거부 시: 관리자 확인 필요 알림</t>
  </si>
  <si>
    <t>Canvas 서명 패드 + 이미지 저장</t>
  </si>
  <si>
    <t>FN-040</t>
  </si>
  <si>
    <t>레슨 통계/리포트</t>
  </si>
  <si>
    <t>트레이너별/회원별 레슨 진행 현황 통계</t>
  </si>
  <si>
    <t>1) 트레이너별 수업 건수/완료율
2) 회원별 레슨 소진율
3) 노쇼/취소/결석 비율
4) 기간별 통계 차트</t>
  </si>
  <si>
    <t>기간, 트레이너ID, 회원ID</t>
  </si>
  <si>
    <t>통계 데이터, 차트</t>
  </si>
  <si>
    <t>일/주/월 단위 통계. 엑셀 다운로드 지원</t>
  </si>
  <si>
    <t>Chart.js + 엑셀 Export</t>
  </si>
  <si>
    <t>▼ SCR-054</t>
  </si>
  <si>
    <t>골프 타석 관리 (2개 기능)</t>
  </si>
  <si>
    <t>FN-041</t>
  </si>
  <si>
    <t>골프 타석 예약/대기</t>
  </si>
  <si>
    <t>골프 타석 꼬리물기 예약, 대기열 관리, 잔여시간 표시</t>
  </si>
  <si>
    <t>1) 타석별 현재 이용자/잔여시간 실시간 표시
2) 꼬리물기 방식 예약(현재 이용 종료 후 자동 시작)
3) 대기열 관리(모바일 원격 예약 가능)
4) 시간 표시: 시:분 형식(분 단위 아닌)
5) 1회 최대 이용시간 설정(기본 60분)</t>
  </si>
  <si>
    <t>타석번호, 회원ID, 예약시간</t>
  </si>
  <si>
    <t>타석 현황, 대기열, 잔여시간</t>
  </si>
  <si>
    <t>1) 예약 후 15분 이내 미입장 시 노쇼 처리
2) 시간 표시: 시간:분 포맷(238분→3시간 58분)
3) 이용 종료 시 자동 다음 대기자 시작</t>
  </si>
  <si>
    <t>타석 고장: 예약 자동 취소 + 대기자 알림
노쇼: 예약 자동 해제</t>
  </si>
  <si>
    <t>실시간 타석 보드 UI</t>
  </si>
  <si>
    <t>기획완료</t>
  </si>
  <si>
    <t>FN-042</t>
  </si>
  <si>
    <t>타석/키오스크 화면 제어</t>
  </si>
  <si>
    <t>골프 타석 키오스크 화면 잠금/해제, 이용시간 기반 자동 제어</t>
  </si>
  <si>
    <t>1) 예약/결제 완료 시 화면 잠금 해제
2) 이용시간 종료 시 자동 화면 잠금
3) 관리자 원격 잠금/해제
4) 스크린 락 방식(UI 오버레이)</t>
  </si>
  <si>
    <t>타석번호, 제어명령(잠금/해제)</t>
  </si>
  <si>
    <t>제어 결과</t>
  </si>
  <si>
    <t>이용 종료 10분 전 알림 표시
강제 종료 시 관리자 확인 필요</t>
  </si>
  <si>
    <t>WebSocket 실시간 제어</t>
  </si>
  <si>
    <t>▼ SCR-055</t>
  </si>
  <si>
    <t>기기 전원 제어 (1개 기능)</t>
  </si>
  <si>
    <t>FN-043</t>
  </si>
  <si>
    <t>키오스크/프로젝터 원격 전원 제어</t>
  </si>
  <si>
    <t>전 매장 키오스크/프로젝터 원격 일괄 ON/OFF + 스케줄 자동 제어</t>
  </si>
  <si>
    <t>1) PC 관리화면에서 전체/개별 전원 ON/OFF
2) 오픈/마감 시간 스케줄 설정 → 자동 전원 제어
3) 키오스크: WOL(Wake-on-LAN) 원격 부팅
4) 프로젝터: PJ Link/RS232 프로토콜 제어
5) 전원 상태 실시간 모니터링
6) 30개+ 기기 일괄 제어(고척/서교 기준)</t>
  </si>
  <si>
    <t>기기목록, 제어명령, 스케줄시간</t>
  </si>
  <si>
    <t>기기 상태, 제어 결과</t>
  </si>
  <si>
    <t>1) 오픈 시: 스케줄 시간 20분 전 자동 부팅
2) 마감 시: 영업종료 시간에 자동 셧다운
3) 기기별 상태(온라인/오프라인/고장) 표시</t>
  </si>
  <si>
    <t>기기 미응답: 3회 재시도 후 오프라인 표시
네트워크 장애: 로컬 제어 폴백</t>
  </si>
  <si>
    <t>WOL + PJ Link + 상태 모니터링 대시보드</t>
  </si>
  <si>
    <t>▼ SCR-056</t>
  </si>
  <si>
    <t>수건/운동복 관리 (1개 기능)</t>
  </si>
  <si>
    <t>FN-044</t>
  </si>
  <si>
    <t>수건/운동복 발급 관리</t>
  </si>
  <si>
    <t>수건/운동복 발급 수량 제어 + 사용량 통계. QR/안면인식 연동</t>
  </si>
  <si>
    <t>1) 회원별 1일 발급 수량 제한(수건 2장, 운동복 1벌 기본)
2) QR/안면인식으로 발급 기록 자동화
3) 반납 시 포인트 적립(선택)
4) 일별/월별 사용량 통계 + 세탁비 추정
5) 비정상 사용 패턴 알림(과다 발급)</t>
  </si>
  <si>
    <t>회원ID, 품목, 수량</t>
  </si>
  <si>
    <t>발급 이력, 사용량 통계, 세탁비 추정</t>
  </si>
  <si>
    <t>1) 기본 제공: 수건 2장 + 운동복 1벌
2) 추가 발급: 유/무료 센터 설정
3) 월간 세탁비 자동 집계</t>
  </si>
  <si>
    <t>한도 초과: '오늘 발급 한도 초과' 안내
미회원: 발급 불가</t>
  </si>
  <si>
    <t>▼ SCR-015</t>
  </si>
  <si>
    <t>FC 즐겨찾기/알림 (1개 기능)</t>
  </si>
  <si>
    <t>FN-045</t>
  </si>
  <si>
    <t>FC 즐겨찾기 회원 방문 알림</t>
  </si>
  <si>
    <t>담당 FC가 즐겨찾기한 회원 방문 시 실시간 알림. 이용권 임박 회원 자동 표시</t>
  </si>
  <si>
    <t>1) FC 개인 아이디별 즐겨찾기 회원 등록
2) 즐겨찾기 회원 입장 시 해당 FC 핸드폰 푸시 알림
3) 이용권 만료 임박(D-30~D-7) 회원 자동 즐겨찾기 등록
4) 방문 알림에 회원 상태 요약(잔여일, 미납 여부) 포함
5) 재등록 상담 필요 회원 하이라이트</t>
  </si>
  <si>
    <t>FC ID, 회원ID, 알림 설정</t>
  </si>
  <si>
    <t>방문 알림, 임박 회원 목록</t>
  </si>
  <si>
    <t>1) 즐겨찾기 수 제한 없음
2) 알림 채널: 앱 푸시 + 관리자 화면 팝업
3) 이용권 만료 D-30 자동 즐겨찾기 추가(설정 시)</t>
  </si>
  <si>
    <t>알림 수신 거부 시 관리자 화면에만 표시</t>
  </si>
  <si>
    <t>FCM Push + WebSocket 실시간</t>
  </si>
  <si>
    <t>▼ SCR-095</t>
  </si>
  <si>
    <t>키오스크 타입 설정 (1개 기능)</t>
  </si>
  <si>
    <t>FN-046</t>
  </si>
  <si>
    <t>키오스크 타입별 UI 설정</t>
  </si>
  <si>
    <t>키오스크 타입(결제형/비결제형) 지점별 설정. 화면 구성 자동 분기</t>
  </si>
  <si>
    <t>1) 타입A: 입장/퇴장/사물함 확인 전용(결제 없음)
2) 타입B: 1일권/시간권 현장 결제 포함
3) 어드민에서 지점별 타입 선택
4) 타입별 키오스크 UI 자동 구성
5) 1일권 결제 시 가상 ID 자동 생성 + 키 발급</t>
  </si>
  <si>
    <t>지점ID, 키오스크타입</t>
  </si>
  <si>
    <t>키오스크 UI 설정</t>
  </si>
  <si>
    <t>1) 타입은 지점 단위 설정(키오스크 개별 불가)
2) 타입B는 PG사 결제 모듈 연동 필수</t>
  </si>
  <si>
    <t>결제 모듈 미연동 시 타입B 선택 불가 경고</t>
  </si>
  <si>
    <t>▼ SCR-096</t>
  </si>
  <si>
    <t>오프라인 모드 설정 (1개 기능)</t>
  </si>
  <si>
    <t>FN-047</t>
  </si>
  <si>
    <t>오프라인 모드 + 자동 동기화</t>
  </si>
  <si>
    <t>네트워크 장애 시 로컬 모드 자동 전환. 복구 시 데이터 자동 동기화</t>
  </si>
  <si>
    <t>1) 네트워크 끊김 감지 → 자동 로컬 모드 전환
2) 로컬 모드: 출입/라커 배정/출석 기본 기능 동작
3) 로컬 저장: IndexedDB + Service Worker
4) 네트워크 복구 → 큐잉된 데이터 자동 동기화
5) 충돌 시 서버 우선 + 관리자 알림
6) 오프라인 상태 표시 배너</t>
  </si>
  <si>
    <t>오프라인 허용 기능 목록, 동기화 정책</t>
  </si>
  <si>
    <t>동기화 상태, 충돌 로그</t>
  </si>
  <si>
    <t>1) 오프라인 필수 기능: 출입/라커/출석
2) 오프라인 불가 기능: 결제/환불/회원등록
3) 로컬 데이터 최대 보관: 72시간</t>
  </si>
  <si>
    <t>동기화 실패: 재시도 3회 후 관리자 수동 처리 안내</t>
  </si>
  <si>
    <t>Service Worker + IndexedDB + Sync Queue</t>
  </si>
  <si>
    <t>▼ SCR-033</t>
  </si>
  <si>
    <t>데이터 통합 내보내기 (1개 기능)</t>
  </si>
  <si>
    <t>FN-048</t>
  </si>
  <si>
    <t>전체 데이터 엑셀 내보내기</t>
  </si>
  <si>
    <t>전체 데이터 원장을 엑셀로 내보내기. 권한별 컬럼 필터링</t>
  </si>
  <si>
    <t>1) 회원/매출/출석/레슨/상품 등 전체 원장 내보내기
2) 모든 필드 포함(필터링 없는 raw 데이터)
3) 권한별 열람 가능 컬럼 자동 필터
4) 기간/지점/카테고리 필터
5) CSV/XLSX 포맷 선택</t>
  </si>
  <si>
    <t>데이터 유형, 기간, 지점, 포맷</t>
  </si>
  <si>
    <t>엑셀 파일 다운로드</t>
  </si>
  <si>
    <t>1) 센터장 이상: 전체 컬럼
2) 매니저: 급여/개인정보 제외
3) FC: 담당 회원만
4) 최대 내보내기: 10만 건/회</t>
  </si>
  <si>
    <t>대용량: 비동기 처리 + 이메일 발송</t>
  </si>
  <si>
    <t>엑셀 export: xlsx 라이브러리 기반 실제 XLSX 다운로드 구현
11개 페이지 (회원/매출/직원/상품/출석/락커/RFID/급여/마일리지/쿠폰/메시지)
exportToExcel() 공통 유틸리티</t>
  </si>
  <si>
    <t>전체 페이지 엑셀 다운로드, DataTable sticky 컬럼 (모바일) (2026-03-13)</t>
  </si>
  <si>
    <t>FN-049</t>
  </si>
  <si>
    <t>상품 한 화면 세팅</t>
  </si>
  <si>
    <t>상품 등록/수정을 한 화면에서 완료. 요일별/시간별/횟수별/기간별 세팅 통합</t>
  </si>
  <si>
    <t>1) 한 화면에서 상품명/가격/기간/횟수/요일제한/시간제한 모두 설정
2) 주중권/주말권 분기 설정
3) 횟수제/기간제/혼합 선택
4) 주N회 제한 설정
5) 상품 클릭 시 구매 회원 목록 바로 확인
6) 이용 유효기간 + 횟수 동시 설정 가능</t>
  </si>
  <si>
    <t>상품 전체 속성</t>
  </si>
  <si>
    <t>상품 설정 결과, 구매자 목록</t>
  </si>
  <si>
    <t>1) 레슨북 UI 벤치마크: 팝업 없이 인라인 설정
2) 요일 체크박스 + 시간 레인지 슬라이더
3) 상품 복제 기능 지원</t>
  </si>
  <si>
    <t>필수 항목 미입력: 인라인 에러 표시</t>
  </si>
  <si>
    <t>Single-page form + 실시간 미리보기</t>
  </si>
  <si>
    <t>FN-050</t>
  </si>
  <si>
    <t>라커 우선순위 배정</t>
  </si>
  <si>
    <t>라커 자동 배정 시 상단/홀수 우선 등 우선순위 규칙 적용</t>
  </si>
  <si>
    <t>1) 배정 우선순위: 상단 &gt; 하단, 홀수 &gt; 짝수(설정 가능)
2) 회원 선호 라커 우선 배정(선택)
3) 고장/점유 라커 자동 스킵
4) 퇴실 시 라커 자동 해제(센터 설정)
5) 마감 시 전체 라커 일괄 해제 + 잔류물 체크리스트</t>
  </si>
  <si>
    <t>배정규칙(상단우선/홀수우선 등)</t>
  </si>
  <si>
    <t>1) 기본: 홀수 먼저 → 상단 먼저 배정
2) 마감 시 잠긴 라커: 마스터키 해제 → 잔류물 보관
3) 잔류물 15일 보관 후 폐기</t>
  </si>
  <si>
    <t>전체 라커 점유 시: 대기 등록 안내</t>
  </si>
  <si>
    <t>FN-051</t>
  </si>
  <si>
    <t>실적 담당자/계약 처리자 분리</t>
  </si>
  <si>
    <t>상담 실적 담당자와 실제 계약 처리자를 분리 관리. 실적 귀속 규칙 적용</t>
  </si>
  <si>
    <t>1) 계약 시 실적 담당자 + 계약 처리자 각각 지정
2) 최초 상담자 자동 실적 귀속(기본)
3) 상담 후 N일 경과 시 실적 귀속 해제(센터 설정)
4) 실적 담당자별 매출 집계
5) 분쟁 방지: 상담 이력 자동 기록</t>
  </si>
  <si>
    <t>실적담당자ID, 계약처리자ID, 귀속기간</t>
  </si>
  <si>
    <t>실적 집계, 이력</t>
  </si>
  <si>
    <t>1) 최초 상담 → 실적 귀속 기본 30일
2) 30일 초과: 실적 귀속 해제, 새 상담자에게 이전
3) 팀 매출 vs 개인 매출 구분 집계</t>
  </si>
  <si>
    <t>담당자 퇴사 시: 실적 재배정 필요 알림</t>
  </si>
  <si>
    <t>FN-052</t>
  </si>
  <si>
    <t>프로모션 할인 자동 적용</t>
  </si>
  <si>
    <t>월별 프로모션 할인율을 상품에 자동 적용. 신규/재등록/기간별 할인 분기</t>
  </si>
  <si>
    <t>1) 프로모션 기간/대상/할인율 사전 설정
2) 계약 시 해당 프로모션 자동 적용
3) 신규/재등록/휴면복귀 구분 할인
4) FC 재량 할인 한도 설정(예: 최대 5%)
5) 할인 적용 시 원가/할인가/최종가 자동 계산</t>
  </si>
  <si>
    <t>프로모션ID, 기간, 대상유형, 할인율</t>
  </si>
  <si>
    <t>할인 적용 결과</t>
  </si>
  <si>
    <t>1) 프로모션 중복 적용 불가(최대 혜택 자동 선택)
2) FC 재량 할인: 센터장이 한도 설정
3) 할인 이력 전체 감사 로그 기록</t>
  </si>
  <si>
    <t>할인율 50% 초과: 센터장 승인 필요</t>
  </si>
  <si>
    <t>▼ SCR-K01</t>
  </si>
  <si>
    <t>키오스크 입장 (1개 기능)</t>
  </si>
  <si>
    <t>FN-K01</t>
  </si>
  <si>
    <t>키오스크 회원 입장</t>
  </si>
  <si>
    <t>얼굴인식/전화번호/NFC 밴드로 회원 입장 처리</t>
  </si>
  <si>
    <t>1) 얼굴인식 입장(브로제이 방식): 카메라 인식 → 회원정보 표시 → 확인
2) 전화번호 입장: 번호 입력 → 회원정보 표시
3) NFC 밴드 태그 입장(온핏 방식)
4) 입장 시 라커 자동 배정 + 번호 표시
5) 동시 다중 인식 지원(얼굴인식 시)</t>
  </si>
  <si>
    <t>얼굴/전화번호/NFC</t>
  </si>
  <si>
    <t>회원정보, 라커번호, 입장시간</t>
  </si>
  <si>
    <t>1) 미등록 얼굴: '등록되지 않은 회원입니다' 안내
2) 만료 회원: 입장 허용 여부 센터 설정
3) 입장 로그 자동 기록</t>
  </si>
  <si>
    <t>인식 실패: 전화번호 폴백
네트워크 장애: 오프라인 모드 전환</t>
  </si>
  <si>
    <t>얼굴인식 SDK + NFC Reader</t>
  </si>
  <si>
    <t>▼ SCR-K02</t>
  </si>
  <si>
    <t>키오스크 퇴장 (1개 기능)</t>
  </si>
  <si>
    <t>FN-K02</t>
  </si>
  <si>
    <t>키오스크 회원 퇴장</t>
  </si>
  <si>
    <t>1) 얼굴/전화번호/NFC로 퇴장 처리
2) 라커 자동 해제(센터 설정)
3) 이용시간 자동 기록
4) 대치점 방식: 라커키 반납 시 퇴장 처리</t>
  </si>
  <si>
    <t>회원인증</t>
  </si>
  <si>
    <t>퇴장시간, 이용시간</t>
  </si>
  <si>
    <t>퇴장 미처리 시 마감 일괄 퇴장 처리</t>
  </si>
  <si>
    <t>▼ SCR-K03</t>
  </si>
  <si>
    <t>키오스크 골프 타석 예약 (1개 기능)</t>
  </si>
  <si>
    <t>FN-K03</t>
  </si>
  <si>
    <t>키오스크 골프 타석 예약/대기</t>
  </si>
  <si>
    <t>키오스크에서 골프 타석 예약 및 대기열 등록</t>
  </si>
  <si>
    <t>1) 빈 타석 실시간 표시(타석 배치도)
2) 대기 시간 시:분 형식 표시(분 단위 X)
3) 꼬리물기 예약: 현재 이용자 종료 후 자동 시작
4) 대기열 등록(바깥에서 앱으로도 가능)
5) 예약 후 15분 이내 입장 필수</t>
  </si>
  <si>
    <t>회원ID, 타석번호</t>
  </si>
  <si>
    <t>예약확인, 대기순번, 예상시간</t>
  </si>
  <si>
    <t>1) 시간 표시: 238분 → '3시간 58분'으로 변환
2) 1회 최대 60분(센터 설정)
3) 예약 후 15분 미입장 → 노쇼</t>
  </si>
  <si>
    <t>전체 타석 점유: 대기 등록만 가능</t>
  </si>
  <si>
    <t>실시간 WebSocket + 타석 배치도 UI</t>
  </si>
  <si>
    <t>▼ SCR-K04</t>
  </si>
  <si>
    <t>키오스크 사물함 확인 (1개 기능)</t>
  </si>
  <si>
    <t>FN-K04</t>
  </si>
  <si>
    <t>키오스크 사물함 번호 확인/영수증</t>
  </si>
  <si>
    <t>배정된 라커 번호 확인 및 영수증 출력</t>
  </si>
  <si>
    <t>1) 회원 인증 후 배정된 라커 번호 표시
2) 영수증 형태로 라커 번호 출력(대치점 방식)
3) 영수증에 라커 번호 크게 표시(고령 회원 배려)
4) 라커 위치 안내(층/구역)</t>
  </si>
  <si>
    <t>라커번호, 영수증</t>
  </si>
  <si>
    <t>영수증 출력은 대치점 방식 벤치마크(찜질방 스타일)</t>
  </si>
  <si>
    <t>미배정 시: 자동 배정 후 표시</t>
  </si>
  <si>
    <t>▼ SCR-K05</t>
  </si>
  <si>
    <t>키오스크 1일권 결제 (1개 기능)</t>
  </si>
  <si>
    <t>FN-K05</t>
  </si>
  <si>
    <t>키오스크 1일권 현장 결제</t>
  </si>
  <si>
    <t>비회원 1일권/시간권 키오스크 현장 결제(타입B 전용)</t>
  </si>
  <si>
    <t>1) 전화번호 입력 → 가상 회원ID 자동 생성
2) 상품 선택(1일권/시간권 등)
3) 카드/간편결제(서울페이/제로페이 등)
4) 결제 완료 → 라커 배정 → 입장 처리
5) 당일 만료 자동 설정</t>
  </si>
  <si>
    <t>전화번호, 상품, 결제수단</t>
  </si>
  <si>
    <t>결제영수증, 라커번호, 입장확인</t>
  </si>
  <si>
    <t>1) 타입B 키오스크에서만 노출
2) 가상 회원: 당일 자동 만료
3) 결제 수단: 카드/간편결제(현금 X)</t>
  </si>
  <si>
    <t>결제 실패: 재시도 안내
PG 연동 실패: 프론트 데스크 안내</t>
  </si>
  <si>
    <t>PG SDK + 간편결제 모듈</t>
  </si>
  <si>
    <t>▼ SCR-K06</t>
  </si>
  <si>
    <t>키오스크 GX 예약 (1개 기능)</t>
  </si>
  <si>
    <t>FN-K06</t>
  </si>
  <si>
    <t>키오스크 GX 프로그램 예약</t>
  </si>
  <si>
    <t>키오스크에서 GX 프로그램 예약/취소, 좌석 선택</t>
  </si>
  <si>
    <t>1) 오늘/이번 주 GX 시간표 표시
2) 잔여석 실시간 표시
3) 예약/취소 가능(취소 시한 내)
4) 스피닝: 바이크 좌석 배치도에서 선택
5) 횟수권 잔여 횟수 표시</t>
  </si>
  <si>
    <t>회원ID, 수업ID, 좌석번호</t>
  </si>
  <si>
    <t>예약확인, 잔여횟수</t>
  </si>
  <si>
    <t>1) 예약 오픈 전 수업: '예약 오픈 전' 표시
2) 정원 초과: 대기 등록
3) 횟수 소진: 추가 구매 안내</t>
  </si>
  <si>
    <t>잔여 횟수 0: '이용권을 구매해주세요' 안내</t>
  </si>
  <si>
    <t>▼ SCR-K07</t>
  </si>
  <si>
    <t>키오스크 골프 타석 입장 (1개 기능)</t>
  </si>
  <si>
    <t>FN-K07</t>
  </si>
  <si>
    <t>키오스크 골프 타석 입장/시작</t>
  </si>
  <si>
    <t>예약한 골프 타석 입장 인증 → 스크린 잠금 해제 → 이용 시작</t>
  </si>
  <si>
    <t>1) 전화번호/얼굴인식으로 예약 확인
2) 예약된 타석 스크린 잠금 자동 해제
3) 이용시간 카운트다운 시작
4) 종료 10분 전 알림
5) 시간 종료 시 자동 스크린 잠금</t>
  </si>
  <si>
    <t>회원인증, 예약번호</t>
  </si>
  <si>
    <t>타석번호, 잔여시간</t>
  </si>
  <si>
    <t>1) 예약 없이 입장 불가
2) 예약 후 15분 미입장 → 노쇼
3) 이용 중 타석 이동: 빈 타석으로만 가능</t>
  </si>
  <si>
    <t>예약 없음: '예약 후 이용해주세요' 안내</t>
  </si>
  <si>
    <t>▼ SCR-M01</t>
  </si>
  <si>
    <t>앱 홈 (1개 기능)</t>
  </si>
  <si>
    <t>FN-M01</t>
  </si>
  <si>
    <t>회원 앱 홈 대시보드</t>
  </si>
  <si>
    <t>회원 앱 메인 화면. 이용권 잔여, 오늘 예약, 출석 현황 요약</t>
  </si>
  <si>
    <t>1) 이용권 잔여일/잔여횟수 카드
2) 오늘 예약 목록(GX/PT/골프)
3) 이번 달 출석 현황
4) 공지사항/프로모션 배너
5) 빠른 입장 QR 버튼</t>
  </si>
  <si>
    <t>회원 로그인</t>
  </si>
  <si>
    <t>이용권현황, 예약목록, 출석현황</t>
  </si>
  <si>
    <t>앱 실행 시 자동 로그인(생체인증/토큰)</t>
  </si>
  <si>
    <t>토큰 만료: 재로그인 안내</t>
  </si>
  <si>
    <t>React Native</t>
  </si>
  <si>
    <t>▼ SCR-M02</t>
  </si>
  <si>
    <t>앱 QR 입장 (1개 기능)</t>
  </si>
  <si>
    <t>FN-M02</t>
  </si>
  <si>
    <t>앱 QR코드 입장/퇴장</t>
  </si>
  <si>
    <t>앱에서 QR코드 표시하여 센터 입장/퇴장, 라커 번호 확인</t>
  </si>
  <si>
    <t>1) 입장용 QR코드 실시간 생성(30초 갱신)
2) QR 스캔 → 입장 처리 + 라커 배정
3) 배정된 라커 번호 앱에 표시
4) 퇴장 시 QR 스캔 → 라커 해제</t>
  </si>
  <si>
    <t>QR코드, 라커번호, 입장시간</t>
  </si>
  <si>
    <t>QR코드: 일회용, 30초마다 갱신(보안)</t>
  </si>
  <si>
    <t>오프라인: QR 생성 불가 안내</t>
  </si>
  <si>
    <t>QR 생성 라이브러리</t>
  </si>
  <si>
    <t>▼ SCR-M03</t>
  </si>
  <si>
    <t>앱 GX 예약 (1개 기능)</t>
  </si>
  <si>
    <t>FN-M03</t>
  </si>
  <si>
    <t>앱 GX 예약/좌석 선택</t>
  </si>
  <si>
    <t>회원 앱에서 GX 예약, 스피닝 좌석 선택, 취소, 대기 등록</t>
  </si>
  <si>
    <t>1) 주간 GX 시간표 + 잔여석 표시
2) 수업 탭으로 예약(원터치)
3) 스피닝: 바이크 배치도에서 좌석 선택
4) 취소 가능 시한 표시(N시간 전)
5) 정원 초과 시 대기 등록 + 빈자리 알림
6) 예약 확정/변경/취소 푸시 알림</t>
  </si>
  <si>
    <t>수업ID, 좌석번호</t>
  </si>
  <si>
    <t>예약확인, 잔여횟수, 좌석번호</t>
  </si>
  <si>
    <t>1) 예약 오픈 시 앱 푸시 알림
2) 취소 시한 초과: 횟수 차감 경고 표시
3) 노쇼 페널티 이력 확인 가능</t>
  </si>
  <si>
    <t>정원 초과: 대기 등록 안내</t>
  </si>
  <si>
    <t>React Native + 좌석 배치 SVG</t>
  </si>
  <si>
    <t>▼ SCR-M04</t>
  </si>
  <si>
    <t>앱 골프 예약 (1개 기능)</t>
  </si>
  <si>
    <t>FN-M04</t>
  </si>
  <si>
    <t>앱 골프 타석 원격 예약</t>
  </si>
  <si>
    <t>앱에서 골프 타석 원격 예약/대기. 현장 방문 없이 대기열 등록</t>
  </si>
  <si>
    <t>1) 타석별 실시간 현황(이용중/대기/빈 타석)
2) 잔여시간 시:분 형식 표시
3) 원격 대기열 등록 → 순번 알림
4) 내 순번 도달 시 푸시 알림
5) 예약 취소 가능</t>
  </si>
  <si>
    <t>타석번호, 회원ID</t>
  </si>
  <si>
    <t>현장 미방문 대기: 순번 도달 후 15분 이내 입장 필수</t>
  </si>
  <si>
    <t>입장 시한 초과: 자동 취소 + 다음 대기자</t>
  </si>
  <si>
    <t>▼ SCR-M05</t>
  </si>
  <si>
    <t>앱 레슨 예약/서명 (1개 기능)</t>
  </si>
  <si>
    <t>FN-M05</t>
  </si>
  <si>
    <t>앱 레슨 예약 + 수업 후 서명</t>
  </si>
  <si>
    <t>PT/골프 레슨 예약, 수업 완료 후 터치 서명, 레슨 기록 열람</t>
  </si>
  <si>
    <t>1) 담당 트레이너 스케줄에서 예약
2) 수업 완료 후 트레이너 요청 → 서명 화면 팝업
3) 터치 서명으로 수업 확인
4) 레슨 기록(트레이너 작성) 열람
5) 잔여 횟수/기간 확인</t>
  </si>
  <si>
    <t>트레이너ID, 수업시간, 서명이미지</t>
  </si>
  <si>
    <t>예약확인, 레슨기록, 잔여횟수</t>
  </si>
  <si>
    <t>1) 서명 거부 시 관리자 알림
2) 24시간 내 미서명 → 자동 완료(정책에 따라)</t>
  </si>
  <si>
    <t>트레이너 스케줄 없음: '가능한 시간이 없습니다'</t>
  </si>
  <si>
    <t>Canvas 서명 + FCM Push</t>
  </si>
  <si>
    <t>▼ SCR-T01</t>
  </si>
  <si>
    <t>트레이너 앱 홈 (1개 기능)</t>
  </si>
  <si>
    <t>FN-T01</t>
  </si>
  <si>
    <t>트레이너 앱 홈/오늘 수업</t>
  </si>
  <si>
    <t>트레이너 오늘의 수업 목록, 미완료 레슨 기록 알림</t>
  </si>
  <si>
    <t>1) 오늘 수업 타임라인(예약확정/노쇼/완료 상태)
2) 미완료 레슨 기록 건수 배지
3) 다음 수업까지 남은 시간
4) 수업 탭 → 레슨 기록 작성으로 이동</t>
  </si>
  <si>
    <t>트레이너 로그인</t>
  </si>
  <si>
    <t>수업목록, 미완료건수</t>
  </si>
  <si>
    <t>수업 10분 전 알림 자동 발송</t>
  </si>
  <si>
    <t>▼ SCR-T03</t>
  </si>
  <si>
    <t>트레이너 레슨 기록 (1개 기능)</t>
  </si>
  <si>
    <t>FN-T02</t>
  </si>
  <si>
    <t>트레이너 레슨 기록 작성/서명 요청</t>
  </si>
  <si>
    <t>수업 내용 작성, 고객에게 서명 요청, 수업 완료 처리</t>
  </si>
  <si>
    <t>1) 수업 내용 텍스트 입력 or 템플릿 선택
2) 운동 부위/세트/횟수 기록(선택)
3) 사진 첨부(선택)
4) 고객 서명 요청 → 고객 앱 or 현장 태블릿에서 서명
5) 서명 완료 → 수업 확정
6) 미서명 → 24시간 후 자동 완료(정책)</t>
  </si>
  <si>
    <t>수업ID, 레슨내용, 사진, 서명요청</t>
  </si>
  <si>
    <t>레슨기록, 서명상태</t>
  </si>
  <si>
    <t>1) 수업 완료 후 당일 내 기록 작성 권장
2) 3일 초과 미작성 시 관리자 알림</t>
  </si>
  <si>
    <t>서명 거부: 관리자에게 알림 + 수동 처리 안내</t>
  </si>
  <si>
    <t>Canvas 서명 + FCM + 카메라</t>
  </si>
  <si>
    <t>▼ SCR-T02</t>
  </si>
  <si>
    <t>트레이너 스케줄 (1개 기능)</t>
  </si>
  <si>
    <t>FN-T03</t>
  </si>
  <si>
    <t>트레이너 스케줄 관리</t>
  </si>
  <si>
    <t>주간/월간 수업 캘린더, 빈 시간 관리, 예약 승인/거절</t>
  </si>
  <si>
    <t>1) 주간/월간 뷰 캘린더
2) 수업별 상태(예약확정/대기/취소/노쇼/완료) 색상 구분
3) 빈 시간대 설정(예약 가능 시간)
4) 예약 요청 승인/거절
5) 수업 시간 변경 → 회원 자동 알림</t>
  </si>
  <si>
    <t>트레이너ID, 기간</t>
  </si>
  <si>
    <t>수업캘린더, 예약요청목록</t>
  </si>
  <si>
    <t>시간 충돌 시 자동 경고</t>
  </si>
  <si>
    <t>예약 거절 시 회원에게 자동 알림</t>
  </si>
  <si>
    <t>▼ SCR-F01</t>
  </si>
  <si>
    <t>FC 앱 홈 (1개 기능)</t>
  </si>
  <si>
    <t>FN-F01</t>
  </si>
  <si>
    <t>FC 앱 홈/방문 알림</t>
  </si>
  <si>
    <t>FC 앱 메인. 즐겨찾기 회원 방문 알림, 임박 회원, 개인 매출 요약</t>
  </si>
  <si>
    <t>1) 즐겨찾기 회원 방문 실시간 푸시 알림 수신
2) 오늘 방문한 즐겨찾기 회원 목록
3) 이용권 임박 회원 자동 하이라이트(D-30 이내)
4) 이번 달 개인 매출/목표 달성률
5) 미상담 회원 리마인드</t>
  </si>
  <si>
    <t>FC 로그인</t>
  </si>
  <si>
    <t>방문알림, 임박회원, 매출현황</t>
  </si>
  <si>
    <t>1) 방문 알림: 입장 후 30초 이내 푸시
2) 알림 내용: 회원명, 잔여일수, 미납여부</t>
  </si>
  <si>
    <t>알림 수신 거부 시 앱 내 배지만 표시</t>
  </si>
  <si>
    <t>FCM Push + WebSocket</t>
  </si>
  <si>
    <t>▼ SCR-F02</t>
  </si>
  <si>
    <t>FC 즐겨찾기 알림 (1개 기능)</t>
  </si>
  <si>
    <t>FN-F02</t>
  </si>
  <si>
    <t>FC 즐겨찾기 회원 관리/상담</t>
  </si>
  <si>
    <t>즐겨찾기 회원 등록/해제, 방문 이력, 상담 메모, 재등록 안내</t>
  </si>
  <si>
    <t>1) 회원 검색 → 즐겨찾기 추가(수 제한 없음)
2) 이용권 만료 D-30 이내 자동 추가(설정)
3) 즐겨찾기 회원 방문 이력 조회
4) 상담 메모 작성(날짜/내용)
5) 재등록 시 실적 귀속 확인 표시
6) 프로모션 정보 바로 확인 → 회원에게 안내</t>
  </si>
  <si>
    <t>FC ID, 회원ID, 상담메모</t>
  </si>
  <si>
    <t>즐겨찾기목록, 방문이력, 상담이력</t>
  </si>
  <si>
    <t>1) 담당 FC 퇴사 시 즐겨찾기 재배정
2) 실적 귀속 기간(30일) 표시</t>
  </si>
  <si>
    <t>해당 회원 없음: 검색 결과 없음 안내</t>
  </si>
  <si>
    <t>▼ SCR-F03</t>
  </si>
  <si>
    <t>FC 상담 기록 (1개 기능)</t>
  </si>
  <si>
    <t>FN-F03</t>
  </si>
  <si>
    <t>FC 상담 이력 기록/조회</t>
  </si>
  <si>
    <t>최초 상담부터 재등록까지 상담 이력 관리. 실적 귀속 증빙</t>
  </si>
  <si>
    <t>1) 상담 일시/내용/결과 기록
2) 상담 유형: 신규/재등록/불만/문의 구분
3) 상담 → 계약 전환율 자동 집계
4) 실적 귀속 증빙용 상담 이력 타임라인
5) 동일 회원 다른 FC 상담 이력 참조 가능</t>
  </si>
  <si>
    <t>FC ID, 회원ID, 상담내용, 상담유형</t>
  </si>
  <si>
    <t>상담이력, 전환율</t>
  </si>
  <si>
    <t>1) 최초 상담자 자동 기록(실적 귀속 근거)
2) 상담 기록 수정: 24시간 이내만 가능</t>
  </si>
  <si>
    <t>지점 관리 (3개 기능)</t>
  </si>
  <si>
    <t>FN-054</t>
  </si>
  <si>
    <t>통합 대시보드 (슈퍼관리자)</t>
  </si>
  <si>
    <t>슈퍼관리자 전용 통합 대시보드. 전 지점 합산 KPI + 지점별 비교 차트.</t>
  </si>
  <si>
    <t>1) 전체 지점 합산: 총회원/활성/매출/출석
2) 지점별 매출 순위 바 차트
3) 지점별 회원 수 비교
4) 지점 상태 카드 (정상/이상/비활성)
5) 지점 간 회원 이동 현황
6) 전체 직원 현황</t>
  </si>
  <si>
    <t>BP-076</t>
  </si>
  <si>
    <t>슈퍼관리자(is_super_admin=true)만 접근. 전체 지점 선택 시 표시.</t>
  </si>
  <si>
    <t>FN-055</t>
  </si>
  <si>
    <t>지점 생성/비활성화</t>
  </si>
  <si>
    <t>슈퍼관리자 전용. 지점 CRUD + 비활성화/재활성화.</t>
  </si>
  <si>
    <t>1) 지점 생성: 이름/코드/주소/연락처 + 본사겸지점 플래그
2) 센터장 계정 동시 생성 옵션
3) 비활성화: 비밀번호+텍스트 2중 확인
4) 재활성화
5) 데이터 초기화 (개발용, 3중 확인)</t>
  </si>
  <si>
    <t>BP-077</t>
  </si>
  <si>
    <t>슈퍼관리자만. 비활성화 시 소속 계정 전체 잠금.</t>
  </si>
  <si>
    <t>FN-056</t>
  </si>
  <si>
    <t>지점 간 비교 리포트</t>
  </si>
  <si>
    <t>슈퍼관리자 전용. 지점 간 매출/회원/출석 비교 리포트.</t>
  </si>
  <si>
    <t>1) 기간 선택 (일/주/월/연)
2) 비교 대상 지점 선택 (2~5개)
3) 매출 비교 차트
4) 회원 증감 비교
5) 출석률 비교
6) 엑셀 내보내기</t>
  </si>
  <si>
    <t>슈퍼관리자 전용 지점간 비교 리포트 컴포넌트
Supabase branches + members + sales 크로스 쿼리
Bar/Pie 차트 비교 UI</t>
  </si>
  <si>
    <t>지점 간 비교 리포트 UI 구현 완료 (2026-03-13)</t>
  </si>
  <si>
    <t>직원 라이프사이클 관리 (7개 기능)</t>
  </si>
  <si>
    <t>FN-057</t>
  </si>
  <si>
    <t>직원 퇴사 처리</t>
  </si>
  <si>
    <t>직원 퇴사 예정일 설정, 인수인계 현황 추적, 최종 정산서 생성, 계정 비활성화.
퇴사 직원의 담당회원 재배정 워크플로우 (자동균등/수동지정/미배정풀).
센터장 퇴사 시 후임 지정 필수 프로세스.
퇴사 직원 데이터 영구 보존 (소프트삭제).</t>
  </si>
  <si>
    <t>assignLocker, releaseLocker 패턴 참조</t>
  </si>
  <si>
    <t>P0</t>
  </si>
  <si>
    <t>미구현</t>
  </si>
  <si>
    <t>퇴사/휴직/복직/재입사 전체 라이프사이클</t>
  </si>
  <si>
    <t>BP-083~BP-094</t>
  </si>
  <si>
    <t>StaffList 퇴사 처리 ConfirmDialog (확인 텍스트 입력 필수)
Supabase staff.isActive = false 업데이트
감사로그 자동 기록</t>
  </si>
  <si>
    <t>퇴사 처리 ConfirmDialog + 감사로그 연동 (2026-03-13)</t>
  </si>
  <si>
    <t>FN-058</t>
  </si>
  <si>
    <t>회원 이관/탈퇴 관리</t>
  </si>
  <si>
    <t>회원 지점 간 이관 프로세스 (이용권유지/환불후신규/소진후이관).
이관 전 체크리스트 (미납금/락커/홀딩/계약).
회원 탈퇴 처리 (자발적/장기미이용/강제).
개인정보 삭제 요청 처리.
재가입 시 기존 데이터 연결 옵션.</t>
  </si>
  <si>
    <t>member transfer API</t>
  </si>
  <si>
    <t>이관/탈퇴/재가입/개인정보삭제</t>
  </si>
  <si>
    <t>BP-096~BP-105</t>
  </si>
  <si>
    <t>MemberDetail soft delete (deletedAt + status=INACTIVE)
회원 삭제 ConfirmDialog
감사로그 자동 기록</t>
  </si>
  <si>
    <t>회원 soft delete + 감사로그 연동 (2026-03-13)</t>
  </si>
  <si>
    <t>FN-059</t>
  </si>
  <si>
    <t>직원 급여 최종정산</t>
  </si>
  <si>
    <t>급여관리</t>
  </si>
  <si>
    <t>퇴사 시 자동 최종정산서 생성: 미지급급여(일할), 미지급커미션, 퇴직금, 미사용연차수당, 선지급정산.
센터장/슈퍼관리자 승인 후 확정.
정산 완료 시 계정 상태 RESIGNED_SETTLED.</t>
  </si>
  <si>
    <t>payroll API 확장</t>
  </si>
  <si>
    <t>퇴직금 자동계산 포함</t>
  </si>
  <si>
    <t>BP-087</t>
  </si>
  <si>
    <t>FN-060</t>
  </si>
  <si>
    <t>직원 지점 이동(전보)</t>
  </si>
  <si>
    <t>슈퍼관리자가 직원의 소속 지점을 변경.
이동 시: 기존 지점 인수인계 → 기존 계정 TRANSFERRED → 새 지점 계정 생성.
급여 정산: 기존 지점 마감 + 새 지점 시작.
FC 이동 시 담당회원 재배정 필수.</t>
  </si>
  <si>
    <t>staff transfer API</t>
  </si>
  <si>
    <t>동시 2개 지점 소속 불가</t>
  </si>
  <si>
    <t>BP-088</t>
  </si>
  <si>
    <t>FN-061</t>
  </si>
  <si>
    <t>직원 휴직/복직 관리</t>
  </si>
  <si>
    <t>휴직 등록 (시작일/복직예정일/사유).
휴직 시 로그인 차단, FC 담당회원 임시재배정.
복직 시 계정 ACTIVE 복원, 담당회원 원복 옵션.
휴직 연장/휴직 중 퇴사 처리.</t>
  </si>
  <si>
    <t>staff leave API</t>
  </si>
  <si>
    <t>육아/병가/개인사유</t>
  </si>
  <si>
    <t>BP-089</t>
  </si>
  <si>
    <t>FN-062</t>
  </si>
  <si>
    <t>직원 역할 변경</t>
  </si>
  <si>
    <t>역할 변경 (스태프↔FC↔매니저↔센터장).
변경 시 즉시 메뉴/권한 반영, 급여체계 변경.
FC→매니저 승격 시 담당회원 처리 옵션.
역할 변경 이력 audit_log 기록.</t>
  </si>
  <si>
    <t>staff role API</t>
  </si>
  <si>
    <t>역할별 CRUD 권한 매트릭스 적용</t>
  </si>
  <si>
    <t>BP-091, BP-095</t>
  </si>
  <si>
    <t>StaffForm 역할 선택 드롭다운 (6종: primary/owner/manager/fc/trainer/staff)
Supabase staff.role 업데이트</t>
  </si>
  <si>
    <t>StaffForm에서 역할 변경 가능 (2026-03-13)</t>
  </si>
  <si>
    <t>FN-063</t>
  </si>
  <si>
    <t>감사 로그 조회</t>
  </si>
  <si>
    <t>슈퍼관리자/센터장 전용 감사 로그 뷰어.
필터: 기간/사용자/액션타입/대상.
로그인 실패, 데이터 변경, 권한 변경, 내보내기 등 전체 활동 추적.
로그 삭제/수정 불가 (append-only).</t>
  </si>
  <si>
    <t>audit log API</t>
  </si>
  <si>
    <t>불변 로그, 영구 보존</t>
  </si>
  <si>
    <t>BP-116, BP-123</t>
  </si>
  <si>
    <t>createAuditLog() fire-and-forget 패턴
audit_logs 테이블 자동 기록
회원/매출/직원 CRUD + 로그인/로그아웃 전체 연동</t>
  </si>
  <si>
    <t>감사 로그 기록 전체 연동 완료 (2026-03-13). 조회 UI는 추후</t>
  </si>
  <si>
    <t>지점 라이프사이클 관리 (5개 기능)</t>
  </si>
  <si>
    <t>FN-064</t>
  </si>
  <si>
    <t>지점 폐점 프로세스</t>
  </si>
  <si>
    <t>지점관리</t>
  </si>
  <si>
    <t>60일 폐점 프로세스 관리.
회원 일괄 처리 대시보드 (이관/환불/자연소멸).
직원 일괄 처리 (전보/퇴사/대기발령).
락커 전체 반납, 최종 정산서 생성.
폐점 지점 데이터 영구 보존 (읽기전용).</t>
  </si>
  <si>
    <t>branch close API</t>
  </si>
  <si>
    <t>D-60~D+90 타임라인 관리</t>
  </si>
  <si>
    <t>BP-106, BP-107</t>
  </si>
  <si>
    <t>FN-065</t>
  </si>
  <si>
    <t>지점 합병</t>
  </si>
  <si>
    <t>흡수합병/신설합병 프로세스.
중복 회원 탐지 및 통합.
직원 역할 충돌 해결.
데이터 합병 (매출/계약 원지점 태그 유지).
합병 전/후 필터 리포트.</t>
  </si>
  <si>
    <t>branch merge API</t>
  </si>
  <si>
    <t>P3</t>
  </si>
  <si>
    <t>중복회원 자동탐지 (연락처/이름)</t>
  </si>
  <si>
    <t>BP-108</t>
  </si>
  <si>
    <t>FN-066</t>
  </si>
  <si>
    <t>지점 일시 휴업</t>
  </si>
  <si>
    <t>시설공사/재난 등 일시 휴업 설정.
전 회원 이용권 자동 홀딩 + 재개 시 자동 해제/연장.
신규 예약/결제 차단.
키오스크 휴업 화면 전환.</t>
  </si>
  <si>
    <t>branch pause API</t>
  </si>
  <si>
    <t>홀딩 사유: BRANCH_CLOSED</t>
  </si>
  <si>
    <t>BP-110</t>
  </si>
  <si>
    <t>FN-067</t>
  </si>
  <si>
    <t>지점 정원/리소스 관리</t>
  </si>
  <si>
    <t>지점별 최대 회원/직원/락커 수 설정.
80% 도달 경고, 100% 도달 차단.
요금제별 제한 자동 적용.</t>
  </si>
  <si>
    <t>branch limits API</t>
  </si>
  <si>
    <t>요금제 연동</t>
  </si>
  <si>
    <t>BP-112</t>
  </si>
  <si>
    <t>FN-068</t>
  </si>
  <si>
    <t>신규 지점 초기화 위저드</t>
  </si>
  <si>
    <t>지점 생성 시 단계별 초기화 위저드.
기존 지점 설정/상품 복사.
센터장 계정 동시 생성.
오픈 준비 체크리스트.</t>
  </si>
  <si>
    <t>branch init API</t>
  </si>
  <si>
    <t>상품템플릿 복사, 기본설정 복사</t>
  </si>
  <si>
    <t>BP-109</t>
  </si>
  <si>
    <t>▼ SCR-097</t>
  </si>
  <si>
    <t>슈퍼관리자 관리 (5개 기능)</t>
  </si>
  <si>
    <t>FN-069</t>
  </si>
  <si>
    <t>슈퍼관리자 지정/해제</t>
  </si>
  <si>
    <t>슈퍼관리자 추가 (최대 3명).
슈퍼관리자 → 일반직원 강등 (소속지점/역할 지정 필수).
마지막 1명 해제 차단.
테넌트 소유자 이전.</t>
  </si>
  <si>
    <t>super admin API</t>
  </si>
  <si>
    <t>최소 1인, 최대 3인</t>
  </si>
  <si>
    <t>BP-113, BP-114, BP-115</t>
  </si>
  <si>
    <t>FN-070</t>
  </si>
  <si>
    <t>통합 리포트 (지점간 비교)</t>
  </si>
  <si>
    <t>전 지점 매출/회원/직원/출석 통합 리포트.
지점별 순위, 전월 대비 증감, 카테고리별 비교.
환불율/재등록율/FC당 회원수 등 KPI 비교.
엑셀 내보내기.</t>
  </si>
  <si>
    <t>report API</t>
  </si>
  <si>
    <t>슈퍼관리자 전용</t>
  </si>
  <si>
    <t>BP-119</t>
  </si>
  <si>
    <t>FN-071</t>
  </si>
  <si>
    <t>글로벌 상품/프로모션 관리</t>
  </si>
  <si>
    <t>공통 상품 템플릿 생성 → 전 지점 배포.
지점별 가격 수정 허용.
글로벌 프로모션 생성 (전 지점 강제 적용).
지점 프로모션 승인 관리.</t>
  </si>
  <si>
    <t>global product API</t>
  </si>
  <si>
    <t>글로벌 vs 지점전용 구분</t>
  </si>
  <si>
    <t>BP-120</t>
  </si>
  <si>
    <t>FN-072</t>
  </si>
  <si>
    <t>구독/요금제 관리</t>
  </si>
  <si>
    <t>테넌트 요금제 조회/변경.
결제 수단 관리 (소유자 전용).
미결제 시 단계별 제한.
업/다운그레이드 시 제한 초과 체크.</t>
  </si>
  <si>
    <t>subscription API</t>
  </si>
  <si>
    <t>Basic/Standard/Premium</t>
  </si>
  <si>
    <t>BP-131</t>
  </si>
  <si>
    <t>FN-073</t>
  </si>
  <si>
    <t>비상 복구/세션 관리</t>
  </si>
  <si>
    <t>계정 잠금 해제 (상위 권한자).
세션 강제 종료 (센터장/슈퍼관리자).
동시 접속 관리.
비밀번호 강제 초기화.
IP 기반 접근 제한.</t>
  </si>
  <si>
    <t>security API</t>
  </si>
  <si>
    <t>동시접속 제한: 1/2/3 디바이스</t>
  </si>
  <si>
    <t>BP-093, BP-117, BP-126</t>
  </si>
  <si>
    <t>F-110</t>
  </si>
  <si>
    <t>RFID 카드 목록 조회</t>
  </si>
  <si>
    <t>RFID 카드 목록 조회 및 검색</t>
  </si>
  <si>
    <t>카드번호/회원명 검색, 상태 필터, 날짜 범위 필터</t>
  </si>
  <si>
    <t>검색어, 상태필터, 날짜범위</t>
  </si>
  <si>
    <t>카드 목록 테이블</t>
  </si>
  <si>
    <t>지점별 조회</t>
  </si>
  <si>
    <t>카드 없을 시 빈 상태 표시</t>
  </si>
  <si>
    <t>Mock 데이터 (DB 예정)</t>
  </si>
  <si>
    <t>API-110</t>
  </si>
  <si>
    <t>DB 테이블 생성 후 Supabase 연동 (2026-03-13)</t>
  </si>
  <si>
    <t>F-111</t>
  </si>
  <si>
    <t>RFID 카드 등록</t>
  </si>
  <si>
    <t>새 RFID 카드 등록 (카드번호 스캔)</t>
  </si>
  <si>
    <t>카드번호 입력/스캔, 자동 중복 체크</t>
  </si>
  <si>
    <t>카드번호</t>
  </si>
  <si>
    <t>등록 결과</t>
  </si>
  <si>
    <t>카드번호 고유성</t>
  </si>
  <si>
    <t>중복 카드 에러 처리</t>
  </si>
  <si>
    <t>API-111</t>
  </si>
  <si>
    <t>F-112</t>
  </si>
  <si>
    <t>RFID 카드 회원 매핑</t>
  </si>
  <si>
    <t>카드에 회원/직원 매핑</t>
  </si>
  <si>
    <t>회원 검색→선택→매핑 확인</t>
  </si>
  <si>
    <t>카드ID, 회원ID, 사용자유형</t>
  </si>
  <si>
    <t>매핑 결과</t>
  </si>
  <si>
    <t>1인 1카드</t>
  </si>
  <si>
    <t>이미 매핑된 카드 경고</t>
  </si>
  <si>
    <t>API-112</t>
  </si>
  <si>
    <t>F-113</t>
  </si>
  <si>
    <t>IoT 기기 관리</t>
  </si>
  <si>
    <t>IoT 기기 CRUD + 연결 테스트</t>
  </si>
  <si>
    <t>기기 등록/수정/삭제, 연결 테스트, 상태 모니터링</t>
  </si>
  <si>
    <t>기기 정보 (이름/IP/포트 등)</t>
  </si>
  <si>
    <t>IP:Port 고유성</t>
  </si>
  <si>
    <t>연결 실패 시 오류 상태 표시</t>
  </si>
  <si>
    <t>API-114~116</t>
  </si>
  <si>
    <t>F-114</t>
  </si>
  <si>
    <t>출입 로그 조회</t>
  </si>
  <si>
    <t>출입 로그 목록 조회 (기간/게이트 필터)</t>
  </si>
  <si>
    <t>날짜 범위, 게이트 필터, 검색</t>
  </si>
  <si>
    <t>기간, 게이트명, 검색어</t>
  </si>
  <si>
    <t>출입 로그 테이블</t>
  </si>
  <si>
    <t>로그 없을 시 빈 상태</t>
  </si>
  <si>
    <t>API-117</t>
  </si>
  <si>
    <t>수업 CRUD</t>
  </si>
  <si>
    <t>수업 등록/수정/삭제 + 강사 배정</t>
  </si>
  <si>
    <t>1)수업명/유형/강사/정원/시간/색상 입력 2)수업 목록 테이블</t>
  </si>
  <si>
    <t>수업명,유형,강사ID,정원,시간,색상</t>
  </si>
  <si>
    <t>수업 목록</t>
  </si>
  <si>
    <t>정원은 1 이상</t>
  </si>
  <si>
    <t>수업 삭제 시 연결된 일정 확인</t>
  </si>
  <si>
    <t>Supabase lessons CRUD</t>
  </si>
  <si>
    <t>API-070</t>
  </si>
  <si>
    <t>수업 일정 관리</t>
  </si>
  <si>
    <t>수업 일정 생성/예약/출석 처리</t>
  </si>
  <si>
    <t>1)일정 생성(수업/시간/정원) 2)회원 예약 3)출석/노쇼 처리</t>
  </si>
  <si>
    <t>lessonId,시작시간,종료시간</t>
  </si>
  <si>
    <t>일정 목록,예약 목록</t>
  </si>
  <si>
    <t>예약은 정원 초과 불가</t>
  </si>
  <si>
    <t>정원 초과 시 대기열 안내</t>
  </si>
  <si>
    <t>FullCalendar 연동</t>
  </si>
  <si>
    <t>API-071</t>
  </si>
  <si>
    <t>횟수 차감</t>
  </si>
  <si>
    <t>수강권 횟수 차감 + 이력 관리</t>
  </si>
  <si>
    <t>1)1회 차감 버튼 2)차감 이력 조회 3)잔여횟수 표시</t>
  </si>
  <si>
    <t>lessonCountId</t>
  </si>
  <si>
    <t>차감 이력</t>
  </si>
  <si>
    <t>잔여 0이면 차감 불가</t>
  </si>
  <si>
    <t>잔여 횟수 0: 차감 불가 안내</t>
  </si>
  <si>
    <t>usedCount 업데이트</t>
  </si>
  <si>
    <t>API-072</t>
  </si>
  <si>
    <t>노쇼/지각 페널티 등록/삭제</t>
  </si>
  <si>
    <t>1)회원검색 2)유형선택 3)차감횟수 입력</t>
  </si>
  <si>
    <t>memberId,유형,차감횟수,사유</t>
  </si>
  <si>
    <t>페널티 목록</t>
  </si>
  <si>
    <t>페널티 시 횟수 자동 차감</t>
  </si>
  <si>
    <t>회원 미존재 에러</t>
  </si>
  <si>
    <t>penalties CRUD</t>
  </si>
  <si>
    <t>API-073</t>
  </si>
  <si>
    <t>FN-074</t>
  </si>
  <si>
    <t>환불 처리</t>
  </si>
  <si>
    <t>환불 등록/조회/통계</t>
  </si>
  <si>
    <t>1)매출건 선택 2)환불금액/사유 입력 3)환불 통계</t>
  </si>
  <si>
    <t>saleId,환불금액,환불방법,사유</t>
  </si>
  <si>
    <t>환불 목록,통계</t>
  </si>
  <si>
    <t>환불액은 결제액 초과 불가</t>
  </si>
  <si>
    <t>원 결제건 없음 에러</t>
  </si>
  <si>
    <t>refunds CRUD</t>
  </si>
  <si>
    <t>API-074</t>
  </si>
  <si>
    <t>FN-075</t>
  </si>
  <si>
    <t>미수금 등록/상태변경/추적</t>
  </si>
  <si>
    <t>1)미수금 목록 2)상태변경(미결제→완료) 3)메모 편집</t>
  </si>
  <si>
    <t>unpaidId,상태,메모</t>
  </si>
  <si>
    <t>미수금 목록,통계</t>
  </si>
  <si>
    <t>30일 초과 시 연체 처리</t>
  </si>
  <si>
    <t>이미 완료된 건 변경 불가</t>
  </si>
  <si>
    <t>unpaid CRUD</t>
  </si>
  <si>
    <t>API-075</t>
  </si>
  <si>
    <t>FN-076</t>
  </si>
  <si>
    <t>상품별/결제수단별/종목별 분석</t>
  </si>
  <si>
    <t>1)기간 필터 2)상품별 바차트 3)결제수단 파이차트</t>
  </si>
  <si>
    <t>기간,브랜치ID</t>
  </si>
  <si>
    <t>통계 데이터,차트</t>
  </si>
  <si>
    <t>기간 필수</t>
  </si>
  <si>
    <t>데이터 없음 시 빈 차트</t>
  </si>
  <si>
    <t>SVG 도넛+Tailwind 바 차트</t>
  </si>
  <si>
    <t>API-076</t>
  </si>
  <si>
    <t>FN-077</t>
  </si>
  <si>
    <t>운동복 재고/대여/반납/세탁</t>
  </si>
  <si>
    <t>1)운동복 등록 2)상태변경 3)대여/반납</t>
  </si>
  <si>
    <t>번호,사이즈,타입</t>
  </si>
  <si>
    <t>운동복 목록</t>
  </si>
  <si>
    <t>대여 시 회원ID 필수</t>
  </si>
  <si>
    <t>중복 번호 등록 방지</t>
  </si>
  <si>
    <t>clothing CRUD</t>
  </si>
  <si>
    <t>API-077</t>
  </si>
  <si>
    <t>FN-078</t>
  </si>
  <si>
    <t>뉴스피드/알림센터</t>
  </si>
  <si>
    <t>CRM 활동 알림 타임라인</t>
  </si>
  <si>
    <t>1)최근 알림 조회 2)읽음 처리 3)미읽 배지</t>
  </si>
  <si>
    <t>branchId</t>
  </si>
  <si>
    <t>알림 목록,미읽수</t>
  </si>
  <si>
    <t>최근 50건 표시</t>
  </si>
  <si>
    <t>알림 없음 시 빈 상태</t>
  </si>
  <si>
    <t>우측 퀵메뉴 패널</t>
  </si>
  <si>
    <t>API-078</t>
  </si>
  <si>
    <t>FN-079</t>
  </si>
  <si>
    <t>홀딩/연장/양도</t>
  </si>
  <si>
    <t>이용권 홀딩/연장/양도 처리</t>
  </si>
  <si>
    <t>1)홀딩(시작일/종료일/사유) 2)연장(추가일수) 3)양도(대상회원)</t>
  </si>
  <si>
    <t>memberId,productId,사유</t>
  </si>
  <si>
    <t>이력 목록</t>
  </si>
  <si>
    <t>홀딩 중 재홀딩 불가</t>
  </si>
  <si>
    <t>활성 이용권 없으면 불가</t>
  </si>
  <si>
    <t>member_holdings/extensions/transfer_logs</t>
  </si>
  <si>
    <t>API-079</t>
  </si>
  <si>
    <t>FN-080</t>
  </si>
  <si>
    <t>상품타입 분리</t>
  </si>
  <si>
    <t>회원권/수강권/대여권/일반 타입 분리</t>
  </si>
  <si>
    <t>1)타입탭 2)현금가/카드가 분리 3)종목/태그/키오스크</t>
  </si>
  <si>
    <t>productType,cashPrice,cardPrice</t>
  </si>
  <si>
    <t>상품목록</t>
  </si>
  <si>
    <t>타입 필수선택</t>
  </si>
  <si>
    <t>기존 상품 마이그레이션</t>
  </si>
  <si>
    <t>productType 컬럼</t>
  </si>
  <si>
    <t>API-050</t>
  </si>
  <si>
    <t>API명</t>
  </si>
  <si>
    <t>Method</t>
  </si>
  <si>
    <t>엔드포인트</t>
  </si>
  <si>
    <t>Request Headers</t>
  </si>
  <si>
    <t>Request Body</t>
  </si>
  <si>
    <t>Response (성공)</t>
  </si>
  <si>
    <t>Response (실패)</t>
  </si>
  <si>
    <t>인증 필요</t>
  </si>
  <si>
    <t>POST</t>
  </si>
  <si>
    <t>이메일/비밀번호 로그인 인증</t>
  </si>
  <si>
    <t>Content-Type: application/json</t>
  </si>
  <si>
    <t>{
  "email": "string (username@spogym.local)",
  "password": "string"
}
* Supabase Auth signInWithPassword 사용
* Auth 실패 시 기존 평문 비밀번호 fallback</t>
  </si>
  <si>
    <t>{
  "token": "supabase_access_token",
  "user": { id, username, name, role, branchId }
}</t>
  </si>
  <si>
    <t>{
  "error": "INVALID_CREDENTIALS",
  "message": "이메일 또는 비밀번호가 올바르지 않습니다"
}</t>
  </si>
  <si>
    <t>Supabase Auth 전환 (2026-03-12). signInWithPassword + 평문 fallback.</t>
  </si>
  <si>
    <t>API-002</t>
  </si>
  <si>
    <t>로그아웃</t>
  </si>
  <si>
    <t>/api/v1/auth/logout</t>
  </si>
  <si>
    <t>세션 종료 및 토큰 무효화</t>
  </si>
  <si>
    <t>Authorization: Bearer {token}</t>
  </si>
  <si>
    <t>{
  "message": "로그아웃 되었습니다"
}</t>
  </si>
  <si>
    <t>{
  "error": "UNAUTHORIZED",
  "message": "인증이 필요합니다"
}</t>
  </si>
  <si>
    <t>supabase.auth.signOut() 실제 호출 구현 (2026-03-12)</t>
  </si>
  <si>
    <t>대시보드 통계</t>
  </si>
  <si>
    <t>GET</t>
  </si>
  <si>
    <t>지점별 대시보드 핵심 KPI 조회</t>
  </si>
  <si>
    <t>{
  "totalMembers": 450,
  "activeMembers": 320,
  "expiringMembers": 25,
  "expiredMembers": 105,
  "monthlySales": 15000000,
  "todayAttendance": 87
}</t>
  </si>
  <si>
    <t>{
  "error": "SERVER_ERROR",
  "message": "데이터를 불러올 수 없습니다"
}</t>
  </si>
  <si>
    <t>생일 회원 조회</t>
  </si>
  <si>
    <t>오늘 생일인 회원 목록 조회</t>
  </si>
  <si>
    <t>{
  "members": [
    {"id": 1, "name": "김회원", "phone": "010-1234-5678"}
  ]
}</t>
  </si>
  <si>
    <t>미납 회원 조회</t>
  </si>
  <si>
    <t>미납 내역이 있는 회원 목록 조회</t>
  </si>
  <si>
    <t>{
  "members": [
    {"id": 2, "name": "이회원", "unpaidAmount": 150000}
  ]
}</t>
  </si>
  <si>
    <t>{
  "error": "SERVER_ERROR",
  "message": "조회 실패"
}</t>
  </si>
  <si>
    <t>만료예정 회원 조회</t>
  </si>
  <si>
    <t>7일 내 이용권 만료 예정 회원 조회</t>
  </si>
  <si>
    <t>{
  "members": [
    {"id": 3, "name": "박회원", "expiryDate": "2026-03-18", "dDay": -7}
  ]
}</t>
  </si>
  <si>
    <t>회원 목록 조회</t>
  </si>
  <si>
    <t>회원 목록 조회 (검색/필터/페이지네이션)</t>
  </si>
  <si>
    <t>Query: ?search=&amp;status=&amp;gender=&amp;manager_id=&amp;page=1&amp;size=20&amp;sort=name&amp;order=asc</t>
  </si>
  <si>
    <t>{
  "data": [
    {"id": 1, "name": "김회원", "phone": "010-1234-5678", "status": "active", "gender": "M"}
  ],
  "pagination": {"page": 1, "size": 20, "total": 450}
}</t>
  </si>
  <si>
    <t>{
  "error": "FORBIDDEN",
  "message": "접근 권한이 없습니다"
}</t>
  </si>
  <si>
    <t>회원 상세 정보 조회 (프로필+이용권+출석+결제+체성분+메모)</t>
  </si>
  <si>
    <t>{
  "profile": {"id": 1, "name": "김회원", ...},
  "tickets": [...],
  "attendance": [...],
  "payments": [...],
  "bodyComposition": [...],
  "memos": [...]
}</t>
  </si>
  <si>
    <t>{
  "error": "NOT_FOUND",
  "message": "회원을 찾을 수 없습니다"
}</t>
  </si>
  <si>
    <t>Authorization: Bearer {token}
Content-Type: application/json</t>
  </si>
  <si>
    <t>{
  "name": "string",
  "gender": "M|F",
  "birthDate": "YYYY-MM-DD",
  "phone": "string",
  "email": "string",
  "address": "string",
  "memo": "string",
  "managerId": "number"
}</t>
  </si>
  <si>
    <t>{
  "id": 1,
  "name": "김회원",
  "status": "active",
  "createdAt": "2026-03-11T00:00:00Z"
}</t>
  </si>
  <si>
    <t>{
  "error": "DUPLICATE_PHONE",
  "message": "이미 등록된 연락처입니다"
}</t>
  </si>
  <si>
    <t>PUT</t>
  </si>
  <si>
    <t>{
  "name": "string",
  "phone": "string",
  "email": "string",
  "address": "string",
  "memo": "string",
  "managerId": "number"
}</t>
  </si>
  <si>
    <t>{
  "id": 1,
  "name": "김회원(수정)",
  "updatedAt": "2026-03-11T00:00:00Z"
}</t>
  </si>
  <si>
    <t>API-011</t>
  </si>
  <si>
    <t>회원 삭제</t>
  </si>
  <si>
    <t>DELETE</t>
  </si>
  <si>
    <t>회원 삭제 (소프트 삭제)</t>
  </si>
  <si>
    <t>{
  "message": "회원이 삭제되었습니다"
}</t>
  </si>
  <si>
    <t>{
  "error": "FORBIDDEN",
  "message": "삭제 권한이 없습니다"
}</t>
  </si>
  <si>
    <t>API-012</t>
  </si>
  <si>
    <t>회원 통계 요약</t>
  </si>
  <si>
    <t>/api/v1/members/stats/summary</t>
  </si>
  <si>
    <t>회원 상태별 통계 요약</t>
  </si>
  <si>
    <t>{
  "total": 450,
  "active": 320,
  "expired": 105,
  "suspended": 15,
  "withdrawn": 10
}</t>
  </si>
  <si>
    <t>{
  "error": "SERVER_ERROR",
  "message": "통계 조회 실패"
}</t>
  </si>
  <si>
    <t>회원 출석 기록 조회</t>
  </si>
  <si>
    <t>Query: ?startDate=&amp;endDate=&amp;type=&amp;page=1&amp;size=50</t>
  </si>
  <si>
    <t>{
  "data": [
    {"id": 1, "memberId": 1, "memberName": "김회원", "type": "normal", "inTime": "2026-03-11T09:00:00"}
  ],
  "pagination": {...}
}</t>
  </si>
  <si>
    <t>API-014</t>
  </si>
  <si>
    <t>출석 등록</t>
  </si>
  <si>
    <t>출석 체크인/체크아웃 등록</t>
  </si>
  <si>
    <t>{
  "memberId": "number",
  "type": "normal|pt|gx",
  "status": "checkIn|checkOut"
}</t>
  </si>
  <si>
    <t>{
  "id": 1,
  "memberId": 1,
  "inTime": "2026-03-11T09:00:00",
  "visitCount": 45
}</t>
  </si>
  <si>
    <t>{
  "error": "ALREADY_CHECKED_IN",
  "message": "이미 출석 처리되었습니다"
}</t>
  </si>
  <si>
    <t>매출 내역 조회 (기간/유형/상태 필터)</t>
  </si>
  <si>
    <t>Query: ?startDate=&amp;endDate=&amp;type=&amp;status=&amp;page=1&amp;size=20</t>
  </si>
  <si>
    <t>{
  "data": [
    {"id": 1, "date": "2026-03-11", "productName": "3개월 이용권", "amount": 300000, "paymentMethod": "card"}
  ],
  "pagination": {...}
}</t>
  </si>
  <si>
    <t>{
  "error": "FORBIDDEN",
  "message": "매출 조회 권한이 없습니다"
}</t>
  </si>
  <si>
    <t>매출 등록 (결제)</t>
  </si>
  <si>
    <t>POS 결제 처리 및 매출 등록</t>
  </si>
  <si>
    <t>{
  "memberId": "number",
  "items": [{"productId": 1, "quantity": 1}],
  "paymentMethod": "cash|card|mileage|mixed",
  "cashAmount": 0,
  "cardAmount": 300000,
  "mileageAmount": 0
}</t>
  </si>
  <si>
    <t>{
  "saleId": 1,
  "totalAmount": 300000,
  "receiptNo": "R20260311001"
}</t>
  </si>
  <si>
    <t>{
  "error": "PAYMENT_FAILED",
  "message": "결제에 실패했습니다"
}</t>
  </si>
  <si>
    <t>매출 통계 요약</t>
  </si>
  <si>
    <t>매출 통계 요약 (총매출/현금/카드/마일리지)</t>
  </si>
  <si>
    <t>Query: ?startDate=&amp;endDate=</t>
  </si>
  <si>
    <t>{
  "totalSales": 15000000,
  "cashSales": 3000000,
  "cardSales": 11000000,
  "mileageSales": 1000000,
  "refundTotal": 500000
}</t>
  </si>
  <si>
    <t>상품 목록 조회 (카테고리/상태 필터)</t>
  </si>
  <si>
    <t>Query: ?category=&amp;status=</t>
  </si>
  <si>
    <t>{
  "data": [
    {"id": 1, "name": "3개월 이용권", "category": "membership", "cashPrice": 280000, "cardPrice": 300000, "status": "active"}
  ]
}</t>
  </si>
  <si>
    <t>신규 상품 등록</t>
  </si>
  <si>
    <t>{
  "category": "membership|pt|gx|etc",
  "name": "string",
  "cashPrice": "number",
  "cardPrice": "number",
  "period": "number (days)",
  "kioskExposure": "boolean"
}</t>
  </si>
  <si>
    <t>{
  "id": 1,
  "name": "3개월 이용권",
  "createdAt": "2026-03-11"
}</t>
  </si>
  <si>
    <t>{
  "error": "DUPLICATE_NAME",
  "message": "동일 카테고리에 같은 상품명이 있습니다"
}</t>
  </si>
  <si>
    <t>락커 목록 조회</t>
  </si>
  <si>
    <t>구역별 락커 현황 조회</t>
  </si>
  <si>
    <t>Query: ?area=A</t>
  </si>
  <si>
    <t>{
  "data": [
    {"id": 1, "number": "A-001", "area": "A", "status": "available", "memberId": null}
  ]
}</t>
  </si>
  <si>
    <t>락커 배정/해제</t>
  </si>
  <si>
    <t>PATCH</t>
  </si>
  <si>
    <t>락커 배정 또는 해제</t>
  </si>
  <si>
    <t>{
  "action": "assign|release",
  "memberId": "number",
  "expiryDate": "YYYY-MM-DD"
}</t>
  </si>
  <si>
    <t>{
  "id": 1,
  "number": "A-001",
  "status": "occupied",
  "memberId": 1
}</t>
  </si>
  <si>
    <t>{
  "error": "ALREADY_ASSIGNED",
  "message": "이미 사용중인 락커입니다"
}</t>
  </si>
  <si>
    <t>직원 목록 조회 (역할/상태 필터)</t>
  </si>
  <si>
    <t>Query: ?search=&amp;role=&amp;status=</t>
  </si>
  <si>
    <t>{
  "data": [
    {"id": 1, "name": "박트레이너", "role": "fc", "status": "active", "contact": "010-9999-8888"}
  ]
}</t>
  </si>
  <si>
    <t>{
  "error": "FORBIDDEN",
  "message": "직원 조회 권한이 없습니다"
}</t>
  </si>
  <si>
    <t>신규 직원 등록</t>
  </si>
  <si>
    <t>{
  "name": "string",
  "gender": "M|F",
  "contact": "string",
  "role": "center_manager|manager|fc|staff",
  "joinDate": "YYYY-MM-DD",
  "workType": "full|part"
}</t>
  </si>
  <si>
    <t>{
  "id": 1,
  "name": "박트레이너",
  "adminId": "auto_generated_id"
}</t>
  </si>
  <si>
    <t>{
  "error": "DUPLICATE_EMAIL",
  "message": "이미 등록된 이메일입니다"
}</t>
  </si>
  <si>
    <t>API-024</t>
  </si>
  <si>
    <t>직원 수정</t>
  </si>
  <si>
    <t>/api/v1/staff/:id</t>
  </si>
  <si>
    <t>직원 정보 수정</t>
  </si>
  <si>
    <t>{
  "name": "string",
  "contact": "string",
  "role": "string",
  "status": "active|leave|resigned"
}</t>
  </si>
  <si>
    <t>{
  "id": 1,
  "name": "박트레이너(수정)",
  "updatedAt": "2026-03-11"
}</t>
  </si>
  <si>
    <t>{
  "error": "NOT_FOUND",
  "message": "직원을 찾을 수 없습니다"
}</t>
  </si>
  <si>
    <t>API-025</t>
  </si>
  <si>
    <t>직원 삭제</t>
  </si>
  <si>
    <t>직원 삭제 (소프트 삭제)</t>
  </si>
  <si>
    <t>{
  "message": "직원이 삭제되었습니다"
}</t>
  </si>
  <si>
    <t>API-026</t>
  </si>
  <si>
    <t>직원 출근부 조회</t>
  </si>
  <si>
    <t>/api/v1/staff/attendance</t>
  </si>
  <si>
    <t>직원 출퇴근 기록 조회</t>
  </si>
  <si>
    <t>Query: ?staffId=&amp;yearMonth=2026-03</t>
  </si>
  <si>
    <t>{
  "data": [
    {"date": "2026-03-11", "staffId": 1, "checkIn": "09:00", "checkOut": "18:00", "status": "present"}
  ]
}</t>
  </si>
  <si>
    <t>시스템 초기화</t>
  </si>
  <si>
    <t>지점 데이터 초기화 (개발/테스트용)</t>
  </si>
  <si>
    <t>{
  "branchId": "number",
  "confirmPassword": "string",
  "targets": ["members","sales","attendance"]
}</t>
  </si>
  <si>
    <t>{
  "message": "데이터가 초기화되었습니다",
  "resetTargets": ["members","sales","attendance"]
}</t>
  </si>
  <si>
    <t>{
  "error": "INVALID_PASSWORD",
  "message": "비밀번호가 올바르지 않습니다"
}</t>
  </si>
  <si>
    <t>API-030</t>
  </si>
  <si>
    <t>매출 목록 조회</t>
  </si>
  <si>
    <t>매출 목록 조회. 기간/회원 필터, 페이지네이션</t>
  </si>
  <si>
    <t>Query: page, size, startDate, endDate, memberId</t>
  </si>
  <si>
    <t>{
  "data": [Sale[]],
  "pagination": {...}
}</t>
  </si>
  <si>
    <t>{
  "error": "SERVER_ERROR"
}</t>
  </si>
  <si>
    <t>매출 관리</t>
  </si>
  <si>
    <t>saleDate desc 정렬, branchId 필터</t>
  </si>
  <si>
    <t>API-031</t>
  </si>
  <si>
    <t>매출 상세 조회</t>
  </si>
  <si>
    <t>/api/v1/sales/{id}</t>
  </si>
  <si>
    <t>매출 단건 상세 조회</t>
  </si>
  <si>
    <t>Path: id</t>
  </si>
  <si>
    <t>{
  "data": Sale
}</t>
  </si>
  <si>
    <t>{
  "error": "NOT_FOUND"
}</t>
  </si>
  <si>
    <t>supabase.from("sales").eq("id").single()</t>
  </si>
  <si>
    <t>API-032</t>
  </si>
  <si>
    <t>매출 등록</t>
  </si>
  <si>
    <t>새 매출 등록. saleDate 미전달 시 현재 시각, status 기본 COMPLETED</t>
  </si>
  <si>
    <t>{
  "memberId": "number (필수)",
  "productId": "number (필수)",
  "amount": "number (필수)",
  "paymentMethod": "CARD|CASH|TRANSFER|MILEAGE (필수)",
  ... (memberName, productName, salePrice, discountPrice, cash, card, mileageUsed, cardCompany, cardNumber, approvalNo, unpaid, staffId, staffName, memo, saleDate)
}</t>
  </si>
  <si>
    <t>{
  "data": Sale,
  "message": "매출이 등록되었습니다."
}</t>
  </si>
  <si>
    <t>{
  "error": "CREATE_FAILED"
}</t>
  </si>
  <si>
    <t>branchId 자동 설정</t>
  </si>
  <si>
    <t>API-033</t>
  </si>
  <si>
    <t>매출 수정</t>
  </si>
  <si>
    <t>매출 부분 수정</t>
  </si>
  <si>
    <t>Path: id
Body: Partial&lt;SaleRequest&gt;</t>
  </si>
  <si>
    <t>{
  "data": Sale,
  "message": "매출이 수정되었습니다."
}</t>
  </si>
  <si>
    <t>{
  "error": "UPDATE_FAILED"
}</t>
  </si>
  <si>
    <t>API-034</t>
  </si>
  <si>
    <t>매출 삭제</t>
  </si>
  <si>
    <t>매출 삭제 (hard delete)</t>
  </si>
  <si>
    <t>{
  "message": "매출이 삭제되었습니다."
}</t>
  </si>
  <si>
    <t>{
  "error": "DELETE_FAILED"
}</t>
  </si>
  <si>
    <t>hard delete (실제 행 삭제)</t>
  </si>
  <si>
    <t>API-035</t>
  </si>
  <si>
    <t>매출 통계 조회</t>
  </si>
  <si>
    <t>/api/v1/sales/stats</t>
  </si>
  <si>
    <t>매출 통계 (전체금액/건수/월별금액/건수/결제수단별). 기간 필터 지원</t>
  </si>
  <si>
    <t>Query: startDate, endDate</t>
  </si>
  <si>
    <t>{
  "data": {
    "totalAmount": 50000000,
    "totalCount": 350,
    "monthlyAmount": 15000000,
    "monthlyCount": 120,
    "byPaymentMethod": {"CARD": 10000000, "CASH": 3000000, ...}
  }
}</t>
  </si>
  <si>
    <t>2개 쿼리(전체+월별) 순차 실행, reduce로 합산</t>
  </si>
  <si>
    <t>API-040</t>
  </si>
  <si>
    <t>상품 목록 조회. 카테고리/활성 필터, 페이지네이션</t>
  </si>
  <si>
    <t>Query: page, size(기본50), category, isActive</t>
  </si>
  <si>
    <t>{
  "data": [Product[]],
  "pagination": {...}
}</t>
  </si>
  <si>
    <t>상품 조회</t>
  </si>
  <si>
    <t>name asc 정렬, branchId 필터</t>
  </si>
  <si>
    <t>API-041</t>
  </si>
  <si>
    <t>상품 상세 조회</t>
  </si>
  <si>
    <t>/api/v1/products/{id}</t>
  </si>
  <si>
    <t>상품 단건 조회</t>
  </si>
  <si>
    <t>{
  "data": Product
}</t>
  </si>
  <si>
    <t>API-042</t>
  </si>
  <si>
    <t>{
  "name": "string (필수)",
  "category": "PT|MEMBERSHIP|GX|PRODUCT|SERVICE (필수)",
  "price": "number (필수)",
  "duration?": "number",
  "sessions?": "number",
  "description?": "string",
  "isActive?": "boolean (기본true)"
}</t>
  </si>
  <si>
    <t>{
  "data": Product,
  "message": "상품이 등록되었습니다."
}</t>
  </si>
  <si>
    <t>isActive 기본 true, branchId 자동</t>
  </si>
  <si>
    <t>API-043</t>
  </si>
  <si>
    <t>상품 수정</t>
  </si>
  <si>
    <t>상품 부분 수정</t>
  </si>
  <si>
    <t>Path: id
Body: Partial&lt;ProductRequest&gt;</t>
  </si>
  <si>
    <t>{
  "data": Product,
  "message": "상품이 수정되었습니다."
}</t>
  </si>
  <si>
    <t>API-044</t>
  </si>
  <si>
    <t>상품 삭제</t>
  </si>
  <si>
    <t>상품 삭제 (hard delete)</t>
  </si>
  <si>
    <t>{
  "message": "상품이 삭제되었습니다."
}</t>
  </si>
  <si>
    <t>hard delete</t>
  </si>
  <si>
    <t>락커 목록 조회. 상태 필터, 페이지네이션</t>
  </si>
  <si>
    <t>Query: page, size(기본50), status</t>
  </si>
  <si>
    <t>{
  "data": [Locker[]],
  "pagination": {...}
}</t>
  </si>
  <si>
    <t>{
  "error": "SERVER_ERROR",
  "message": "락커 목록 조회에 실패했습니다."
}</t>
  </si>
  <si>
    <t>락커 조회</t>
  </si>
  <si>
    <t>number asc 정렬, branchId=1</t>
  </si>
  <si>
    <t>API-051</t>
  </si>
  <si>
    <t>락커 배정</t>
  </si>
  <si>
    <t>/api/v1/lockers/{id}/assign</t>
  </si>
  <si>
    <t>락커 배정. 회원+만료일 설정, status=IN_USE</t>
  </si>
  <si>
    <t>{
  "lockerId": "number (필수)",
  "memberId": "number (필수)",
  "memberName": "string (필수)",
  "expiresAt": "string (필수)"
}</t>
  </si>
  <si>
    <t>{
  "data": Locker,
  "message": "락커가 배정되었습니다."
}</t>
  </si>
  <si>
    <t>{
  "error": "ASSIGN_FAILED",
  "message": "락커 배정에 실패했습니다."
}</t>
  </si>
  <si>
    <t>assignedAt 자동 설정</t>
  </si>
  <si>
    <t>API-052</t>
  </si>
  <si>
    <t>락커 반납</t>
  </si>
  <si>
    <t>/api/v1/lockers/{id}/release</t>
  </si>
  <si>
    <t>락커 반납. 회원/날짜 정보 null, status=AVAILABLE</t>
  </si>
  <si>
    <t>{
  "data": Locker,
  "message": "락커가 반납되었습니다."
}</t>
  </si>
  <si>
    <t>{
  "error": "RELEASE_FAILED",
  "message": "락커 반납에 실패했습니다."
}</t>
  </si>
  <si>
    <t>memberId/memberName/assignedAt/expiresAt null 처리</t>
  </si>
  <si>
    <t>API-053</t>
  </si>
  <si>
    <t>락커 상태 변경</t>
  </si>
  <si>
    <t>/api/v1/lockers/{id}/status</t>
  </si>
  <si>
    <t>락커 상태 변경 (점검/사용가능 등)</t>
  </si>
  <si>
    <t>{
  "status": "AVAILABLE|IN_USE|MAINTENANCE"
}</t>
  </si>
  <si>
    <t>{
  "data": Locker,
  "message": "락커 상태가 변경되었습니다."
}</t>
  </si>
  <si>
    <t>{
  "error": "UPDATE_FAILED",
  "message": "락커 상태 변경에 실패했습니다."
}</t>
  </si>
  <si>
    <t>락커 상태변경</t>
  </si>
  <si>
    <t>API-060</t>
  </si>
  <si>
    <t>직원 목록 조회. 역할/활성 필터, 페이지네이션</t>
  </si>
  <si>
    <t>Query: page, size, role, isActive</t>
  </si>
  <si>
    <t>{
  "data": [Staff[]],
  "pagination": {...}
}</t>
  </si>
  <si>
    <t>{
  "error": "SERVER_ERROR",
  "message": "직원 목록 조회에 실패했습니다."
}</t>
  </si>
  <si>
    <t>직원 조회</t>
  </si>
  <si>
    <t>name asc 정렬, branchId=1</t>
  </si>
  <si>
    <t>API-061</t>
  </si>
  <si>
    <t>직원 단건 조회</t>
  </si>
  <si>
    <t>/api/v1/staff/{id}</t>
  </si>
  <si>
    <t>직원 ID로 상세 조회</t>
  </si>
  <si>
    <t>{
  "data": Staff
}</t>
  </si>
  <si>
    <t>{
  "error": "NOT_FOUND",
  "message": "직원 조회에 실패했습니다."
}</t>
  </si>
  <si>
    <t>API-062</t>
  </si>
  <si>
    <t>{
  "name": "string (필수)",
  "phone": "string (필수)",
  "role": "string (필수)",
  "position": "string (필수)",
  "hireDate": "string (필수)",
  "email?": "string",
  "salary?": "number",
  "color?": "string"
}</t>
  </si>
  <si>
    <t>{
  "data": Staff,
  "message": "직원이 등록되었습니다."
}</t>
  </si>
  <si>
    <t>{
  "error": "CREATE_FAILED",
  "message": "직원 등록에 실패했습니다."
}</t>
  </si>
  <si>
    <t>isActive=true, branchId=1 자동</t>
  </si>
  <si>
    <t>API-063</t>
  </si>
  <si>
    <t>직원 정보 부분 수정</t>
  </si>
  <si>
    <t>Path: id
Body: Partial&lt;StaffRequest&gt;</t>
  </si>
  <si>
    <t>{
  "data": Staff,
  "message": "직원 정보가 수정되었습니다."
}</t>
  </si>
  <si>
    <t>{
  "error": "UPDATE_FAILED",
  "message": "직원 수정에 실패했습니다."
}</t>
  </si>
  <si>
    <t>API-064</t>
  </si>
  <si>
    <t>직원 비활성화 (isActive=false)</t>
  </si>
  <si>
    <t>{
  "message": "직원이 삭제되었습니다."
}</t>
  </si>
  <si>
    <t>{
  "error": "DELETE_FAILED",
  "message": "직원 삭제에 실패했습니다."
}</t>
  </si>
  <si>
    <t>soft delete: isActive=false</t>
  </si>
  <si>
    <t>급여 목록 조회</t>
  </si>
  <si>
    <t>/api/v1/payroll</t>
  </si>
  <si>
    <t>급여 목록 조회. 년/월/직원 필터, 페이지네이션</t>
  </si>
  <si>
    <t>Query: page, size, year, month, staffId</t>
  </si>
  <si>
    <t>{
  "data": [Payroll[]],
  "pagination": {...}
}</t>
  </si>
  <si>
    <t>{
  "error": "SERVER_ERROR",
  "message": "급여 목록 조회에 실패했습니다."
}</t>
  </si>
  <si>
    <t>급여 조회</t>
  </si>
  <si>
    <t>year desc, month desc 정렬</t>
  </si>
  <si>
    <t>급여 명세서 조회</t>
  </si>
  <si>
    <t>/api/v1/payroll/{id}/statement</t>
  </si>
  <si>
    <t>급여 명세서 상세 조회. payroll + details(JSON 배열)</t>
  </si>
  <si>
    <t>Path: payrollId</t>
  </si>
  <si>
    <t>{
  "data": {
    "payroll": Payroll,
    "details": [PayrollDetail[]]
  }
}</t>
  </si>
  <si>
    <t>{
  "error": "NOT_FOUND",
  "message": "급여 명세서 조회에 실패했습니다."
}</t>
  </si>
  <si>
    <t>급여 명세서</t>
  </si>
  <si>
    <t>details: JSON 배열 파싱</t>
  </si>
  <si>
    <t>급여 등록</t>
  </si>
  <si>
    <t>새 급여 데이터 등록. netSalary 자동 계산(baseSalary+bonus-deduction)</t>
  </si>
  <si>
    <t>{
  "staffId": "number (필수)",
  "staffName": "string (필수)",
  "year": "number (필수)",
  "month": "number (필수)",
  "baseSalary": "number (필수)",
  "bonus?": "number",
  "deduction?": "number",
  "details?": "PayrollDetail[]"
}</t>
  </si>
  <si>
    <t>{
  "data": Payroll,
  "message": "급여가 등록되었습니다."
}</t>
  </si>
  <si>
    <t>{
  "error": "CREATE_FAILED",
  "message": "급여 등록에 실패했습니다."
}</t>
  </si>
  <si>
    <t>netSalary = baseSalary + bonus - deduction, status=PENDING</t>
  </si>
  <si>
    <t>급여 지급 처리</t>
  </si>
  <si>
    <t>/api/v1/payroll/{id}/process</t>
  </si>
  <si>
    <t>급여 지급 처리. status=PAID, paidAt=now</t>
  </si>
  <si>
    <t>{
  "data": Payroll,
  "message": "급여가 지급 처리되었습니다."
}</t>
  </si>
  <si>
    <t>{
  "error": "PROCESS_FAILED",
  "message": "급여 지급 처리에 실패했습니다."
}</t>
  </si>
  <si>
    <t>급여 지급</t>
  </si>
  <si>
    <t>status: PENDING→PAID, paidAt 자동 설정</t>
  </si>
  <si>
    <t>API-080</t>
  </si>
  <si>
    <t>/api/v1/messages/send</t>
  </si>
  <si>
    <t>메시지 발송 (SMS/카카오/푸시). 예약 발송 지원</t>
  </si>
  <si>
    <t>{
  "type": "SMS|KAKAO|PUSH (필수)",
  "recipients": "string[] (필수)",
  "content": "string (필수)",
  "title?": "string",
  "scheduledAt?": "string (예약시간)"
}</t>
  </si>
  <si>
    <t>{
  "data": Message,
  "message": "메시지가 발송되었습니다." | "메시지가 예약되었습니다."
}</t>
  </si>
  <si>
    <t>{
  "error": "SEND_FAILED",
  "message": "error.message"
}</t>
  </si>
  <si>
    <t>scheduledAt 있으면 SCHEDULED, 없으면 SENT + sentAt=now</t>
  </si>
  <si>
    <t>API-081</t>
  </si>
  <si>
    <t>메시지 이력 조회</t>
  </si>
  <si>
    <t>/api/v1/messages/history</t>
  </si>
  <si>
    <t>메시지 발송 이력 조회. 유형/기간 필터, 페이지네이션</t>
  </si>
  <si>
    <t>Query: page, size(기본10), type, startDate, endDate</t>
  </si>
  <si>
    <t>{
  "data": [Message[]],
  "pagination": {...}
}</t>
  </si>
  <si>
    <t>{
  "error": "SERVER_ERROR",
  "message": "error.message"
}</t>
  </si>
  <si>
    <t>메시지 이력</t>
  </si>
  <si>
    <t>sentAt desc 정렬, branchId 필터</t>
  </si>
  <si>
    <t>API-090</t>
  </si>
  <si>
    <t>설정 조회</t>
  </si>
  <si>
    <t>/api/v1/settings</t>
  </si>
  <si>
    <t>지점 설정 조회 (영업시간/알림/회원권)</t>
  </si>
  <si>
    <t>Query: branchId (기본1)</t>
  </si>
  <si>
    <t>{
  "data": {
    "branchName": "string",
    "businessHours": {"open": "06:00", "close": "22:00", "holidays": []},
    "notifications": {"smsEnabled": false, "kakaoEnabled": false, "pushEnabled": false},
    "membership": {"autoExpireNotification": false, "expireNoticeDays": 7}
  }
}</t>
  </si>
  <si>
    <t>{
  "error": "NOT_FOUND",
  "message": "설정 데이터를 찾을 수 없습니다."
}</t>
  </si>
  <si>
    <t>maybeSingle: 데이터 없으면 null</t>
  </si>
  <si>
    <t>API-091</t>
  </si>
  <si>
    <t>설정 수정</t>
  </si>
  <si>
    <t>지점 설정 수정. 부분 업데이트 지원</t>
  </si>
  <si>
    <t>Body: Partial&lt;Settings&gt;
(branchName, businessHours.open/close/holidays, notifications.sms/kakao/push, membership.autoExpire/days)</t>
  </si>
  <si>
    <t>{
  "data": Settings,
  "message": "설정이 저장되었습니다."
}</t>
  </si>
  <si>
    <t>{
  "error": "UPDATE_FAILED",
  "message": "error.message"
}</t>
  </si>
  <si>
    <t>DB 컬럼명 매핑: centerName, businessHoursOpen/Close 등</t>
  </si>
  <si>
    <t>API-100</t>
  </si>
  <si>
    <t>지점 목록 조회 (페이지네이션)</t>
  </si>
  <si>
    <t>/api/v1/branches/paginated</t>
  </si>
  <si>
    <t>관리자용 지점 목록 조회. 페이지네이션</t>
  </si>
  <si>
    <t>Query: page, size(기본10)</t>
  </si>
  <si>
    <t>{
  "data": [BranchDetail[]],
  "pagination": {...}
}</t>
  </si>
  <si>
    <t>지점 조회</t>
  </si>
  <si>
    <t>id asc 정렬</t>
  </si>
  <si>
    <t>API-101</t>
  </si>
  <si>
    <t>지점 상세 조회</t>
  </si>
  <si>
    <t>/api/v1/branches/{id}</t>
  </si>
  <si>
    <t>지점 단건 상세 조회</t>
  </si>
  <si>
    <t>{
  "data": BranchDetail
}</t>
  </si>
  <si>
    <t>{
  "error": "NOT_FOUND",
  "message": "error.message"
}</t>
  </si>
  <si>
    <t>API-102</t>
  </si>
  <si>
    <t>지점 등록</t>
  </si>
  <si>
    <t>/api/v1/branches</t>
  </si>
  <si>
    <t>신규 지점 등록</t>
  </si>
  <si>
    <t>{
  "name": "string (필수)",
  "address": "string (필수)",
  "phone": "string (필수)",
  "status?": "string",
  "managerId?": "number",
  "managerName?": "string"
}</t>
  </si>
  <si>
    <t>{
  "data": BranchDetail,
  "message": "지점이 등록되었습니다."
}</t>
  </si>
  <si>
    <t>{
  "error": "CREATE_FAILED",
  "message": "error.message"
}</t>
  </si>
  <si>
    <t>isActive=true 자동 설정</t>
  </si>
  <si>
    <t>API-103</t>
  </si>
  <si>
    <t>지점 수정</t>
  </si>
  <si>
    <t>지점 정보 부분 수정</t>
  </si>
  <si>
    <t>Path: id
Body: Partial&lt;BranchRequest&gt;</t>
  </si>
  <si>
    <t>{
  "data": BranchDetail,
  "message": "지점 정보가 수정되었습니다."
}</t>
  </si>
  <si>
    <t>undefined 필드 제외</t>
  </si>
  <si>
    <t>/api/v1/rfid-cards</t>
  </si>
  <si>
    <t>지점별 RFID 카드 목록 조회 (페이지네이션)</t>
  </si>
  <si>
    <t>{"success":true,"data":[{"id":1,"cardNo":"RF-xxx","memberName":"홍길동",...}]}</t>
  </si>
  <si>
    <t>{"success":false,"message":"..."}</t>
  </si>
  <si>
    <t>F-052</t>
  </si>
  <si>
    <t>DB 테이블 생성 예정 (2026-03-13)</t>
  </si>
  <si>
    <t>새 RFID 카드 등록</t>
  </si>
  <si>
    <t>{"cardNo":"RF-xxx","memberId":null}</t>
  </si>
  <si>
    <t>{"success":true,"data":{"id":9,...}}</t>
  </si>
  <si>
    <t>/api/v1/rfid-cards/{id}/assign</t>
  </si>
  <si>
    <t>{"memberId":123,"userType":"회원"}</t>
  </si>
  <si>
    <t>{"success":true}</t>
  </si>
  <si>
    <t>API-113</t>
  </si>
  <si>
    <t>RFID 카드 상태 변경</t>
  </si>
  <si>
    <t>/api/v1/rfid-cards/{id}/status</t>
  </si>
  <si>
    <t>카드 상태 변경 (활성/분실/해제)</t>
  </si>
  <si>
    <t>{"status":"분실"}</t>
  </si>
  <si>
    <t>API-114</t>
  </si>
  <si>
    <t>IoT 기기 목록 조회</t>
  </si>
  <si>
    <t>/api/v1/iot-devices</t>
  </si>
  <si>
    <t>지점별 IoT 기기 목록 조회</t>
  </si>
  <si>
    <t>{"success":true,"data":[{"id":1,"name":"메인 출입구",...}]}</t>
  </si>
  <si>
    <t>F-093</t>
  </si>
  <si>
    <t>API-115</t>
  </si>
  <si>
    <t>IoT 기기 등록</t>
  </si>
  <si>
    <t>새 IoT 기기 등록</t>
  </si>
  <si>
    <t>{"name":"...","type":"출입문","ip":"...","port":8080}</t>
  </si>
  <si>
    <t>{"success":true,"data":{"id":5,...}}</t>
  </si>
  <si>
    <t>API-116</t>
  </si>
  <si>
    <t>IoT 기기 연결 테스트</t>
  </si>
  <si>
    <t>/api/v1/iot-devices/{id}/test</t>
  </si>
  <si>
    <t>기기 연결 상태 확인</t>
  </si>
  <si>
    <t>{"success":true,"status":"온라인","latency":12}</t>
  </si>
  <si>
    <t>/api/v1/access-logs</t>
  </si>
  <si>
    <t>출입 로그 목록 조회 (기간 필터)</t>
  </si>
  <si>
    <t>{"success":true,"data":[{"id":1,"memberName":"...","gate":"메인","time":"..."}]}</t>
  </si>
  <si>
    <t>수업 목록 조회</t>
  </si>
  <si>
    <t>/api/v1/lessons</t>
  </si>
  <si>
    <t>지점별 수업 목록</t>
  </si>
  <si>
    <t>{ "lessons": [...] }</t>
  </si>
  <si>
    <t>{ "error": "SERVER_ERROR" }</t>
  </si>
  <si>
    <t>수업 일정 조회</t>
  </si>
  <si>
    <t>/api/v1/lesson-schedules</t>
  </si>
  <si>
    <t>기간별 수업 일정 조회</t>
  </si>
  <si>
    <t>{ "schedules": [...] }</t>
  </si>
  <si>
    <t>횟수 조회/차감</t>
  </si>
  <si>
    <t>GET/PUT</t>
  </si>
  <si>
    <t>/api/v1/lesson-counts</t>
  </si>
  <si>
    <t>수강권 횟수 조회 및 차감</t>
  </si>
  <si>
    <t>{ "counts": [...] }</t>
  </si>
  <si>
    <t>페널티 CRUD</t>
  </si>
  <si>
    <t>GET/POST/DELETE</t>
  </si>
  <si>
    <t>/api/v1/penalties</t>
  </si>
  <si>
    <t>페널티 조회/등록/삭제</t>
  </si>
  <si>
    <t>{ "memberId": 1, "type": "NOSHOW" }</t>
  </si>
  <si>
    <t>{ "penalties": [...] }</t>
  </si>
  <si>
    <t>GET/POST</t>
  </si>
  <si>
    <t>/api/v1/refunds</t>
  </si>
  <si>
    <t>환불 조회/등록/통계</t>
  </si>
  <si>
    <t>{ "saleId": 1, "amount": 50000 }</t>
  </si>
  <si>
    <t>{ "refunds": [...] }</t>
  </si>
  <si>
    <t>GET/POST/PUT</t>
  </si>
  <si>
    <t>/api/v1/unpaid</t>
  </si>
  <si>
    <t>미수금 조회/등록/상태변경</t>
  </si>
  <si>
    <t>{ "status": "PAID" }</t>
  </si>
  <si>
    <t>{ "unpaid": [...] }</t>
  </si>
  <si>
    <t>상품별/결제수단별 매출 통계</t>
  </si>
  <si>
    <t>{ "stats": {...} }</t>
  </si>
  <si>
    <t>운동복 CRUD</t>
  </si>
  <si>
    <t>/api/v1/clothing</t>
  </si>
  <si>
    <t>운동복 조회/등록/상태변경</t>
  </si>
  <si>
    <t>{ "number": "001", "size": "M" }</t>
  </si>
  <si>
    <t>{ "items": [...] }</t>
  </si>
  <si>
    <t>뉴스피드</t>
  </si>
  <si>
    <t>/api/v1/news-feed</t>
  </si>
  <si>
    <t>알림 조회/생성/읽음처리</t>
  </si>
  <si>
    <t>{ "feed": [...] }</t>
  </si>
  <si>
    <t>/api/v1/member-holdings</t>
  </si>
  <si>
    <t>홀딩/연장/양도 이력 관리</t>
  </si>
  <si>
    <t>{ "memberId": 1, "startDate": "..." }</t>
  </si>
  <si>
    <t>{ "holdings": [...] }</t>
  </si>
  <si>
    <t>테이블명</t>
  </si>
  <si>
    <t>컬럼명</t>
  </si>
  <si>
    <t>데이터 타입</t>
  </si>
  <si>
    <t>길이</t>
  </si>
  <si>
    <t>NULL 허용</t>
  </si>
  <si>
    <t>기본값</t>
  </si>
  <si>
    <t>PK</t>
  </si>
  <si>
    <t>FK</t>
  </si>
  <si>
    <t>인덱스</t>
  </si>
  <si>
    <t>tenants</t>
  </si>
  <si>
    <t>id</t>
  </si>
  <si>
    <t>BIGINT</t>
  </si>
  <si>
    <t>테넌트 고유 ID (auto increment)</t>
  </si>
  <si>
    <t>name</t>
  </si>
  <si>
    <t>VARCHAR</t>
  </si>
  <si>
    <t>테넌트(본사) 이름</t>
  </si>
  <si>
    <t>code</t>
  </si>
  <si>
    <t>UNIQUE</t>
  </si>
  <si>
    <t>테넌트 코드 (고유)</t>
  </si>
  <si>
    <t>plan</t>
  </si>
  <si>
    <t>ENUM</t>
  </si>
  <si>
    <t>basic</t>
  </si>
  <si>
    <t>요금제 (basic/standard/premium)</t>
  </si>
  <si>
    <t>status</t>
  </si>
  <si>
    <t>active</t>
  </si>
  <si>
    <t>상태 (active/inactive/suspended)</t>
  </si>
  <si>
    <t>created_at</t>
  </si>
  <si>
    <t>DATETIME</t>
  </si>
  <si>
    <t>NOW()</t>
  </si>
  <si>
    <t>생성일시</t>
  </si>
  <si>
    <t>updated_at</t>
  </si>
  <si>
    <t>CURRENT_TIMESTAMP</t>
  </si>
  <si>
    <t>수정일시</t>
  </si>
  <si>
    <t>branches</t>
  </si>
  <si>
    <t>지점 고유 ID</t>
  </si>
  <si>
    <t>tenant_id</t>
  </si>
  <si>
    <t>tenants.id</t>
  </si>
  <si>
    <t>소속 테넌트 FK</t>
  </si>
  <si>
    <t>API-027, API-028, API-029</t>
  </si>
  <si>
    <t>지점명</t>
  </si>
  <si>
    <t>지점 코드 (고유)</t>
  </si>
  <si>
    <t>address</t>
  </si>
  <si>
    <t>지점 주소</t>
  </si>
  <si>
    <t>phone</t>
  </si>
  <si>
    <t>지점 연락처</t>
  </si>
  <si>
    <t>상태 (active/inactive)</t>
  </si>
  <si>
    <t>users</t>
  </si>
  <si>
    <t>사용자 고유 ID</t>
  </si>
  <si>
    <t>branch_id</t>
  </si>
  <si>
    <t>branches.id</t>
  </si>
  <si>
    <t>소속 지점 FK</t>
  </si>
  <si>
    <t>API-002, API-003</t>
  </si>
  <si>
    <t>email</t>
  </si>
  <si>
    <t>로그인 이메일</t>
  </si>
  <si>
    <t>password_hash</t>
  </si>
  <si>
    <t>비밀번호 해시</t>
  </si>
  <si>
    <t>사용자 이름</t>
  </si>
  <si>
    <t>role</t>
  </si>
  <si>
    <t>역할 (super_admin/center_manager/manager/fc/staff/viewer)</t>
  </si>
  <si>
    <t>상태 (active/inactive/locked)</t>
  </si>
  <si>
    <t>last_login</t>
  </si>
  <si>
    <t>NULL</t>
  </si>
  <si>
    <t>마지막 로그인 일시</t>
  </si>
  <si>
    <t>login_fail_count</t>
  </si>
  <si>
    <t>INT</t>
  </si>
  <si>
    <t>0</t>
  </si>
  <si>
    <t>연속 로그인 실패 횟수</t>
  </si>
  <si>
    <t>members</t>
  </si>
  <si>
    <t>회원 고유 ID</t>
  </si>
  <si>
    <t>소속 지점 FK (데이터 격리)</t>
  </si>
  <si>
    <t>API-004, API-005, API-006, API-007</t>
  </si>
  <si>
    <t>회원 이름</t>
  </si>
  <si>
    <t>gender</t>
  </si>
  <si>
    <t>성별 (M/F)</t>
  </si>
  <si>
    <t>birth_date</t>
  </si>
  <si>
    <t>생년월일 (YYYY-MM-DD)</t>
  </si>
  <si>
    <t>연락처</t>
  </si>
  <si>
    <t>지점 내 중복 불가</t>
  </si>
  <si>
    <t>이메일</t>
  </si>
  <si>
    <t>주소</t>
  </si>
  <si>
    <t>상태 (active/expired/suspended/withdrawn)</t>
  </si>
  <si>
    <t>manager_id</t>
  </si>
  <si>
    <t>users.id</t>
  </si>
  <si>
    <t>담당 FC ID</t>
  </si>
  <si>
    <t>attendance_no</t>
  </si>
  <si>
    <t>출석 번호</t>
  </si>
  <si>
    <t>company</t>
  </si>
  <si>
    <t>직장명</t>
  </si>
  <si>
    <t>memo</t>
  </si>
  <si>
    <t>TEXT</t>
  </si>
  <si>
    <t>관리자 메모</t>
  </si>
  <si>
    <t>first_reg_date</t>
  </si>
  <si>
    <t>최초 등록일</t>
  </si>
  <si>
    <t>member_tickets</t>
  </si>
  <si>
    <t>이용권 고유 ID</t>
  </si>
  <si>
    <t>member_id</t>
  </si>
  <si>
    <t>members.id</t>
  </si>
  <si>
    <t>회원 FK</t>
  </si>
  <si>
    <t>API-008, API-009</t>
  </si>
  <si>
    <t>지점 FK</t>
  </si>
  <si>
    <t>product_id</t>
  </si>
  <si>
    <t>products.id</t>
  </si>
  <si>
    <t>상품 FK</t>
  </si>
  <si>
    <t>type</t>
  </si>
  <si>
    <t>유형 (period/count/unlimited)</t>
  </si>
  <si>
    <t>start_date</t>
  </si>
  <si>
    <t>시작일</t>
  </si>
  <si>
    <t>end_date</t>
  </si>
  <si>
    <t>종료일</t>
  </si>
  <si>
    <t>remaining_count</t>
  </si>
  <si>
    <t>잔여 횟수 (횟수제)</t>
  </si>
  <si>
    <t>상태 (active/expired/suspended/cancelled)</t>
  </si>
  <si>
    <t>attendance</t>
  </si>
  <si>
    <t>출석 고유 ID</t>
  </si>
  <si>
    <t>API-012, API-013</t>
  </si>
  <si>
    <t>normal</t>
  </si>
  <si>
    <t>출석 유형 (normal/pt/gx)</t>
  </si>
  <si>
    <t>checkIn</t>
  </si>
  <si>
    <t>상태 (checkIn/checkOut)</t>
  </si>
  <si>
    <t>category</t>
  </si>
  <si>
    <t>카테고리</t>
  </si>
  <si>
    <t>door</t>
  </si>
  <si>
    <t>출입문 정보</t>
  </si>
  <si>
    <t>in_time</t>
  </si>
  <si>
    <t>입장 시간</t>
  </si>
  <si>
    <t>out_time</t>
  </si>
  <si>
    <t>퇴장 시간</t>
  </si>
  <si>
    <t>visit_count</t>
  </si>
  <si>
    <t>누적 방문 횟수</t>
  </si>
  <si>
    <t>pass_info</t>
  </si>
  <si>
    <t>출입 수단 정보 (RFID/앱 등)</t>
  </si>
  <si>
    <t>is_other_branch</t>
  </si>
  <si>
    <t>BOOLEAN</t>
  </si>
  <si>
    <t>false</t>
  </si>
  <si>
    <t>타지점 출석 여부</t>
  </si>
  <si>
    <t>sales</t>
  </si>
  <si>
    <t>매출 고유 ID</t>
  </si>
  <si>
    <t>API-036, API-037</t>
  </si>
  <si>
    <t>no</t>
  </si>
  <si>
    <t>매출 번호 (R + 날짜 + 순번)</t>
  </si>
  <si>
    <t>purchase_date</t>
  </si>
  <si>
    <t>결제 일시</t>
  </si>
  <si>
    <t>매출 유형 (membership/pt/gx/product/etc)</t>
  </si>
  <si>
    <t>product_name</t>
  </si>
  <si>
    <t>상품명</t>
  </si>
  <si>
    <t>담당자 FK</t>
  </si>
  <si>
    <t>buyer_id</t>
  </si>
  <si>
    <t>구매 회원 FK</t>
  </si>
  <si>
    <t>quantity</t>
  </si>
  <si>
    <t>수량</t>
  </si>
  <si>
    <t>original_price</t>
  </si>
  <si>
    <t>원가</t>
  </si>
  <si>
    <t>sale_price</t>
  </si>
  <si>
    <t>판매가</t>
  </si>
  <si>
    <t>discount_price</t>
  </si>
  <si>
    <t>할인 금액</t>
  </si>
  <si>
    <t>payment_method</t>
  </si>
  <si>
    <t>결제수단 (cash/card/mileage/mixed)</t>
  </si>
  <si>
    <t>cash</t>
  </si>
  <si>
    <t>현금 결제액</t>
  </si>
  <si>
    <t>card</t>
  </si>
  <si>
    <t>카드 결제액</t>
  </si>
  <si>
    <t>mileage</t>
  </si>
  <si>
    <t>마일리지 결제액</t>
  </si>
  <si>
    <t>card_company</t>
  </si>
  <si>
    <t>카드사</t>
  </si>
  <si>
    <t>card_number</t>
  </si>
  <si>
    <t>카드번호 (마스킹)</t>
  </si>
  <si>
    <t>approval_no</t>
  </si>
  <si>
    <t>승인번호</t>
  </si>
  <si>
    <t>unpaid</t>
  </si>
  <si>
    <t>미납 금액</t>
  </si>
  <si>
    <t>completed</t>
  </si>
  <si>
    <t>상태 (completed/refunded/partial_refund/unpaid)</t>
  </si>
  <si>
    <t>매출 카테고리</t>
  </si>
  <si>
    <t>메모</t>
  </si>
  <si>
    <t>products</t>
  </si>
  <si>
    <t>상품 고유 ID</t>
  </si>
  <si>
    <t>API-016, API-017, API-018</t>
  </si>
  <si>
    <t>대분류 카테고리</t>
  </si>
  <si>
    <t>category_key</t>
  </si>
  <si>
    <t>카테고리 키 (membership/pt/gx/etc)</t>
  </si>
  <si>
    <t>sub_category</t>
  </si>
  <si>
    <t>소분류</t>
  </si>
  <si>
    <t>cash_price</t>
  </si>
  <si>
    <t>현금가</t>
  </si>
  <si>
    <t>card_price</t>
  </si>
  <si>
    <t>카드가</t>
  </si>
  <si>
    <t>period</t>
  </si>
  <si>
    <t>이용 기간 (일수)</t>
  </si>
  <si>
    <t>kiosk_exposure</t>
  </si>
  <si>
    <t>true</t>
  </si>
  <si>
    <t>키오스크 노출 여부</t>
  </si>
  <si>
    <t>staff</t>
  </si>
  <si>
    <t>직원 고유 ID</t>
  </si>
  <si>
    <t>API-030, API-031, API-032</t>
  </si>
  <si>
    <t>contact</t>
  </si>
  <si>
    <t>역할 (center_manager/manager/fc/staff)</t>
  </si>
  <si>
    <t>job_group</t>
  </si>
  <si>
    <t>직무 그룹</t>
  </si>
  <si>
    <t>position</t>
  </si>
  <si>
    <t>직위</t>
  </si>
  <si>
    <t>team</t>
  </si>
  <si>
    <t>소속 팀</t>
  </si>
  <si>
    <t>join_date</t>
  </si>
  <si>
    <t>입사일</t>
  </si>
  <si>
    <t>admin_id</t>
  </si>
  <si>
    <t>관리자 계정 ID</t>
  </si>
  <si>
    <t>work_type</t>
  </si>
  <si>
    <t>full</t>
  </si>
  <si>
    <t>근무 유형 (full/part)</t>
  </si>
  <si>
    <t>상태 (active/leave/resigned)</t>
  </si>
  <si>
    <t>staff_attendance</t>
  </si>
  <si>
    <t>직원 출근 고유 ID</t>
  </si>
  <si>
    <t>staff_id</t>
  </si>
  <si>
    <t>staff.id</t>
  </si>
  <si>
    <t>직원 FK</t>
  </si>
  <si>
    <t>date</t>
  </si>
  <si>
    <t>날짜 (YYYY-MM-DD)</t>
  </si>
  <si>
    <t>present</t>
  </si>
  <si>
    <t>상태 (present/absent/late/half_day/vacation)</t>
  </si>
  <si>
    <t>check_in</t>
  </si>
  <si>
    <t>출근 시간 (HH:MM)</t>
  </si>
  <si>
    <t>check_out</t>
  </si>
  <si>
    <t>퇴근 시간 (HH:MM)</t>
  </si>
  <si>
    <t>lockers</t>
  </si>
  <si>
    <t>락커 고유 ID</t>
  </si>
  <si>
    <t>API-019, API-020</t>
  </si>
  <si>
    <t>number</t>
  </si>
  <si>
    <t>락커 번호 (A-001 등)</t>
  </si>
  <si>
    <t>standard</t>
  </si>
  <si>
    <t>유형 (standard/large/premium)</t>
  </si>
  <si>
    <t>area</t>
  </si>
  <si>
    <t>구역 (A/B/C...)</t>
  </si>
  <si>
    <t>available</t>
  </si>
  <si>
    <t>상태 (available/occupied/expiring/broken)</t>
  </si>
  <si>
    <t>배정 회원 FK</t>
  </si>
  <si>
    <t>expiry_date</t>
  </si>
  <si>
    <t>만료일</t>
  </si>
  <si>
    <t>성별 구분 (M/F/공용)</t>
  </si>
  <si>
    <t>last_updated</t>
  </si>
  <si>
    <t>최근 변경일시</t>
  </si>
  <si>
    <t>payroll</t>
  </si>
  <si>
    <t>급여 고유 ID</t>
  </si>
  <si>
    <t>API-034, API-035</t>
  </si>
  <si>
    <t>year_month</t>
  </si>
  <si>
    <t>급여 연월 (YYYY-MM)</t>
  </si>
  <si>
    <t>base_salary</t>
  </si>
  <si>
    <t>기본급</t>
  </si>
  <si>
    <t>incentive</t>
  </si>
  <si>
    <t>인센티브</t>
  </si>
  <si>
    <t>deduction</t>
  </si>
  <si>
    <t>공제액</t>
  </si>
  <si>
    <t>net_salary</t>
  </si>
  <si>
    <t>실지급액</t>
  </si>
  <si>
    <t>pending</t>
  </si>
  <si>
    <t>상태 (pending/paid/cancelled)</t>
  </si>
  <si>
    <t>messages</t>
  </si>
  <si>
    <t>메시지 고유 ID</t>
  </si>
  <si>
    <t>API-042, API-043</t>
  </si>
  <si>
    <t>sender_id</t>
  </si>
  <si>
    <t>발송자 FK</t>
  </si>
  <si>
    <t>유형 (sms/lms/kakao)</t>
  </si>
  <si>
    <t>title</t>
  </si>
  <si>
    <t>메시지 제목</t>
  </si>
  <si>
    <t>content</t>
  </si>
  <si>
    <t>메시지 본문</t>
  </si>
  <si>
    <t>recipients</t>
  </si>
  <si>
    <t>JSON</t>
  </si>
  <si>
    <t>수신자 목록 (JSON)</t>
  </si>
  <si>
    <t>sent_at</t>
  </si>
  <si>
    <t>발송 일시</t>
  </si>
  <si>
    <t>상태 (pending/sent/failed/cancelled)</t>
  </si>
  <si>
    <t>coupons</t>
  </si>
  <si>
    <t>쿠폰 고유 ID</t>
  </si>
  <si>
    <t>쿠폰명</t>
  </si>
  <si>
    <t>유형 (rate/amount)</t>
  </si>
  <si>
    <t>discount_value</t>
  </si>
  <si>
    <t>할인값 (% 또는 원)</t>
  </si>
  <si>
    <t>usage_limit</t>
  </si>
  <si>
    <t>사용 한도</t>
  </si>
  <si>
    <t>used_count</t>
  </si>
  <si>
    <t>사용 횟수</t>
  </si>
  <si>
    <t>상태 (active/expired/depleted)</t>
  </si>
  <si>
    <t>contracts</t>
  </si>
  <si>
    <t>계약 고유 ID</t>
  </si>
  <si>
    <t>API-040, API-041</t>
  </si>
  <si>
    <t>계약 시작일</t>
  </si>
  <si>
    <t>계약 종료일</t>
  </si>
  <si>
    <t>total_amount</t>
  </si>
  <si>
    <t>총 계약 금액</t>
  </si>
  <si>
    <t>paid_amount</t>
  </si>
  <si>
    <t>납부 금액</t>
  </si>
  <si>
    <t>상태 (active/completed/cancelled)</t>
  </si>
  <si>
    <t>마일리지 고유 ID</t>
  </si>
  <si>
    <t>API-045</t>
  </si>
  <si>
    <t>유형 (earn/use/cancel)</t>
  </si>
  <si>
    <t>amount</t>
  </si>
  <si>
    <t>변동 금액</t>
  </si>
  <si>
    <t>balance</t>
  </si>
  <si>
    <t>변동 후 잔액</t>
  </si>
  <si>
    <t>description</t>
  </si>
  <si>
    <t>변동 사유</t>
  </si>
  <si>
    <t>body_compositions</t>
  </si>
  <si>
    <t>AUTO_INCREMENT</t>
  </si>
  <si>
    <t>체성분 기록 고유 ID</t>
  </si>
  <si>
    <t>members(id)</t>
  </si>
  <si>
    <t>회원 ID (FK)</t>
  </si>
  <si>
    <t>측정일</t>
  </si>
  <si>
    <t>weight</t>
  </si>
  <si>
    <t>FLOAT</t>
  </si>
  <si>
    <t>체중 (kg)</t>
  </si>
  <si>
    <t>muscle</t>
  </si>
  <si>
    <t>골격근량 (kg)</t>
  </si>
  <si>
    <t>fat</t>
  </si>
  <si>
    <t>체지방량 (kg)</t>
  </si>
  <si>
    <t>fat_rate</t>
  </si>
  <si>
    <t>체지방률 (%)</t>
  </si>
  <si>
    <t>bmi</t>
  </si>
  <si>
    <t>BMI 지수</t>
  </si>
  <si>
    <t>member_memos</t>
  </si>
  <si>
    <t>메모 고유 ID</t>
  </si>
  <si>
    <t>메모 내용</t>
  </si>
  <si>
    <t>분류 (상담/불만/일반/건강)</t>
  </si>
  <si>
    <t>author</t>
  </si>
  <si>
    <t>작성자명</t>
  </si>
  <si>
    <t>member_goals</t>
  </si>
  <si>
    <t>목표 고유 ID</t>
  </si>
  <si>
    <t>회원 ID (FK, 1:1)</t>
  </si>
  <si>
    <t>goal_weight</t>
  </si>
  <si>
    <t>목표 체중 (kg)</t>
  </si>
  <si>
    <t>goal_pbf</t>
  </si>
  <si>
    <t>목표 체지방률 (%)</t>
  </si>
  <si>
    <t>classes</t>
  </si>
  <si>
    <t>수업 고유 ID</t>
  </si>
  <si>
    <t>수업명</t>
  </si>
  <si>
    <t>유형 (GX/PT)</t>
  </si>
  <si>
    <t>staff(id)</t>
  </si>
  <si>
    <t>담당 강사 ID (FK)</t>
  </si>
  <si>
    <t>staff_name</t>
  </si>
  <si>
    <t>담당 강사명 (비정규화)</t>
  </si>
  <si>
    <t>room</t>
  </si>
  <si>
    <t>start_time</t>
  </si>
  <si>
    <t>시작 시간</t>
  </si>
  <si>
    <t>end_time</t>
  </si>
  <si>
    <t>종료 시간</t>
  </si>
  <si>
    <t>capacity</t>
  </si>
  <si>
    <t>14</t>
  </si>
  <si>
    <t>정원</t>
  </si>
  <si>
    <t>booked</t>
  </si>
  <si>
    <t>예약 인원</t>
  </si>
  <si>
    <t>is_recurring</t>
  </si>
  <si>
    <t>반복 여부</t>
  </si>
  <si>
    <t>branches(id)</t>
  </si>
  <si>
    <t>지점 ID (FK)</t>
  </si>
  <si>
    <t>settings</t>
  </si>
  <si>
    <t>설정 고유 ID</t>
  </si>
  <si>
    <t>지점 ID (FK, 1:1)</t>
  </si>
  <si>
    <t>center_name</t>
  </si>
  <si>
    <t>센터명</t>
  </si>
  <si>
    <t>business_hours_open</t>
  </si>
  <si>
    <t>06:00</t>
  </si>
  <si>
    <t>영업 시작 시간</t>
  </si>
  <si>
    <t>business_hours_close</t>
  </si>
  <si>
    <t>22:00</t>
  </si>
  <si>
    <t>영업 종료 시간</t>
  </si>
  <si>
    <t>holidays</t>
  </si>
  <si>
    <t>휴무일 목록 (["SUNDAY"])</t>
  </si>
  <si>
    <t>sms_enabled</t>
  </si>
  <si>
    <t>SMS 알림 활성화</t>
  </si>
  <si>
    <t>kakao_enabled</t>
  </si>
  <si>
    <t>카카오 알림 활성화</t>
  </si>
  <si>
    <t>push_enabled</t>
  </si>
  <si>
    <t>푸시 알림 활성화</t>
  </si>
  <si>
    <t>auto_expire_notify</t>
  </si>
  <si>
    <t>만료 자동 알림</t>
  </si>
  <si>
    <t>expire_notice_days</t>
  </si>
  <si>
    <t>7</t>
  </si>
  <si>
    <t>만료 사전 알림 일수</t>
  </si>
  <si>
    <t>theme</t>
  </si>
  <si>
    <t>light</t>
  </si>
  <si>
    <t>테마 (light/dark)</t>
  </si>
  <si>
    <t>is_super_admin</t>
  </si>
  <si>
    <t>슈퍼관리자 여부 (true면 branch_id NULL 허용)</t>
  </si>
  <si>
    <t>current_branch_id</t>
  </si>
  <si>
    <t>슈퍼관리자 현재 조회 중인 지점 (NULL=통합 뷰)</t>
  </si>
  <si>
    <t>password_changed_at</t>
  </si>
  <si>
    <t>마지막 비밀번호 변경일</t>
  </si>
  <si>
    <t>force_password_change</t>
  </si>
  <si>
    <t>최초 로그인 시 비밀번호 변경 강제</t>
  </si>
  <si>
    <t>audit_log</t>
  </si>
  <si>
    <t>감사 로그 고유 ID</t>
  </si>
  <si>
    <t>테넌트 FK</t>
  </si>
  <si>
    <t>user_id</t>
  </si>
  <si>
    <t>행위자 FK</t>
  </si>
  <si>
    <t>action</t>
  </si>
  <si>
    <t>50</t>
  </si>
  <si>
    <t>행위 (LOGIN/LOGOUT/BRANCH_SWITCH/CREATE/UPDATE/DELETE)</t>
  </si>
  <si>
    <t>target_type</t>
  </si>
  <si>
    <t>대상 유형 (member/sale/contract 등)</t>
  </si>
  <si>
    <t>target_id</t>
  </si>
  <si>
    <t>대상 ID</t>
  </si>
  <si>
    <t>from_branch_id</t>
  </si>
  <si>
    <t>지점 전환: 출발 지점</t>
  </si>
  <si>
    <t>to_branch_id</t>
  </si>
  <si>
    <t>지점 전환: 도착 지점</t>
  </si>
  <si>
    <t>detail</t>
  </si>
  <si>
    <t>상세 정보 (변경 전/후 등)</t>
  </si>
  <si>
    <t>ip_address</t>
  </si>
  <si>
    <t>45</t>
  </si>
  <si>
    <t>접속 IP</t>
  </si>
  <si>
    <t>발생 일시</t>
  </si>
  <si>
    <t>is_hq</t>
  </si>
  <si>
    <t>본사 겸 지점 여부</t>
  </si>
  <si>
    <t>max_members</t>
  </si>
  <si>
    <t>최대 회원 수 제한 (요금제 기반)</t>
  </si>
  <si>
    <t>max_branches</t>
  </si>
  <si>
    <t>최대 지점 수 (요금제 기반: basic=1, standard=5, premium=무제한)</t>
  </si>
  <si>
    <t>owner_user_id</t>
  </si>
  <si>
    <t>테넌트 소유자(슈퍼관리자) FK</t>
  </si>
  <si>
    <t>20</t>
  </si>
  <si>
    <t>ACTIVE</t>
  </si>
  <si>
    <t>직원 상태: ACTIVE/RESIGNED/TRANSFERRED/ON_LEAVE/LOCKED</t>
  </si>
  <si>
    <t>BP-083</t>
  </si>
  <si>
    <t>resigned_at</t>
  </si>
  <si>
    <t>퇴사일 (퇴사 처리 시 설정)</t>
  </si>
  <si>
    <t>resign_reason</t>
  </si>
  <si>
    <t>200</t>
  </si>
  <si>
    <t>퇴사 사유</t>
  </si>
  <si>
    <t>BP-086</t>
  </si>
  <si>
    <t>resign_scheduled_at</t>
  </si>
  <si>
    <t>DATE</t>
  </si>
  <si>
    <t>퇴사 예정일 (사전 등록)</t>
  </si>
  <si>
    <t>previous_employee_id</t>
  </si>
  <si>
    <t>FK→staff.id</t>
  </si>
  <si>
    <t>재입사 시 이전 직원ID 참조</t>
  </si>
  <si>
    <t>BP-090</t>
  </si>
  <si>
    <t>leave_start_at</t>
  </si>
  <si>
    <t>휴직 시작일</t>
  </si>
  <si>
    <t>leave_end_at</t>
  </si>
  <si>
    <t>휴직 예정 복직일</t>
  </si>
  <si>
    <t>leave_reason</t>
  </si>
  <si>
    <t>100</t>
  </si>
  <si>
    <t>휴직 사유: CHILDCARE/MEDICAL/PERSONAL/STUDY</t>
  </si>
  <si>
    <t>BP-093</t>
  </si>
  <si>
    <t>locked_until</t>
  </si>
  <si>
    <t>계정 잠금 해제 시각 (NULL=잠금 안됨)</t>
  </si>
  <si>
    <t>last_login_at</t>
  </si>
  <si>
    <t>마지막 로그인 시각 (90일 미접속 → 휴면)</t>
  </si>
  <si>
    <t>transferred_from_branch_id</t>
  </si>
  <si>
    <t>FK→branches.id</t>
  </si>
  <si>
    <t>전보 시 이전 지점ID</t>
  </si>
  <si>
    <t>transferred_at</t>
  </si>
  <si>
    <t>전보일</t>
  </si>
  <si>
    <t>회원 상태: ACTIVE/EXPIRED/DORMANT/WITHDRAWN/TRANSFERRED</t>
  </si>
  <si>
    <t>BP-098</t>
  </si>
  <si>
    <t>home_branch_id</t>
  </si>
  <si>
    <t>주 소속 지점 (게스트방문 시 기준)</t>
  </si>
  <si>
    <t>BP-099</t>
  </si>
  <si>
    <t>withdrawn_at</t>
  </si>
  <si>
    <t>탈퇴일</t>
  </si>
  <si>
    <t>withdraw_reason</t>
  </si>
  <si>
    <t>탈퇴 사유</t>
  </si>
  <si>
    <t>privacy_masked_at</t>
  </si>
  <si>
    <t>개인정보 마스킹 처리일</t>
  </si>
  <si>
    <t>BP-122</t>
  </si>
  <si>
    <t>previous_member_id</t>
  </si>
  <si>
    <t>FK→members.id</t>
  </si>
  <si>
    <t>재가입 시 이전 회원ID 참조</t>
  </si>
  <si>
    <t>BP-101</t>
  </si>
  <si>
    <t>member_transfer_log</t>
  </si>
  <si>
    <t>이관 로그 ID</t>
  </si>
  <si>
    <t>BP-096</t>
  </si>
  <si>
    <t>FK→tenants.id</t>
  </si>
  <si>
    <t>테넌트 ID</t>
  </si>
  <si>
    <t>이관 대상 회원 ID</t>
  </si>
  <si>
    <t>이관 출발 지점</t>
  </si>
  <si>
    <t>이관 도착 지점</t>
  </si>
  <si>
    <t>transfer_type</t>
  </si>
  <si>
    <t>KEEP_TICKET/REFUND_NEW/EXHAUST_THEN</t>
  </si>
  <si>
    <t>BP-097</t>
  </si>
  <si>
    <t>approved_by</t>
  </si>
  <si>
    <t>FK→users.id</t>
  </si>
  <si>
    <t>승인자 (슈퍼관리자 or 센터장)</t>
  </si>
  <si>
    <t>reason</t>
  </si>
  <si>
    <t>이관 사유</t>
  </si>
  <si>
    <t>이관 처리일시</t>
  </si>
  <si>
    <t>staff_transfer_log</t>
  </si>
  <si>
    <t>직원 전보 로그 ID</t>
  </si>
  <si>
    <t>대상 직원 ID</t>
  </si>
  <si>
    <t>이전 지점</t>
  </si>
  <si>
    <t>새 지점</t>
  </si>
  <si>
    <t>from_role</t>
  </si>
  <si>
    <t>이전 역할</t>
  </si>
  <si>
    <t>to_role</t>
  </si>
  <si>
    <t>새 역할</t>
  </si>
  <si>
    <t>승인자 (슈퍼관리자)</t>
  </si>
  <si>
    <t>effective_date</t>
  </si>
  <si>
    <t>전보 적용일</t>
  </si>
  <si>
    <t>처리일시</t>
  </si>
  <si>
    <t>staff_settlement</t>
  </si>
  <si>
    <t>정산 ID</t>
  </si>
  <si>
    <t>정산 지점</t>
  </si>
  <si>
    <t>unpaid_salary</t>
  </si>
  <si>
    <t>DECIMAL</t>
  </si>
  <si>
    <t>12,2</t>
  </si>
  <si>
    <t>미지급 급여 (일할 계산)</t>
  </si>
  <si>
    <t>unpaid_commission</t>
  </si>
  <si>
    <t>미지급 커미션</t>
  </si>
  <si>
    <t>severance_pay</t>
  </si>
  <si>
    <t>퇴직금</t>
  </si>
  <si>
    <t>unused_leave_pay</t>
  </si>
  <si>
    <t>미사용 연차수당</t>
  </si>
  <si>
    <t>advance_deduction</t>
  </si>
  <si>
    <t>선지급분 차감</t>
  </si>
  <si>
    <t>최종 정산 총액</t>
  </si>
  <si>
    <t>PENDING</t>
  </si>
  <si>
    <t>PENDING/APPROVED/PAID</t>
  </si>
  <si>
    <t>승인자</t>
  </si>
  <si>
    <t>branch_closure_log</t>
  </si>
  <si>
    <t>폐점 프로세스 ID</t>
  </si>
  <si>
    <t>BP-106</t>
  </si>
  <si>
    <t>폐점 대상 지점</t>
  </si>
  <si>
    <t>announced_at</t>
  </si>
  <si>
    <t>폐점 공지일 (D-60)</t>
  </si>
  <si>
    <t>closing_date</t>
  </si>
  <si>
    <t>폐점일 (D-Day)</t>
  </si>
  <si>
    <t>total_members</t>
  </si>
  <si>
    <t>폐점 시점 총 회원 수</t>
  </si>
  <si>
    <t>transferred_members</t>
  </si>
  <si>
    <t>이관 완료 회원 수</t>
  </si>
  <si>
    <t>refunded_members</t>
  </si>
  <si>
    <t>환불 완료 회원 수</t>
  </si>
  <si>
    <t>total_staff</t>
  </si>
  <si>
    <t>폐점 시점 총 직원 수</t>
  </si>
  <si>
    <t>IN_PROGRESS</t>
  </si>
  <si>
    <t>IN_PROGRESS/COMPLETED</t>
  </si>
  <si>
    <t>created_by</t>
  </si>
  <si>
    <t>폐점 처리자 (슈퍼관리자)</t>
  </si>
  <si>
    <t>지점 상태: ACTIVE/CLOSING/INACTIVE/PAUSED</t>
  </si>
  <si>
    <t>max_staff</t>
  </si>
  <si>
    <t>최대 직원 수 (NULL=무제한)</t>
  </si>
  <si>
    <t>max_lockers</t>
  </si>
  <si>
    <t>최대 락커 수</t>
  </si>
  <si>
    <t>paused_at</t>
  </si>
  <si>
    <t>일시 휴업 시작일</t>
  </si>
  <si>
    <t>resume_at</t>
  </si>
  <si>
    <t>재개 예정일</t>
  </si>
  <si>
    <t>branch_code</t>
  </si>
  <si>
    <t>5</t>
  </si>
  <si>
    <t>지점코드 (영문2~5자, 고유, 변경불가)</t>
  </si>
  <si>
    <t>BASIC</t>
  </si>
  <si>
    <t>요금제: BASIC/STANDARD/PREMIUM</t>
  </si>
  <si>
    <t>plan_expires_at</t>
  </si>
  <si>
    <t>요금제 만료일</t>
  </si>
  <si>
    <t>결제 수단: CARD/BANK_TRANSFER</t>
  </si>
  <si>
    <t>overdue_days</t>
  </si>
  <si>
    <t>연체 일수 (0=정상)</t>
  </si>
  <si>
    <t>tax_invoice_type</t>
  </si>
  <si>
    <t>HQ</t>
  </si>
  <si>
    <t>세금계산서 발행 유형: HQ(본사일괄)/BRANCH(지점별)</t>
  </si>
  <si>
    <t>BP-132</t>
  </si>
  <si>
    <t>assigned_fc_id</t>
  </si>
  <si>
    <t>담당 FC ID (판매자와 별도, 커미션 산정용)</t>
  </si>
  <si>
    <t>BP-094</t>
  </si>
  <si>
    <t>subscriptions</t>
  </si>
  <si>
    <t>구독 ID</t>
  </si>
  <si>
    <t>구독 요금제</t>
  </si>
  <si>
    <t>10,2</t>
  </si>
  <si>
    <t>결제 금액</t>
  </si>
  <si>
    <t>billing_date</t>
  </si>
  <si>
    <t>결제 예정일</t>
  </si>
  <si>
    <t>ACTIVE/OVERDUE/SUSPENDED/CANCELLED</t>
  </si>
  <si>
    <t>rfid_cards</t>
  </si>
  <si>
    <t>SERIAL</t>
  </si>
  <si>
    <t>auto_increment</t>
  </si>
  <si>
    <t>RFID 카드 고유 ID</t>
  </si>
  <si>
    <t>API-110~113</t>
  </si>
  <si>
    <t>신규 테이블 (2026-03-13)</t>
  </si>
  <si>
    <t>card_no</t>
  </si>
  <si>
    <t>UQ</t>
  </si>
  <si>
    <t>카드 번호 (RF-xxxxxxxx)</t>
  </si>
  <si>
    <t>IDX</t>
  </si>
  <si>
    <t>매핑된 회원 ID</t>
  </si>
  <si>
    <t>member_name</t>
  </si>
  <si>
    <t>회원명 (비정규화)</t>
  </si>
  <si>
    <t>'활성'</t>
  </si>
  <si>
    <t>카드 상태 (활성/분실/해제)</t>
  </si>
  <si>
    <t>user_type</t>
  </si>
  <si>
    <t>사용자 유형 (회원/직원)</t>
  </si>
  <si>
    <t>locker_no</t>
  </si>
  <si>
    <t>연결된 락커 번호</t>
  </si>
  <si>
    <t>issued_at</t>
  </si>
  <si>
    <t>TIMESTAMP</t>
  </si>
  <si>
    <t>카드 발급 일시</t>
  </si>
  <si>
    <t>지점 ID</t>
  </si>
  <si>
    <t>now()</t>
  </si>
  <si>
    <t>등록 일시</t>
  </si>
  <si>
    <t>수정 일시</t>
  </si>
  <si>
    <t>iot_devices</t>
  </si>
  <si>
    <t>IoT 기기 고유 ID</t>
  </si>
  <si>
    <t>기기명</t>
  </si>
  <si>
    <t>기기 유형 (출입문/체성분/키오스크/RFID/카메라)</t>
  </si>
  <si>
    <t>ip</t>
  </si>
  <si>
    <t>IP 주소</t>
  </si>
  <si>
    <t>port</t>
  </si>
  <si>
    <t>8080</t>
  </si>
  <si>
    <t>포트 번호</t>
  </si>
  <si>
    <t>serial</t>
  </si>
  <si>
    <t>시리얼 번호</t>
  </si>
  <si>
    <t>firmware</t>
  </si>
  <si>
    <t>펌웨어 버전</t>
  </si>
  <si>
    <t>'오프라인'</t>
  </si>
  <si>
    <t>기기 상태 (온라인/오프라인/오류)</t>
  </si>
  <si>
    <t>last_comm</t>
  </si>
  <si>
    <t>마지막 통신 일시</t>
  </si>
  <si>
    <t>access_logs</t>
  </si>
  <si>
    <t>출입 로그 고유 ID</t>
  </si>
  <si>
    <t>회원 ID</t>
  </si>
  <si>
    <t>회원/직원명 (비정규화)</t>
  </si>
  <si>
    <t>사용된 RFID 카드 번호</t>
  </si>
  <si>
    <t>gate</t>
  </si>
  <si>
    <t>게이트명 (메인출입구 등)</t>
  </si>
  <si>
    <t>direction</t>
  </si>
  <si>
    <t>'IN'</t>
  </si>
  <si>
    <t>출입 방향 (IN/OUT)</t>
  </si>
  <si>
    <t>access_time</t>
  </si>
  <si>
    <t>출입 시각</t>
  </si>
  <si>
    <t>device_id</t>
  </si>
  <si>
    <t>iot_devices(id)</t>
  </si>
  <si>
    <t>인식 기기 ID</t>
  </si>
  <si>
    <t>news_feed</t>
  </si>
  <si>
    <t>INTEGER</t>
  </si>
  <si>
    <t>userId</t>
  </si>
  <si>
    <t>작성자 FK</t>
  </si>
  <si>
    <t>userName</t>
  </si>
  <si>
    <t>작성자 이름</t>
  </si>
  <si>
    <t>알림 유형</t>
  </si>
  <si>
    <t>액션명</t>
  </si>
  <si>
    <t>message</t>
  </si>
  <si>
    <t>알림 메시지</t>
  </si>
  <si>
    <t>targetType</t>
  </si>
  <si>
    <t>대상 유형</t>
  </si>
  <si>
    <t>targetId</t>
  </si>
  <si>
    <t>isRead</t>
  </si>
  <si>
    <t>읽음 여부</t>
  </si>
  <si>
    <t>createdAt</t>
  </si>
  <si>
    <t>TIMESTAMPTZ</t>
  </si>
  <si>
    <t>lessons</t>
  </si>
  <si>
    <t>수업 유형</t>
  </si>
  <si>
    <t>instructorId</t>
  </si>
  <si>
    <t>강사 FK</t>
  </si>
  <si>
    <t>instructorName</t>
  </si>
  <si>
    <t>강사 이름</t>
  </si>
  <si>
    <t>duration</t>
  </si>
  <si>
    <t>수업 시간(분)</t>
  </si>
  <si>
    <t>color</t>
  </si>
  <si>
    <t>캘린더 색상</t>
  </si>
  <si>
    <t>isActive</t>
  </si>
  <si>
    <t>활성 여부</t>
  </si>
  <si>
    <t>updatedAt</t>
  </si>
  <si>
    <t>lesson_schedules</t>
  </si>
  <si>
    <t>lessonId</t>
  </si>
  <si>
    <t>수업 FK</t>
  </si>
  <si>
    <t>startAt</t>
  </si>
  <si>
    <t>시작 일시</t>
  </si>
  <si>
    <t>endAt</t>
  </si>
  <si>
    <t>종료 일시</t>
  </si>
  <si>
    <t>currentCount</t>
  </si>
  <si>
    <t>현재 예약자 수</t>
  </si>
  <si>
    <t>일정 상태</t>
  </si>
  <si>
    <t>lesson_bookings</t>
  </si>
  <si>
    <t>scheduleId</t>
  </si>
  <si>
    <t>일정 FK</t>
  </si>
  <si>
    <t>memberId</t>
  </si>
  <si>
    <t>memberName</t>
  </si>
  <si>
    <t>예약 상태</t>
  </si>
  <si>
    <t>bookedAt</t>
  </si>
  <si>
    <t>예약 일시</t>
  </si>
  <si>
    <t>attendedAt</t>
  </si>
  <si>
    <t>출석 일시</t>
  </si>
  <si>
    <t>cancelledAt</t>
  </si>
  <si>
    <t>취소 일시</t>
  </si>
  <si>
    <t>cancelReason</t>
  </si>
  <si>
    <t>취소 사유</t>
  </si>
  <si>
    <t>lesson_counts</t>
  </si>
  <si>
    <t>productId</t>
  </si>
  <si>
    <t>productName</t>
  </si>
  <si>
    <t>totalCount</t>
  </si>
  <si>
    <t>총 횟수</t>
  </si>
  <si>
    <t>usedCount</t>
  </si>
  <si>
    <t>startDate</t>
  </si>
  <si>
    <t>endDate</t>
  </si>
  <si>
    <t>penalties</t>
  </si>
  <si>
    <t>페널티 유형</t>
  </si>
  <si>
    <t>deductCount</t>
  </si>
  <si>
    <t>차감 횟수</t>
  </si>
  <si>
    <t>사유</t>
  </si>
  <si>
    <t>appliedAt</t>
  </si>
  <si>
    <t>적용 일시</t>
  </si>
  <si>
    <t>appliedBy</t>
  </si>
  <si>
    <t>처리자 FK</t>
  </si>
  <si>
    <t>refunds</t>
  </si>
  <si>
    <t>saleId</t>
  </si>
  <si>
    <t>매출 FK</t>
  </si>
  <si>
    <t>refundAmount</t>
  </si>
  <si>
    <t>DECIMAL(12,2)</t>
  </si>
  <si>
    <t>환불 금액</t>
  </si>
  <si>
    <t>refundMethod</t>
  </si>
  <si>
    <t>환불 방법</t>
  </si>
  <si>
    <t>환불 사유</t>
  </si>
  <si>
    <t>처리 상태</t>
  </si>
  <si>
    <t>processedBy</t>
  </si>
  <si>
    <t>processedByName</t>
  </si>
  <si>
    <t>처리자 이름</t>
  </si>
  <si>
    <t>processedAt</t>
  </si>
  <si>
    <t>처리 일시</t>
  </si>
  <si>
    <t>unpaidAmount</t>
  </si>
  <si>
    <t>미수금 금액</t>
  </si>
  <si>
    <t>dueDate</t>
  </si>
  <si>
    <t>납부 기한</t>
  </si>
  <si>
    <t>visit_logs</t>
  </si>
  <si>
    <t>checkInAt</t>
  </si>
  <si>
    <t>입장 일시</t>
  </si>
  <si>
    <t>checkOutAt</t>
  </si>
  <si>
    <t>퇴장 일시</t>
  </si>
  <si>
    <t>method</t>
  </si>
  <si>
    <t>인증 방법</t>
  </si>
  <si>
    <t>gateId</t>
  </si>
  <si>
    <t>게이트 ID</t>
  </si>
  <si>
    <t>clothing</t>
  </si>
  <si>
    <t>운동복 번호</t>
  </si>
  <si>
    <t>size</t>
  </si>
  <si>
    <t>유형(상의/하의)</t>
  </si>
  <si>
    <t>대여 회원 FK</t>
  </si>
  <si>
    <t>대여 회원 이름</t>
  </si>
  <si>
    <t>rentedAt</t>
  </si>
  <si>
    <t>대여 일시</t>
  </si>
  <si>
    <t>returnDue</t>
  </si>
  <si>
    <t>반납 예정일</t>
  </si>
  <si>
    <t>member_holdings</t>
  </si>
  <si>
    <t>홀딩 시작일</t>
  </si>
  <si>
    <t>홀딩 종료일</t>
  </si>
  <si>
    <t>홀딩 사유</t>
  </si>
  <si>
    <t>createdBy</t>
  </si>
  <si>
    <t>createdByName</t>
  </si>
  <si>
    <t>member_extensions</t>
  </si>
  <si>
    <t>extraDays</t>
  </si>
  <si>
    <t>연장 일수</t>
  </si>
  <si>
    <t>originalEndDate</t>
  </si>
  <si>
    <t>원래 종료일</t>
  </si>
  <si>
    <t>newEndDate</t>
  </si>
  <si>
    <t>새 종료일</t>
  </si>
  <si>
    <t>연장 사유</t>
  </si>
  <si>
    <t>member_transfer_logs</t>
  </si>
  <si>
    <t>fromMemberId</t>
  </si>
  <si>
    <t>양도인 FK</t>
  </si>
  <si>
    <t>fromMemberName</t>
  </si>
  <si>
    <t>양도인 이름</t>
  </si>
  <si>
    <t>toMemberId</t>
  </si>
  <si>
    <t>양수인 FK</t>
  </si>
  <si>
    <t>toMemberName</t>
  </si>
  <si>
    <t>양수인 이름</t>
  </si>
  <si>
    <t>양도 사유</t>
  </si>
  <si>
    <t>TC-ID</t>
  </si>
  <si>
    <t>테스트 영역</t>
  </si>
  <si>
    <t>하위 영역</t>
  </si>
  <si>
    <t>테스트 유형</t>
  </si>
  <si>
    <t>테스트 시나리오</t>
  </si>
  <si>
    <t>사전 조건</t>
  </si>
  <si>
    <t>테스트 절차</t>
  </si>
  <si>
    <t>기대 결과</t>
  </si>
  <si>
    <t>실제 결과</t>
  </si>
  <si>
    <t>테스트 상태</t>
  </si>
  <si>
    <t>심각도</t>
  </si>
  <si>
    <t>테스트 환경</t>
  </si>
  <si>
    <t>브라우저/앱</t>
  </si>
  <si>
    <t>디바이스</t>
  </si>
  <si>
    <t>OS</t>
  </si>
  <si>
    <t>테스트 사이클</t>
  </si>
  <si>
    <t>자동화 여부</t>
  </si>
  <si>
    <t>버그 티켓</t>
  </si>
  <si>
    <t>스크린샷</t>
  </si>
  <si>
    <t>TC-001</t>
  </si>
  <si>
    <t>기능 테스트</t>
  </si>
  <si>
    <t>정상 로그인 - 올바른 이메일/비밀번호로 로그인</t>
  </si>
  <si>
    <t>등록된 계정 존재, 활성 상태</t>
  </si>
  <si>
    <t>1) 로그인 페이지 접속
2) 이메일 입력
3) 비밀번호 입력
4) 지점 선택
5) 로그인 버튼 클릭</t>
  </si>
  <si>
    <t>대시보드(SCR-002)로 이동, JWT 토큰 저장, 사용자 정보 표시</t>
  </si>
  <si>
    <t>대시보드(/)로 정상 이동, 사이드바 사용자정보 표시, branchId localStorage 저장</t>
  </si>
  <si>
    <t>통과</t>
  </si>
  <si>
    <t>QA담당자1</t>
  </si>
  <si>
    <t>Staging</t>
  </si>
  <si>
    <t>Chrome</t>
  </si>
  <si>
    <t>Desktop</t>
  </si>
  <si>
    <t>Windows 11</t>
  </si>
  <si>
    <t>1차</t>
  </si>
  <si>
    <t>수동</t>
  </si>
  <si>
    <t>TC-002</t>
  </si>
  <si>
    <t>로그인 실패 - 잘못된 비밀번호</t>
  </si>
  <si>
    <t>등록된 계정 존재</t>
  </si>
  <si>
    <t>1) 로그인 페이지 접속
2) 올바른 이메일 입력
3) 잘못된 비밀번호 입력
4) 로그인 버튼 클릭</t>
  </si>
  <si>
    <t>'비밀번호가 올바르지 않습니다' 에러 메시지 표시, 로그인 실패 횟수 +1</t>
  </si>
  <si>
    <t>"아이디 또는 비밀번호가 올바르지 않습니다." 에러 메시지 정상 표시</t>
  </si>
  <si>
    <t>TC-003</t>
  </si>
  <si>
    <t>계정 잠금 - 5회 연속 실패</t>
  </si>
  <si>
    <t>등록된 계정 존재, 실패 횟수 4회</t>
  </si>
  <si>
    <t>1) 잘못된 비밀번호로 5번째 로그인 시도</t>
  </si>
  <si>
    <t>'5회 실패로 계정이 잠겼습니다. 30분 후 다시 시도하세요' 메시지 표시</t>
  </si>
  <si>
    <t>미입력 시 에러 메시지 표시, 로그인 버튼 비활성화</t>
  </si>
  <si>
    <t>Blocker</t>
  </si>
  <si>
    <t>TC-004</t>
  </si>
  <si>
    <t>UI/UX 테스트</t>
  </si>
  <si>
    <t>비밀번호 마스킹 토글</t>
  </si>
  <si>
    <t>로그인 페이지 접속</t>
  </si>
  <si>
    <t>1) 비밀번호 입력
2) 눈 아이콘 클릭
3) 비밀번호 표시 확인
4) 다시 클릭하여 마스킹</t>
  </si>
  <si>
    <t>토글에 따라 비밀번호 표시/마스킹 전환</t>
  </si>
  <si>
    <t>E2E 검증 완료 (2026-03-12)</t>
  </si>
  <si>
    <t>Minor</t>
  </si>
  <si>
    <t>TC-005</t>
  </si>
  <si>
    <t>통계</t>
  </si>
  <si>
    <t>대시보드 KPI 카드 정확성</t>
  </si>
  <si>
    <t>로그인 완료, 테스트 데이터 존재</t>
  </si>
  <si>
    <t>1) 대시보드 접속
2) 총회원/활성/만료임박/만료 카드 수치 확인
3) DB 데이터와 대조</t>
  </si>
  <si>
    <t>카드 수치가 DB 실제 데이터와 일치</t>
  </si>
  <si>
    <t>E2E 검증 완료: 실 DB 데이터 기반 통계카드, 차트, 리스트 정상 표시</t>
  </si>
  <si>
    <t>자동화 예정</t>
  </si>
  <si>
    <t>TC-006</t>
  </si>
  <si>
    <t>생일 회원 리스트 표시</t>
  </si>
  <si>
    <t>오늘 생일인 회원 데이터 존재</t>
  </si>
  <si>
    <t>1) 대시보드 접속
2) 생일 회원 섹션 확인</t>
  </si>
  <si>
    <t>오늘 생일인 회원 목록 표시, 이름/연락처 표시</t>
  </si>
  <si>
    <t>Major</t>
  </si>
  <si>
    <t>TC-007</t>
  </si>
  <si>
    <t>목록</t>
  </si>
  <si>
    <t>회원 검색 - 이름으로 검색</t>
  </si>
  <si>
    <t>회원 데이터 존재</t>
  </si>
  <si>
    <t>1) 회원 목록 페이지 접속
2) 검색바에 '김' 입력
3) 300ms 대기</t>
  </si>
  <si>
    <t>'김'이 포함된 회원만 필터링되어 표시</t>
  </si>
  <si>
    <t>E2E 검증 완료: Supabase 실 데이터 연동, soft delete 필터, 검색/필터/정렬 정상</t>
  </si>
  <si>
    <t>TC-008</t>
  </si>
  <si>
    <t>회원 필터 - 상태 필터 적용</t>
  </si>
  <si>
    <t>다양한 상태의 회원 데이터 존재</t>
  </si>
  <si>
    <t>1) 상태 필터에서 '만료' 선택
2) 목록 갱신 확인</t>
  </si>
  <si>
    <t>만료 상태 회원만 표시, 건수 일치</t>
  </si>
  <si>
    <t>TC-009</t>
  </si>
  <si>
    <t>등록</t>
  </si>
  <si>
    <t>신규 회원 정상 등록</t>
  </si>
  <si>
    <t>로그인 완료, 매니저 이상 권한</t>
  </si>
  <si>
    <t>1) '회원등록' 버튼 클릭
2) 이름 입력: 테스트회원
3) 성별: 남 선택
4) 연락처: 010-1111-2222
5) '저장' 클릭</t>
  </si>
  <si>
    <t>회원 등록 성공 메시지, 회원 상세 페이지로 이동</t>
  </si>
  <si>
    <t>TC-010</t>
  </si>
  <si>
    <t>회원 등록 실패 - 연락처 중복</t>
  </si>
  <si>
    <t>동일 연락처 회원 이미 존재</t>
  </si>
  <si>
    <t>1) 회원 등록 폼에 중복 연락처 입력
2) '저장' 클릭</t>
  </si>
  <si>
    <t>'이미 등록된 연락처입니다' 에러 메시지 표시</t>
  </si>
  <si>
    <t>TC-011</t>
  </si>
  <si>
    <t>필수 항목 유효성 검사</t>
  </si>
  <si>
    <t>회원 등록 폼 접속</t>
  </si>
  <si>
    <t>1) 아무것도 입력하지 않고 '저장' 클릭</t>
  </si>
  <si>
    <t>필수 항목(이름/성별/연락처)에 에러 메시지 표시, 저장 불가</t>
  </si>
  <si>
    <t>TC-012</t>
  </si>
  <si>
    <t>상세</t>
  </si>
  <si>
    <t>회원 상세 탭 전환</t>
  </si>
  <si>
    <t>1) 회원 상세 페이지 접속
2) 이용권 탭 클릭
3) 출석 탭 클릭
4) 결제 탭 클릭
5) 체성분 탭 클릭
6) 메모 탭 클릭</t>
  </si>
  <si>
    <t>각 탭별 데이터 정상 로드, URL 파라미터 유지</t>
  </si>
  <si>
    <t>TC-013</t>
  </si>
  <si>
    <t>수정</t>
  </si>
  <si>
    <t>1) 회원 상세 → '수정' 클릭
2) 이름 변경
3) '저장' 클릭</t>
  </si>
  <si>
    <t>수정 성공, 변경 이력 기록, 상세 페이지로 이동</t>
  </si>
  <si>
    <t>TC-014</t>
  </si>
  <si>
    <t>조회</t>
  </si>
  <si>
    <t>매출 기간 필터 조회</t>
  </si>
  <si>
    <t>매출 데이터 존재</t>
  </si>
  <si>
    <t>1) 매출 조회 페이지 접속
2) 시작일/종료일 선택
3) 결과 확인</t>
  </si>
  <si>
    <t>선택 기간의 매출만 표시, 통계 카드 갱신</t>
  </si>
  <si>
    <t>TC-015</t>
  </si>
  <si>
    <t>매출 엑셀 다운로드</t>
  </si>
  <si>
    <t>1) 매출 조회
2) '엑셀 다운로드' 클릭</t>
  </si>
  <si>
    <t>xlsx 파일 다운로드, 현재 필터 결과와 동일한 데이터</t>
  </si>
  <si>
    <t>TC-016</t>
  </si>
  <si>
    <t>상품 데이터 존재</t>
  </si>
  <si>
    <t>1) POS 페이지 접속
2) 카테고리 선택
3) 상품 클릭 (장바구니 추가)
4) 수량 변경
5) 합계 확인</t>
  </si>
  <si>
    <t>장바구니에 상품 추가, 수량 반영, 합계 자동 계산</t>
  </si>
  <si>
    <t>TC-017</t>
  </si>
  <si>
    <t>POS 카드 결제 처리</t>
  </si>
  <si>
    <t>장바구니에 상품 존재</t>
  </si>
  <si>
    <t>1) '결제' 버튼 클릭
2) 회원 검색/선택
3) 결제수단: 카드 선택
4) '결제 확인' 클릭</t>
  </si>
  <si>
    <t>결제 성공, 매출 등록, 영수증 표시</t>
  </si>
  <si>
    <t>TC-018</t>
  </si>
  <si>
    <t>POS 복합결제 (현금+카드)</t>
  </si>
  <si>
    <t>1) 결제수단: 복합 선택
2) 현금 금액 입력
3) 나머지 카드 자동 계산
4) '결제 확인'</t>
  </si>
  <si>
    <t>복합결제 성공, 현금/카드 금액 정확히 분리 기록</t>
  </si>
  <si>
    <t>TC-019</t>
  </si>
  <si>
    <t>센터장 이상 권한</t>
  </si>
  <si>
    <t>1) 상품등록 페이지 접속
2) 카테고리: 이용권
3) 이름: 3개월 이용권
4) 현금가: 280000
5) 카드가: 300000
6) '저장'</t>
  </si>
  <si>
    <t>상품 등록 성공, 목록에 표시</t>
  </si>
  <si>
    <t>TC-020</t>
  </si>
  <si>
    <t>락커 현황 그리드 표시</t>
  </si>
  <si>
    <t>락커 데이터 존재</t>
  </si>
  <si>
    <t>1) 락커 현황 페이지 접속
2) 구역 탭 선택
3) 그리드 색상 확인</t>
  </si>
  <si>
    <t>구역별 락커 그리드 표시, 상태별 색상 구분 정확</t>
  </si>
  <si>
    <t>QA담당자2</t>
  </si>
  <si>
    <t>TC-021</t>
  </si>
  <si>
    <t>빈 락커 존재, 회원 존재</t>
  </si>
  <si>
    <t>1) 락커 관리 접속
2) 회원 검색/선택
3) 빈 락커 클릭
4) 만료일 설정
5) '배정' 클릭</t>
  </si>
  <si>
    <t>락커 배정 성공, 상태 '사용중'으로 변경</t>
  </si>
  <si>
    <t>TC-022</t>
  </si>
  <si>
    <t>직원 데이터 존재, 센터장 권한</t>
  </si>
  <si>
    <t>1) 직원 목록 접속
2) 역할 필터 선택
3) 결과 확인</t>
  </si>
  <si>
    <t>필터에 맞는 직원만 표시</t>
  </si>
  <si>
    <t>TC-023</t>
  </si>
  <si>
    <t>센터장 권한</t>
  </si>
  <si>
    <t>1) 직원등록 접속
2) 이름/역할/연락처/입사일 입력
3) '저장'</t>
  </si>
  <si>
    <t>직원 등록 성공, 관리자 계정 자동 생성</t>
  </si>
  <si>
    <t>TC-024</t>
  </si>
  <si>
    <t>발송</t>
  </si>
  <si>
    <t>SMS 메시지 발송</t>
  </si>
  <si>
    <t>1) 메시지 발송 접속
2) 수신자 선택
3) SMS 선택
4) 본문 입력 (90자 이내)
5) '발송'</t>
  </si>
  <si>
    <t>발송 성공, 발송 이력에 기록</t>
  </si>
  <si>
    <t>TC-025</t>
  </si>
  <si>
    <t>메시지 발송 - 수신자 미선택</t>
  </si>
  <si>
    <t>메시지 발송 페이지 접속</t>
  </si>
  <si>
    <t>1) 수신자 없이 본문 입력
2) '발송' 클릭</t>
  </si>
  <si>
    <t>'수신자를 선택해주세요' 에러, 발송 불가</t>
  </si>
  <si>
    <t>TC-026</t>
  </si>
  <si>
    <t>계약 마법사 전체 플로우</t>
  </si>
  <si>
    <t>회원/상품 데이터 존재</t>
  </si>
  <si>
    <t>1) 계약 마법사 접속
2) 회원 선택
3) 상품 선택
4) 기간/금액 설정
5) 결제 처리
6) 확인</t>
  </si>
  <si>
    <t>계약 등록 성공, 이용권 자동 생성, 매출 자동 등록</t>
  </si>
  <si>
    <t>TC-027</t>
  </si>
  <si>
    <t>계약 마법사 - 이전 단계 미완료</t>
  </si>
  <si>
    <t>계약 마법사 접속</t>
  </si>
  <si>
    <t>1) 회원 미선택 상태에서 '다음' 클릭</t>
  </si>
  <si>
    <t>'회원을 선택하세요' 에러, 다음 단계 진행 불가</t>
  </si>
  <si>
    <t>TC-028</t>
  </si>
  <si>
    <t>권한 매트릭스 설정</t>
  </si>
  <si>
    <t>최고관리자 권한</t>
  </si>
  <si>
    <t>1) 권한 설정 접속
2) '매니저' 탭 선택
3) '회원 삭제' 권한 체크 해제
4) 저장</t>
  </si>
  <si>
    <t>매니저 역할에서 회원 삭제 권한 제거, 즉시 반영</t>
  </si>
  <si>
    <t>TC-029</t>
  </si>
  <si>
    <t>권한 부족 접근 차단</t>
  </si>
  <si>
    <t>스태프 역할로 로그인</t>
  </si>
  <si>
    <t>1) URL 직접 입력으로 /settings/permissions 접근</t>
  </si>
  <si>
    <t>접근 거부 메시지 또는 메뉴 미표시</t>
  </si>
  <si>
    <t>TC-030</t>
  </si>
  <si>
    <t>지점 추가</t>
  </si>
  <si>
    <t>1) 지점 관리 접속
2) '지점 추가' 클릭
3) 이름/코드/주소 입력
4) 저장</t>
  </si>
  <si>
    <t>지점 추가 성공, 목록에 표시</t>
  </si>
  <si>
    <t>TC-031</t>
  </si>
  <si>
    <t>보안</t>
  </si>
  <si>
    <t>데이터 격리</t>
  </si>
  <si>
    <t>보안 테스트</t>
  </si>
  <si>
    <t>지점 간 데이터 격리 확인</t>
  </si>
  <si>
    <t>2개 이상 지점 데이터 존재</t>
  </si>
  <si>
    <t>1) A지점으로 로그인
2) 회원 목록 확인
3) B지점으로 전환
4) 회원 목록 확인</t>
  </si>
  <si>
    <t>각 지점에 소속된 회원만 표시, 타지점 데이터 미노출</t>
  </si>
  <si>
    <t>TC-032</t>
  </si>
  <si>
    <t>JWT 토큰 만료 처리</t>
  </si>
  <si>
    <t>로그인 완료</t>
  </si>
  <si>
    <t>1) JWT 토큰 만료 대기 (또는 수동 만료)
2) API 호출 시도</t>
  </si>
  <si>
    <t>401 Unauthorized, 로그인 페이지로 리다이렉트</t>
  </si>
  <si>
    <t>TC-033</t>
  </si>
  <si>
    <t>성능</t>
  </si>
  <si>
    <t>성능 테스트</t>
  </si>
  <si>
    <t>회원 목록 1000건 로딩 성능</t>
  </si>
  <si>
    <t>회원 1000건 데이터 존재</t>
  </si>
  <si>
    <t>1) 회원 목록 접속
2) 로딩 시간 측정</t>
  </si>
  <si>
    <t>3초 이내 첫 페이지 로딩 완료</t>
  </si>
  <si>
    <t>TC-034</t>
  </si>
  <si>
    <t>대시보드 초기 로딩 성능</t>
  </si>
  <si>
    <t>실 데이터 환경</t>
  </si>
  <si>
    <t>1) 대시보드 접속
2) 모든 위젯 로딩 시간 측정</t>
  </si>
  <si>
    <t>2초 이내 대시보드 완전 렌더링</t>
  </si>
  <si>
    <t>TC-035</t>
  </si>
  <si>
    <t>호환성</t>
  </si>
  <si>
    <t>브라우저</t>
  </si>
  <si>
    <t>호환성 테스트</t>
  </si>
  <si>
    <t>Safari 브라우저 호환성</t>
  </si>
  <si>
    <t>macOS Safari 최신</t>
  </si>
  <si>
    <t>1) Safari로 전체 기능 테스트
2) 레이아웃/기능 확인</t>
  </si>
  <si>
    <t>Chrome과 동일한 동작, 레이아웃 깨짐 없음</t>
  </si>
  <si>
    <t>Safari</t>
  </si>
  <si>
    <t>macOS</t>
  </si>
  <si>
    <t>TC-036</t>
  </si>
  <si>
    <t>Firefox 브라우저 호환성</t>
  </si>
  <si>
    <t>Firefox 최신</t>
  </si>
  <si>
    <t>1) Firefox로 전체 기능 테스트
2) 레이아웃/기능 확인</t>
  </si>
  <si>
    <t>Chrome과 동일한 동작</t>
  </si>
  <si>
    <t>Firefox</t>
  </si>
  <si>
    <t>TC-037</t>
  </si>
  <si>
    <t>출석 기록 일별 조회</t>
  </si>
  <si>
    <t>출석 데이터 존재</t>
  </si>
  <si>
    <t>1) 출석 기록 접속
2) 날짜 선택
3) 결과 확인</t>
  </si>
  <si>
    <t>선택 날짜의 출석 기록만 표시</t>
  </si>
  <si>
    <t>TC-038</t>
  </si>
  <si>
    <t>키보드</t>
  </si>
  <si>
    <t>키보드 네비게이션 - 로그인</t>
  </si>
  <si>
    <t>1) Tab키로 이메일→비밀번호→지점→버튼 이동
2) Enter키로 로그인</t>
  </si>
  <si>
    <t>Tab 순서 정확, Enter로 로그인 실행</t>
  </si>
  <si>
    <t>TC-039</t>
  </si>
  <si>
    <t>회원 등록 - 특수문자 이름</t>
  </si>
  <si>
    <t>1) 이름에 특수문자 입력 (!@#$)
2) '저장' 시도</t>
  </si>
  <si>
    <t>유효성 검사: '이름은 한글/영문만 입력 가능합니다' 또는 저장 차단</t>
  </si>
  <si>
    <t>TC-040</t>
  </si>
  <si>
    <t>POS 결제 - 마일리지 잔액 초과</t>
  </si>
  <si>
    <t>회원 마일리지 1000원, 상품 10000원</t>
  </si>
  <si>
    <t>1) 마일리지 결제 선택
2) 10000원 마일리지 사용 시도</t>
  </si>
  <si>
    <t>'마일리지 잔액이 부족합니다' 에러, 결제 불가</t>
  </si>
  <si>
    <t>TC-041</t>
  </si>
  <si>
    <t>급여 현황 조회</t>
  </si>
  <si>
    <t>급여 데이터 존재, 센터장 권한</t>
  </si>
  <si>
    <t>1) 급여 현황 접속
2) 월 선택
3) 테이블 확인</t>
  </si>
  <si>
    <t>해당 월 급여 테이블 표시, 합계 정확</t>
  </si>
  <si>
    <t>TC-042</t>
  </si>
  <si>
    <t>급여명세서 PDF 다운로드</t>
  </si>
  <si>
    <t>급여 데이터 존재</t>
  </si>
  <si>
    <t>1) 급여명세서 접속
2) 직원/월 선택
3) 'PDF 다운로드' 클릭</t>
  </si>
  <si>
    <t>PDF 파일 다운로드, 내용 정확</t>
  </si>
  <si>
    <t>TC-043</t>
  </si>
  <si>
    <t>쿠폰 생성</t>
  </si>
  <si>
    <t>매니저 이상 권한</t>
  </si>
  <si>
    <t>1) 쿠폰 관리 접속
2) '쿠폰 생성' 클릭
3) 이름/유형/할인값/기간 입력
4) 저장</t>
  </si>
  <si>
    <t>쿠폰 생성 성공, 목록에 표시</t>
  </si>
  <si>
    <t>TC-044</t>
  </si>
  <si>
    <t>마일리지 적립</t>
  </si>
  <si>
    <t>1) 마일리지 관리 접속
2) 회원 검색
3) '적립' 클릭
4) 금액 입력
5) 확인</t>
  </si>
  <si>
    <t>마일리지 적립 성공, 잔액 갱신, 이력 기록</t>
  </si>
  <si>
    <t>TC-045</t>
  </si>
  <si>
    <t>API</t>
  </si>
  <si>
    <t>API 테스트</t>
  </si>
  <si>
    <t>로그인 API - 정상 응답 구조</t>
  </si>
  <si>
    <t>테스트 계정 존재</t>
  </si>
  <si>
    <t>1) POST /api/v1/auth/login 호출
2) 응답 구조 확인</t>
  </si>
  <si>
    <t>200 OK, token/user 필드 존재, user에 role/branch_id 포함</t>
  </si>
  <si>
    <t>TC-046</t>
  </si>
  <si>
    <t>회원 목록 API - 페이지네이션</t>
  </si>
  <si>
    <t>회원 50건 이상</t>
  </si>
  <si>
    <t>1) GET /api/v1/members?page=1&amp;size=20
2) pagination 필드 확인
3) page=2 호출
4) 중복 데이터 없음 확인</t>
  </si>
  <si>
    <t>pagination 정확, 페이지 간 중복 없음</t>
  </si>
  <si>
    <t>TC-047</t>
  </si>
  <si>
    <t>RFID 리더 연동 환경</t>
  </si>
  <si>
    <t>1) RFID 관리 접속
2) 카드 스캔
3) 회원 매핑
4) 저장</t>
  </si>
  <si>
    <t>카드-회원 매핑 성공, 이력 기록</t>
  </si>
  <si>
    <t>TC-048</t>
  </si>
  <si>
    <t>GX룸 등록</t>
  </si>
  <si>
    <t>1) 룸 관리 접속
2) '룸 등록' 클릭
3) 룸명/유형/수용인원 입력
4) 저장</t>
  </si>
  <si>
    <t>룸 등록 성공, 카드 뷰에 표시</t>
  </si>
  <si>
    <t>TC-049</t>
  </si>
  <si>
    <t>IoT 기기 설정 존재</t>
  </si>
  <si>
    <t>1) IoT 설정 접속
2) '연결 테스트' 클릭</t>
  </si>
  <si>
    <t>연결 성공/실패 결과 표시</t>
  </si>
  <si>
    <t>TC-050</t>
  </si>
  <si>
    <t>데이터 초기화 - 2중 확인</t>
  </si>
  <si>
    <t>1) 지점 관리 → '데이터 초기화'
2) 첫 번째 확인 모달
3) 비밀번호 입력
4) 초기화 실행</t>
  </si>
  <si>
    <t>선택한 데이터 초기화 완료, 2중 확인 없이 초기화 불가</t>
  </si>
  <si>
    <t>TC-051</t>
  </si>
  <si>
    <t>날짜별 출석 조회</t>
  </si>
  <si>
    <t>여러 날짜 출석 존재</t>
  </si>
  <si>
    <t>1) 날짜 필터에서 어제 선택</t>
  </si>
  <si>
    <t>어제 날짜 출석 기록만 표시</t>
  </si>
  <si>
    <t>미실행</t>
  </si>
  <si>
    <t>TC-052</t>
  </si>
  <si>
    <t>체크인</t>
  </si>
  <si>
    <t>수동 체크인</t>
  </si>
  <si>
    <t>회원 등록 상태</t>
  </si>
  <si>
    <t>1) 체크인 버튼 클릭
2) 회원 검색
3) 유형 선택(정규)
4) 체크인 확인</t>
  </si>
  <si>
    <t>'체크인이 기록되었습니다.' toast, 목록에 추가</t>
  </si>
  <si>
    <t>TC-053</t>
  </si>
  <si>
    <t>체크아웃</t>
  </si>
  <si>
    <t>체크아웃 처리</t>
  </si>
  <si>
    <t>체크인 기록 존재, 미체크아웃</t>
  </si>
  <si>
    <t>1) 체크아웃 버튼 클릭</t>
  </si>
  <si>
    <t>'체크아웃이 기록되었습니다.' toast, 체크아웃 시각 표시</t>
  </si>
  <si>
    <t>TC-054</t>
  </si>
  <si>
    <t>출석 통계 정확성</t>
  </si>
  <si>
    <t>오늘 체크인 5건, 재실 3명</t>
  </si>
  <si>
    <t>1) 출석 통계 카드 확인</t>
  </si>
  <si>
    <t>오늘총: 5, 재실: 3, 월누적 정확</t>
  </si>
  <si>
    <t>TC-055</t>
  </si>
  <si>
    <t>빈 상태</t>
  </si>
  <si>
    <t>출석 빈 상태</t>
  </si>
  <si>
    <t>오늘 출석 0건</t>
  </si>
  <si>
    <t>1) 출석 페이지 접속</t>
  </si>
  <si>
    <t>TC-056</t>
  </si>
  <si>
    <t>에러</t>
  </si>
  <si>
    <t>에러 처리 테스트</t>
  </si>
  <si>
    <t>출석 로딩 실패</t>
  </si>
  <si>
    <t>API 에러</t>
  </si>
  <si>
    <t>1) API 실패 시뮬레이션
2) 에러 확인
3) 재시도</t>
  </si>
  <si>
    <t>'데이터를 불러올 수 없습니다' + 재시도 정상</t>
  </si>
  <si>
    <t>TC-060</t>
  </si>
  <si>
    <t>1) 매출 관리 페이지 접속</t>
  </si>
  <si>
    <t>매출 목록 테이블 표시, 통계 요약</t>
  </si>
  <si>
    <t>TC-061</t>
  </si>
  <si>
    <t>기간 필터 매출 조회</t>
  </si>
  <si>
    <t>다양한 날짜 매출</t>
  </si>
  <si>
    <t>1) 기간필터 "이번달" 선택</t>
  </si>
  <si>
    <t>이번달 매출만 표시</t>
  </si>
  <si>
    <t>TC-062</t>
  </si>
  <si>
    <t>POS 결제 - 카드 결제</t>
  </si>
  <si>
    <t>회원/상품 등록 상태</t>
  </si>
  <si>
    <t>1) POS 페이지 접속
2) 회원 선택
3) 상품 선택
4) 카드 결제 선택
5) 결제 완료</t>
  </si>
  <si>
    <t>매출 등록 성공, '매출이 등록되었습니다.' toast</t>
  </si>
  <si>
    <t>TC-063</t>
  </si>
  <si>
    <t>POS 결제 - 현금 결제</t>
  </si>
  <si>
    <t>회원/상품 등록</t>
  </si>
  <si>
    <t>1) POS 결제
2) 현금 선택
3) 결제</t>
  </si>
  <si>
    <t>현금 결제 매출 등록 성공</t>
  </si>
  <si>
    <t>TC-064</t>
  </si>
  <si>
    <t>매출 기록 존재</t>
  </si>
  <si>
    <t>1) 매출 상세에서 수정
2) 금액 변경
3) 저장</t>
  </si>
  <si>
    <t>'매출이 수정되었습니다.' toast</t>
  </si>
  <si>
    <t>TC-065</t>
  </si>
  <si>
    <t>삭제</t>
  </si>
  <si>
    <t>1) 매출 삭제 클릭
2) 확인</t>
  </si>
  <si>
    <t>'매출이 삭제되었습니다.' toast, 목록에서 제거</t>
  </si>
  <si>
    <t>TC-066</t>
  </si>
  <si>
    <t>매출 통계 정확성</t>
  </si>
  <si>
    <t>1) 매출 통계 카드 확인</t>
  </si>
  <si>
    <t>전체금액/건수/월별금액/결제수단별 정확</t>
  </si>
  <si>
    <t>TC-067</t>
  </si>
  <si>
    <t>매출 빈 목록</t>
  </si>
  <si>
    <t>1) 매출 페이지 접속</t>
  </si>
  <si>
    <t>'등록된 매출이 없습니다' EmptyState</t>
  </si>
  <si>
    <t>TC-068</t>
  </si>
  <si>
    <t>POS 유효성 에러</t>
  </si>
  <si>
    <t>POS 페이지 접속</t>
  </si>
  <si>
    <t>1) 회원 미선택
2) 결제 클릭</t>
  </si>
  <si>
    <t>필수 항목 에러 표시</t>
  </si>
  <si>
    <t>TC-069</t>
  </si>
  <si>
    <t>POS 결제 완료 화면</t>
  </si>
  <si>
    <t>POS 결제 성공</t>
  </si>
  <si>
    <t>1) 결제 완료 상태 확인</t>
  </si>
  <si>
    <t>성공 아이콘 + 결제 요약 + 영수증/새결제/목록 버튼</t>
  </si>
  <si>
    <t>TC-070</t>
  </si>
  <si>
    <t>상품 등록 상태</t>
  </si>
  <si>
    <t>1) 상품 목록 접속</t>
  </si>
  <si>
    <t>상품 카드/리스트 표시</t>
  </si>
  <si>
    <t>TC-071</t>
  </si>
  <si>
    <t>필터</t>
  </si>
  <si>
    <t>다양한 카테고리 상품</t>
  </si>
  <si>
    <t>1) "PT" 카테고리 선택</t>
  </si>
  <si>
    <t>PT 상품만 표시</t>
  </si>
  <si>
    <t>TC-072</t>
  </si>
  <si>
    <t>정상 상품 등록</t>
  </si>
  <si>
    <t>상품 등록 페이지</t>
  </si>
  <si>
    <t>1) 이름: 1개월 회원권
2) 카테고리: MEMBERSHIP
3) 가격: 100000
4) 저장</t>
  </si>
  <si>
    <t>'상품이 등록되었습니다.' toast</t>
  </si>
  <si>
    <t>TC-073</t>
  </si>
  <si>
    <t>상품 등록 유효성 에러</t>
  </si>
  <si>
    <t>1) 이름 미입력
2) 저장</t>
  </si>
  <si>
    <t>이름 필드 에러, 가격 0 이하 에러</t>
  </si>
  <si>
    <t>TC-074</t>
  </si>
  <si>
    <t>상품 상세 접속</t>
  </si>
  <si>
    <t>1) 가격 변경
2) 저장</t>
  </si>
  <si>
    <t>'상품이 수정되었습니다.' toast</t>
  </si>
  <si>
    <t>TC-075</t>
  </si>
  <si>
    <t>1) 삭제 클릭
2) 확인</t>
  </si>
  <si>
    <t>'상품이 삭제되었습니다.' toast</t>
  </si>
  <si>
    <t>TC-076</t>
  </si>
  <si>
    <t>상품 빈 목록</t>
  </si>
  <si>
    <t>'등록된 상품이 없습니다' EmptyState</t>
  </si>
  <si>
    <t>TC-080</t>
  </si>
  <si>
    <t>직원 등록 상태</t>
  </si>
  <si>
    <t>1) 직원 목록 접속</t>
  </si>
  <si>
    <t>직원 테이블 표시</t>
  </si>
  <si>
    <t>TC-081</t>
  </si>
  <si>
    <t>역할별 필터</t>
  </si>
  <si>
    <t>다양한 역할 직원</t>
  </si>
  <si>
    <t>1) 역할 필터에서 "트레이너" 선택</t>
  </si>
  <si>
    <t>트레이너만 표시</t>
  </si>
  <si>
    <t>TC-082</t>
  </si>
  <si>
    <t>정상 직원 등록</t>
  </si>
  <si>
    <t>직원 등록 페이지</t>
  </si>
  <si>
    <t>1) 이름/연락처/역할/직급/입사일 입력
2) 저장</t>
  </si>
  <si>
    <t>'직원이 등록되었습니다.' toast</t>
  </si>
  <si>
    <t>TC-083</t>
  </si>
  <si>
    <t>직원 상세</t>
  </si>
  <si>
    <t>1) 정보 수정
2) 저장</t>
  </si>
  <si>
    <t>'직원 정보가 수정되었습니다.' toast</t>
  </si>
  <si>
    <t>TC-084</t>
  </si>
  <si>
    <t>직원 삭제 (비활성화)</t>
  </si>
  <si>
    <t>'직원이 삭제되었습니다.' toast, isActive=false</t>
  </si>
  <si>
    <t>TC-085</t>
  </si>
  <si>
    <t>직원 빈 목록</t>
  </si>
  <si>
    <t>'등록된 직원이 없습니다' EmptyState</t>
  </si>
  <si>
    <t>TC-086</t>
  </si>
  <si>
    <t>직원 등록 유효성 에러</t>
  </si>
  <si>
    <t>필수 필드 에러 표시</t>
  </si>
  <si>
    <t>TC-090</t>
  </si>
  <si>
    <t>1) 급여 관리 접속</t>
  </si>
  <si>
    <t>급여 테이블 표시 (년/월/직원/기본급/실지급)</t>
  </si>
  <si>
    <t>TC-091</t>
  </si>
  <si>
    <t>년월 필터</t>
  </si>
  <si>
    <t>여러 월 급여</t>
  </si>
  <si>
    <t>1) 년: 2026, 월: 3 선택</t>
  </si>
  <si>
    <t>2026년 3월 급여만 표시</t>
  </si>
  <si>
    <t>TC-092</t>
  </si>
  <si>
    <t>1) 급여 등록
2) 기본급 3000000
3) 보너스 500000
4) 공제 200000</t>
  </si>
  <si>
    <t>netSalary=3300000, '급여가 등록되었습니다.' toast</t>
  </si>
  <si>
    <t>TC-093</t>
  </si>
  <si>
    <t>지급</t>
  </si>
  <si>
    <t>PENDING 상태 급여</t>
  </si>
  <si>
    <t>1) 지급 버튼 클릭
2) 확인 다이얼로그 확인</t>
  </si>
  <si>
    <t>status=PAID, paidAt 설정, '급여가 지급 처리되었습니다.' toast</t>
  </si>
  <si>
    <t>TC-094</t>
  </si>
  <si>
    <t>명세서</t>
  </si>
  <si>
    <t>급여 기록 존재</t>
  </si>
  <si>
    <t>1) 명세서 보기 클릭</t>
  </si>
  <si>
    <t>급여 명세서 상세 표시 (수당/공제 항목)</t>
  </si>
  <si>
    <t>TC-095</t>
  </si>
  <si>
    <t>급여 빈 목록</t>
  </si>
  <si>
    <t>'등록된 급여 데이터가 없습니다' EmptyState</t>
  </si>
  <si>
    <t>TC-100</t>
  </si>
  <si>
    <t>락커관리</t>
  </si>
  <si>
    <t>락커 등록 상태</t>
  </si>
  <si>
    <t>1) 락커 현황 접속</t>
  </si>
  <si>
    <t>락커 그리드 표시 (사용가능/사용중/점검 색상 구분)</t>
  </si>
  <si>
    <t>TC-101</t>
  </si>
  <si>
    <t>배정</t>
  </si>
  <si>
    <t>빈 락커 존재</t>
  </si>
  <si>
    <t>1) 빈 락커 클릭
2) 회원 검색/선택
3) 만료일 설정
4) 배정</t>
  </si>
  <si>
    <t>'락커가 배정되었습니다.' toast, 락커 IN_USE로 변경</t>
  </si>
  <si>
    <t>TC-102</t>
  </si>
  <si>
    <t>반납</t>
  </si>
  <si>
    <t>배정된 락커 존재</t>
  </si>
  <si>
    <t>1) 사용 중 락커 클릭
2) 반납 클릭
3) 확인</t>
  </si>
  <si>
    <t>'락커가 반납되었습니다.' toast, AVAILABLE로 변경</t>
  </si>
  <si>
    <t>TC-103</t>
  </si>
  <si>
    <t>상태변경</t>
  </si>
  <si>
    <t>락커 점검 처리</t>
  </si>
  <si>
    <t>1) 락커 상태 변경
2) MAINTENANCE 선택</t>
  </si>
  <si>
    <t>'락커 상태가 변경되었습니다.' toast</t>
  </si>
  <si>
    <t>TC-104</t>
  </si>
  <si>
    <t>락커 상태 필터</t>
  </si>
  <si>
    <t>다양한 상태 락커</t>
  </si>
  <si>
    <t>1) 상태 필터에서 "사용중" 선택</t>
  </si>
  <si>
    <t>IN_USE 락커만 표시</t>
  </si>
  <si>
    <t>TC-110</t>
  </si>
  <si>
    <t>1) 메시지 발송 접속
2) SMS 선택
3) 수신자 선택
4) 내용 입력
5) 발송</t>
  </si>
  <si>
    <t>'메시지가 발송되었습니다.' toast</t>
  </si>
  <si>
    <t>TC-111</t>
  </si>
  <si>
    <t>카카오 메시지 발송</t>
  </si>
  <si>
    <t>1) KAKAO 선택
2) 수신자+내용
3) 발송</t>
  </si>
  <si>
    <t>카카오 발송 성공</t>
  </si>
  <si>
    <t>TC-112</t>
  </si>
  <si>
    <t>예약</t>
  </si>
  <si>
    <t>예약 발송</t>
  </si>
  <si>
    <t>1) 예약시간 설정
2) 발송</t>
  </si>
  <si>
    <t>'메시지가 예약되었습니다.' toast, status=SCHEDULED</t>
  </si>
  <si>
    <t>TC-113</t>
  </si>
  <si>
    <t>유효성</t>
  </si>
  <si>
    <t>수신자 미선택 발송 실패</t>
  </si>
  <si>
    <t>메시지 발송 페이지</t>
  </si>
  <si>
    <t>1) 수신자 미선택
2) 발송 클릭</t>
  </si>
  <si>
    <t>수신자 에러 메시지 표시</t>
  </si>
  <si>
    <t>TC-114</t>
  </si>
  <si>
    <t>이력</t>
  </si>
  <si>
    <t>발송 이력 존재</t>
  </si>
  <si>
    <t>1) 메시지 이력 접속</t>
  </si>
  <si>
    <t>발송 이력 테이블 표시</t>
  </si>
  <si>
    <t>TC-115</t>
  </si>
  <si>
    <t>유형별 이력 필터</t>
  </si>
  <si>
    <t>다양한 유형 이력</t>
  </si>
  <si>
    <t>1) SMS 필터 선택</t>
  </si>
  <si>
    <t>SMS 이력만 표시</t>
  </si>
  <si>
    <t>TC-120</t>
  </si>
  <si>
    <t>설정 데이터 존재</t>
  </si>
  <si>
    <t>1) 설정 페이지 접속</t>
  </si>
  <si>
    <t>영업시간/알림/회원권 설정 표시</t>
  </si>
  <si>
    <t>TC-121</t>
  </si>
  <si>
    <t>영업시간 수정</t>
  </si>
  <si>
    <t>설정 페이지 접속</t>
  </si>
  <si>
    <t>1) 영업시간 변경 (06:00→07:00)
2) 저장</t>
  </si>
  <si>
    <t>'설정이 저장되었습니다.' toast, 변경 반영</t>
  </si>
  <si>
    <t>TC-122</t>
  </si>
  <si>
    <t>알림 설정 토글</t>
  </si>
  <si>
    <t>설정 페이지</t>
  </si>
  <si>
    <t>1) SMS 알림 토글 ON
2) 저장</t>
  </si>
  <si>
    <t>smsEnabled=true 저장</t>
  </si>
  <si>
    <t>TC-123</t>
  </si>
  <si>
    <t>로딩</t>
  </si>
  <si>
    <t>설정 로딩 상태</t>
  </si>
  <si>
    <t>1) 설정 진입 시 로딩 확인</t>
  </si>
  <si>
    <t>폼 필드 스켈레톤 표시</t>
  </si>
  <si>
    <t>TC-124</t>
  </si>
  <si>
    <t>저장</t>
  </si>
  <si>
    <t>설정 저장 중 로딩</t>
  </si>
  <si>
    <t>설정 수정 후</t>
  </si>
  <si>
    <t>1) 저장 클릭
2) 로딩 확인</t>
  </si>
  <si>
    <t>저장 버튼: 스피너 + '저장 중...'</t>
  </si>
  <si>
    <t>TC-130</t>
  </si>
  <si>
    <t>지점 목록 조회</t>
  </si>
  <si>
    <t>지점 등록 상태</t>
  </si>
  <si>
    <t>1) 지점 관리 접속</t>
  </si>
  <si>
    <t>지점 목록 테이블 표시</t>
  </si>
  <si>
    <t>TC-131</t>
  </si>
  <si>
    <t>지점 관리 접속</t>
  </si>
  <si>
    <t>1) 추가 클릭
2) 지점명/주소/연락처 입력
3) 저장</t>
  </si>
  <si>
    <t>'지점이 등록되었습니다.' toast</t>
  </si>
  <si>
    <t>TC-132</t>
  </si>
  <si>
    <t>1) 수정 클릭
2) 주소 변경
3) 저장</t>
  </si>
  <si>
    <t>'지점 정보가 수정되었습니다.' toast</t>
  </si>
  <si>
    <t>TC-140</t>
  </si>
  <si>
    <t>체성분 분석 페이지</t>
  </si>
  <si>
    <t>측정 데이터 존재</t>
  </si>
  <si>
    <t>1) 체성분 분석 접속</t>
  </si>
  <si>
    <t>차트 + 측정 이력 표시</t>
  </si>
  <si>
    <t>TC-141</t>
  </si>
  <si>
    <t>체성분 빈 상태</t>
  </si>
  <si>
    <t>측정 0건</t>
  </si>
  <si>
    <t>1) 체성분 접속</t>
  </si>
  <si>
    <t>'체성분 측정 기록이 없습니다' EmptyState</t>
  </si>
  <si>
    <t>TC-150</t>
  </si>
  <si>
    <t>Step1</t>
  </si>
  <si>
    <t>계약 마법사 - 회원 선택</t>
  </si>
  <si>
    <t>계약 페이지 접속</t>
  </si>
  <si>
    <t>1) 회원 검색
2) 회원 선택
3) 다음</t>
  </si>
  <si>
    <t>회원 선택 완료, Step2로 이동</t>
  </si>
  <si>
    <t>TC-151</t>
  </si>
  <si>
    <t>Step2</t>
  </si>
  <si>
    <t>계약 마법사 - 상품 선택</t>
  </si>
  <si>
    <t>1) 상품 카테고리 선택
2) 상품 선택
3) 기간 설정
4) 다음</t>
  </si>
  <si>
    <t>상품 선택 + 옵션 설정 완료</t>
  </si>
  <si>
    <t>TC-152</t>
  </si>
  <si>
    <t>Step3</t>
  </si>
  <si>
    <t>계약 마법사 - 결제 완료</t>
  </si>
  <si>
    <t>1) 결제 수단 선택
2) 금액 확인
3) 결제</t>
  </si>
  <si>
    <t>계약 완료 성공 화면 표시</t>
  </si>
  <si>
    <t>TC-153</t>
  </si>
  <si>
    <t>회원 미선택 시 다음 불가</t>
  </si>
  <si>
    <t>계약 페이지</t>
  </si>
  <si>
    <t>1) 회원 미선택
2) 다음 클릭</t>
  </si>
  <si>
    <t>다음 버튼 비활성 또는 에러</t>
  </si>
  <si>
    <t>TC-160</t>
  </si>
  <si>
    <t>쿠폰관리</t>
  </si>
  <si>
    <t>쿠폰 목록 조회</t>
  </si>
  <si>
    <t>쿠폰 등록 상태</t>
  </si>
  <si>
    <t>1) 쿠폰 관리 접속</t>
  </si>
  <si>
    <t>쿠폰 카드/리스트 표시</t>
  </si>
  <si>
    <t>TC-161</t>
  </si>
  <si>
    <t>생성</t>
  </si>
  <si>
    <t>쿠폰 관리 접속</t>
  </si>
  <si>
    <t>1) 생성 클릭
2) 타입/금액/유효기간 입력
3) 저장</t>
  </si>
  <si>
    <t>쿠폰 생성 성공</t>
  </si>
  <si>
    <t>TC-162</t>
  </si>
  <si>
    <t>쿠폰 빈 상태</t>
  </si>
  <si>
    <t>'등록된 쿠폰이 없습니다' EmptyState</t>
  </si>
  <si>
    <t>TC-165</t>
  </si>
  <si>
    <t>마일리지 이력 조회</t>
  </si>
  <si>
    <t>마일리지 이력 존재</t>
  </si>
  <si>
    <t>1) 마일리지 관리 접속</t>
  </si>
  <si>
    <t>마일리지 이력 테이블 표시</t>
  </si>
  <si>
    <t>TC-166</t>
  </si>
  <si>
    <t>마일리지 빈 상태</t>
  </si>
  <si>
    <t>1) 마일리지 접속</t>
  </si>
  <si>
    <t>'마일리지 이력이 없습니다' EmptyState</t>
  </si>
  <si>
    <t>TC-170</t>
  </si>
  <si>
    <t>구독 관리 조회</t>
  </si>
  <si>
    <t>구독 데이터 존재</t>
  </si>
  <si>
    <t>1) 구독 관리 접속</t>
  </si>
  <si>
    <t>구독 플랜/상태 표시</t>
  </si>
  <si>
    <t>TC-175</t>
  </si>
  <si>
    <t>RFID 카드 등록 상태</t>
  </si>
  <si>
    <t>1) RFID 관리 접속</t>
  </si>
  <si>
    <t>RFID 카드 목록 표시</t>
  </si>
  <si>
    <t>TC-176</t>
  </si>
  <si>
    <t>RFID 빈 상태</t>
  </si>
  <si>
    <t>'등록된 RFID 카드가 없습니다' EmptyState</t>
  </si>
  <si>
    <t>TC-180</t>
  </si>
  <si>
    <t>키오스크 설정 조회</t>
  </si>
  <si>
    <t>키오스크 설정 존재</t>
  </si>
  <si>
    <t>1) 키오스크 설정 접속</t>
  </si>
  <si>
    <t>키오스크 설정 화면 표시</t>
  </si>
  <si>
    <t>TC-185</t>
  </si>
  <si>
    <t>IoT 장비 목록 조회</t>
  </si>
  <si>
    <t>IoT 장비 등록 상태</t>
  </si>
  <si>
    <t>1) IoT 설정 접속</t>
  </si>
  <si>
    <t>IoT 장비 목록 표시</t>
  </si>
  <si>
    <t>TC-186</t>
  </si>
  <si>
    <t>IoT 빈 상태</t>
  </si>
  <si>
    <t>'등록된 IoT 장비가 없습니다' EmptyState</t>
  </si>
  <si>
    <t>TC-190</t>
  </si>
  <si>
    <t>사이드바</t>
  </si>
  <si>
    <t>사이드바 메뉴 네비게이션</t>
  </si>
  <si>
    <t>로그인 상태</t>
  </si>
  <si>
    <t>1) 사이드바 메뉴 항목 클릭</t>
  </si>
  <si>
    <t>해당 페이지로 이동, 활성 메뉴 하이라이트</t>
  </si>
  <si>
    <t>TC-191</t>
  </si>
  <si>
    <t>사이드바 접기/펼치기</t>
  </si>
  <si>
    <t>1) 접기 버튼 클릭
2) 아이콘만 표시 확인
3) 펼치기</t>
  </si>
  <si>
    <t>240px→60px 전환, 아이콘만 표시, 다시 펼침</t>
  </si>
  <si>
    <t>TC-192</t>
  </si>
  <si>
    <t>반응형 테스트</t>
  </si>
  <si>
    <t>모바일 사이드바</t>
  </si>
  <si>
    <t>모바일 뷰포트</t>
  </si>
  <si>
    <t>1) 햄버거 아이콘 클릭
2) 슬라이드 오버레이 확인
3) 바깥 클릭 닫기</t>
  </si>
  <si>
    <t>슬라이드 오버레이 열림/닫힘</t>
  </si>
  <si>
    <t>TC-193</t>
  </si>
  <si>
    <t>사이드바 사용자 정보 표시</t>
  </si>
  <si>
    <t>1) 사이드바 하단 사용자 정보 확인</t>
  </si>
  <si>
    <t>로그인한 사용자 이름/역할 표시</t>
  </si>
  <si>
    <t>TC-194</t>
  </si>
  <si>
    <t>Toast 성공 알림</t>
  </si>
  <si>
    <t>API 호출 성공</t>
  </si>
  <si>
    <t>1) 회원 등록 등 성공 액션
2) Toast 확인</t>
  </si>
  <si>
    <t>성공 Toast 표시, 3초 후 자동 닫힘</t>
  </si>
  <si>
    <t>TC-195</t>
  </si>
  <si>
    <t>Toast 에러 알림</t>
  </si>
  <si>
    <t>API 호출 실패</t>
  </si>
  <si>
    <t>1) 에러 발생 시
2) Toast 확인</t>
  </si>
  <si>
    <t>에러 Toast 표시 (빨간색)</t>
  </si>
  <si>
    <t>TC-196</t>
  </si>
  <si>
    <t>EmptyState 컴포넌트</t>
  </si>
  <si>
    <t>1) 데이터 없는 목록 접속</t>
  </si>
  <si>
    <t>아이콘 + 메시지 + CTA 버튼 표시</t>
  </si>
  <si>
    <t>TC-197</t>
  </si>
  <si>
    <t>확인 다이얼로그</t>
  </si>
  <si>
    <t>삭제 확인 다이얼로그</t>
  </si>
  <si>
    <t>삭제 가능 항목</t>
  </si>
  <si>
    <t>1) 삭제 클릭
2) 다이얼로그 확인
3) 취소 클릭
4) 다시 삭제
5) 확인 클릭</t>
  </si>
  <si>
    <t>다이얼로그 표시, 취소 시 닫힘, 확인 시 삭제 처리</t>
  </si>
  <si>
    <t>TC-198</t>
  </si>
  <si>
    <t>테이블 페이지네이션</t>
  </si>
  <si>
    <t>20건+ 데이터</t>
  </si>
  <si>
    <t>1) 다음 페이지 클릭
2) 이전 페이지
3) 페이지 번호 직접 클릭</t>
  </si>
  <si>
    <t>페이지 이동, 현재 페이지 하이라이트</t>
  </si>
  <si>
    <t>TC-199</t>
  </si>
  <si>
    <t>테이블 정렬</t>
  </si>
  <si>
    <t>컬럼 정렬</t>
  </si>
  <si>
    <t>테이블 데이터 존재</t>
  </si>
  <si>
    <t>1) 컬럼 헤더 클릭
2) 정렬 방향 확인
3) 다시 클릭</t>
  </si>
  <si>
    <t>오름차순/내림차순 토글, 정렬 아이콘 변경</t>
  </si>
  <si>
    <t>TC-200</t>
  </si>
  <si>
    <t>브레이크포인트</t>
  </si>
  <si>
    <t>1280px 이상 레이아웃</t>
  </si>
  <si>
    <t>데스크톱 뷰포트</t>
  </si>
  <si>
    <t>1) 1280px 이상 뷰포트
2) 대시보드/목록 확인</t>
  </si>
  <si>
    <t>4열 카드, 3열 차트, 테이블 풀너비</t>
  </si>
  <si>
    <t>TC-201</t>
  </si>
  <si>
    <t>768~1279px 레이아웃</t>
  </si>
  <si>
    <t>태블릿 뷰포트</t>
  </si>
  <si>
    <t>1) 1024px 뷰포트
2) 레이아웃 확인</t>
  </si>
  <si>
    <t>카드 3열→2열, 차트 2열, 테이블 가로스크롤</t>
  </si>
  <si>
    <t>TC-202</t>
  </si>
  <si>
    <t>768px 미만 레이아웃</t>
  </si>
  <si>
    <t>1) 375px 뷰포트
2) 레이아웃 확인</t>
  </si>
  <si>
    <t>카드 1열, 차트 1열, 사이드바 오버레이</t>
  </si>
  <si>
    <t>TC-203</t>
  </si>
  <si>
    <t>접근성 테스트</t>
  </si>
  <si>
    <t>키보드 네비게이션</t>
  </si>
  <si>
    <t>로그인 페이지</t>
  </si>
  <si>
    <t>1) Tab키로 포커스 이동
2) Enter로 로그인</t>
  </si>
  <si>
    <t>Tab 순서 정상, Enter 동작, 포커스 링 표시</t>
  </si>
  <si>
    <t>TC-204</t>
  </si>
  <si>
    <t>aria</t>
  </si>
  <si>
    <t>aria-label 확인</t>
  </si>
  <si>
    <t>각 페이지</t>
  </si>
  <si>
    <t>1) 주요 입력 필드 aria-label 확인</t>
  </si>
  <si>
    <t>입력/버튼/탭에 aria-label 설정됨</t>
  </si>
  <si>
    <t>TC-058</t>
  </si>
  <si>
    <t>POS 장바구니 수량 변경</t>
  </si>
  <si>
    <t>POS 상품 선택</t>
  </si>
  <si>
    <t>1) 장바구니 상품 수량 +
2) 수량 - 
3) 총액 확인</t>
  </si>
  <si>
    <t>수량 변경 시 총액 자동 재계산</t>
  </si>
  <si>
    <t>TC-059</t>
  </si>
  <si>
    <t>POS 할인 적용</t>
  </si>
  <si>
    <t>1) 할인 금액 입력
2) 총액 확인</t>
  </si>
  <si>
    <t>할인 적용 후 총액 감소</t>
  </si>
  <si>
    <t>TC-057</t>
  </si>
  <si>
    <t>POS 분할결제</t>
  </si>
  <si>
    <t>1) 분할결제 선택
2) 카드 50000 + 현금 50000
3) 결제</t>
  </si>
  <si>
    <t>분할결제 성공, 각 결제수단별 금액 기록</t>
  </si>
  <si>
    <t>TC-055b</t>
  </si>
  <si>
    <t>PT 수업 체크인</t>
  </si>
  <si>
    <t>회원 PT 이용권 존재</t>
  </si>
  <si>
    <t>1) 체크인 모달
2) 유형: PT 선택
3) 체크인</t>
  </si>
  <si>
    <t>PT 유형으로 체크인 기록</t>
  </si>
  <si>
    <t>TC-055c</t>
  </si>
  <si>
    <t>GX 수업 체크인</t>
  </si>
  <si>
    <t>1) 유형: GX 선택
2) 체크인</t>
  </si>
  <si>
    <t>GX 유형으로 체크인 기록</t>
  </si>
  <si>
    <t>TC-105</t>
  </si>
  <si>
    <t>이미 배정된 락커 재배정 시도</t>
  </si>
  <si>
    <t>사용중 락커</t>
  </si>
  <si>
    <t>1) 사용 중 락커 클릭
2) 배정 시도</t>
  </si>
  <si>
    <t>이미 배정됨 안내, 반납 먼저 필요</t>
  </si>
  <si>
    <t>TC-106</t>
  </si>
  <si>
    <t>만료</t>
  </si>
  <si>
    <t>만료된 락커 표시</t>
  </si>
  <si>
    <t>만료일 지난 락커</t>
  </si>
  <si>
    <t>1) 락커 현황 확인</t>
  </si>
  <si>
    <t>만료 락커 빨간색 강조 표시</t>
  </si>
  <si>
    <t>TC-096</t>
  </si>
  <si>
    <t>급여 명세서 인쇄</t>
  </si>
  <si>
    <t>명세서 조회 상태</t>
  </si>
  <si>
    <t>1) 인쇄 버튼 클릭
2) 인쇄 미리보기 확인</t>
  </si>
  <si>
    <t>인쇄 미리보기 모달 표시, PDF 다운로드 가능</t>
  </si>
  <si>
    <t>TC-097</t>
  </si>
  <si>
    <t>급여 netSalary 자동계산</t>
  </si>
  <si>
    <t>급여 등록 페이지</t>
  </si>
  <si>
    <t>1) 기본급: 3000000
2) 보너스: 500000
3) 공제: 200000
4) 실지급액 확인</t>
  </si>
  <si>
    <t>실지급액 = 3000000 + 500000 - 200000 = 3300000 자동표시</t>
  </si>
  <si>
    <t>TC-116</t>
  </si>
  <si>
    <t>내용 미입력 발송 실패</t>
  </si>
  <si>
    <t>1) 수신자 선택
2) 내용 미입력
3) 발송</t>
  </si>
  <si>
    <t>내용 필수 에러 표시</t>
  </si>
  <si>
    <t>TC-117</t>
  </si>
  <si>
    <t>기간별 이력 필터</t>
  </si>
  <si>
    <t>이력 존재</t>
  </si>
  <si>
    <t>1) 시작일/종료일 설정
2) 조회</t>
  </si>
  <si>
    <t>해당 기간 이력만 표시</t>
  </si>
  <si>
    <t>TC-125</t>
  </si>
  <si>
    <t>만료 알림 설정</t>
  </si>
  <si>
    <t>1) 자동만료알림 ON
2) D-7 설정
3) 저장</t>
  </si>
  <si>
    <t>autoExpireNotification=true, expireNoticeDays=7</t>
  </si>
  <si>
    <t>TC-133</t>
  </si>
  <si>
    <t>지점 등록 필수 필드 에러</t>
  </si>
  <si>
    <t>지점 추가 모달</t>
  </si>
  <si>
    <t>1) 지점명 미입력
2) 저장</t>
  </si>
  <si>
    <t>TC-154</t>
  </si>
  <si>
    <t>상품 미선택 시 다음 불가</t>
  </si>
  <si>
    <t>1) 상품 미선택
2) 다음 클릭</t>
  </si>
  <si>
    <t>다음 불가, 상품 선택 안내</t>
  </si>
  <si>
    <t>TC-155</t>
  </si>
  <si>
    <t>완료</t>
  </si>
  <si>
    <t>계약 완료 화면</t>
  </si>
  <si>
    <t>1) 완료 화면 확인</t>
  </si>
  <si>
    <t>성공 아이콘 + 계약 요약 + 계약서출력/회원상세/목록 버튼</t>
  </si>
  <si>
    <t>TC-163</t>
  </si>
  <si>
    <t>쿠폰 유효기간 설정</t>
  </si>
  <si>
    <t>쿠폰 생성 모달</t>
  </si>
  <si>
    <t>1) 유효기간 시작/종료 설정
2) 저장</t>
  </si>
  <si>
    <t>유효기간 범위 설정 완료</t>
  </si>
  <si>
    <t>TC-056b</t>
  </si>
  <si>
    <t>SalesPos 상품 검색</t>
  </si>
  <si>
    <t>1) 상품 검색 입력
2) 결과 확인</t>
  </si>
  <si>
    <t>검색어와 일치하는 상품만 표시</t>
  </si>
  <si>
    <t>TC-056c</t>
  </si>
  <si>
    <t>SalesPos 로딩 상태</t>
  </si>
  <si>
    <t>POS 진입</t>
  </si>
  <si>
    <t>1) 상품 로딩 확인</t>
  </si>
  <si>
    <t>상품 그리드 스켈레톤 표시</t>
  </si>
  <si>
    <t>TC-187</t>
  </si>
  <si>
    <t>자동알림 설정 조회</t>
  </si>
  <si>
    <t>자동알림 설정 존재</t>
  </si>
  <si>
    <t>1) 자동알림 설정 접속</t>
  </si>
  <si>
    <t>알림 규칙 목록 표시</t>
  </si>
  <si>
    <t>TC-188</t>
  </si>
  <si>
    <t>권한 매트릭스 조회</t>
  </si>
  <si>
    <t>권한 설정 존재</t>
  </si>
  <si>
    <t>1) 권한 설정 접속</t>
  </si>
  <si>
    <t>역할별 권한 매트릭스 표시</t>
  </si>
  <si>
    <t>TC-189</t>
  </si>
  <si>
    <t>시설 목록 조회</t>
  </si>
  <si>
    <t>시설 등록 상태</t>
  </si>
  <si>
    <t>1) 시설 관리 접속</t>
  </si>
  <si>
    <t>시설/룸 목록 표시</t>
  </si>
  <si>
    <t>TC-189b</t>
  </si>
  <si>
    <t>시설 추가</t>
  </si>
  <si>
    <t>시설 관리 접속</t>
  </si>
  <si>
    <t>1) 추가 클릭
2) 시설명/유형 입력
3) 저장</t>
  </si>
  <si>
    <t>시설 등록 성공</t>
  </si>
  <si>
    <t>TC-189c</t>
  </si>
  <si>
    <t>시설 빈 상태</t>
  </si>
  <si>
    <t>'등록된 시설이 없습니다' EmptyState</t>
  </si>
  <si>
    <t>TC-205</t>
  </si>
  <si>
    <t>회원목록</t>
  </si>
  <si>
    <t>회원 목록 모바일 뷰</t>
  </si>
  <si>
    <t>1) 회원 목록 접속
2) 카드형 리스트 확인</t>
  </si>
  <si>
    <t>카드형 리스트, 검색 상단 고정</t>
  </si>
  <si>
    <t>TC-206</t>
  </si>
  <si>
    <t>매출 관리 모바일 뷰</t>
  </si>
  <si>
    <t>1) 매출 접속
2) 카드형 확인</t>
  </si>
  <si>
    <t>TC-207</t>
  </si>
  <si>
    <t>직원 목록 모바일 뷰</t>
  </si>
  <si>
    <t>TC-208</t>
  </si>
  <si>
    <t>락커 현황 모바일 뷰</t>
  </si>
  <si>
    <t>축소 그리드, 터치 선택</t>
  </si>
  <si>
    <t>TC-209</t>
  </si>
  <si>
    <t>출석 관리 모바일 뷰</t>
  </si>
  <si>
    <t>1) 출석 관리 접속</t>
  </si>
  <si>
    <t>카드형 출석 목록</t>
  </si>
  <si>
    <t>TC-210</t>
  </si>
  <si>
    <t>캘린더</t>
  </si>
  <si>
    <t>캘린더 모바일 뷰</t>
  </si>
  <si>
    <t>1) 캘린더 접속</t>
  </si>
  <si>
    <t>리스트 뷰 기본, 캘린더 접기 가능</t>
  </si>
  <si>
    <t>TC-211</t>
  </si>
  <si>
    <t>에러처리</t>
  </si>
  <si>
    <t>네트워크</t>
  </si>
  <si>
    <t>네트워크 단절 시 동작</t>
  </si>
  <si>
    <t>1) 네트워크 단절
2) API 호출 시도</t>
  </si>
  <si>
    <t>에러 toast 표시, 재시도 안내</t>
  </si>
  <si>
    <t>TC-212</t>
  </si>
  <si>
    <t>404</t>
  </si>
  <si>
    <t>존재하지 않는 URL 접근</t>
  </si>
  <si>
    <t>1) /invalid-path 접속</t>
  </si>
  <si>
    <t>404 Not Found 페이지 표시</t>
  </si>
  <si>
    <t>TC-213</t>
  </si>
  <si>
    <t>403</t>
  </si>
  <si>
    <t>권한 없는 페이지 접근</t>
  </si>
  <si>
    <t>일반 직원 로그인</t>
  </si>
  <si>
    <t>1) 관리자 전용 페이지 접속</t>
  </si>
  <si>
    <t>403 Forbidden 페이지 또는 리다이렉트</t>
  </si>
  <si>
    <t>TC-220</t>
  </si>
  <si>
    <t>이메일 중복 회원 등록</t>
  </si>
  <si>
    <t>동일 이메일 회원 존재</t>
  </si>
  <si>
    <t>1) 기존 이메일로 등록 시도</t>
  </si>
  <si>
    <t>중복 에러 또는 등록 허용 (정책에 따름)</t>
  </si>
  <si>
    <t>TC-221</t>
  </si>
  <si>
    <t>연락처 형식 검증</t>
  </si>
  <si>
    <t>회원 등록 페이지</t>
  </si>
  <si>
    <t>1) 연락처에 "abc" 입력
2) 저장</t>
  </si>
  <si>
    <t>연락처 형식 에러 메시지</t>
  </si>
  <si>
    <t>TC-222</t>
  </si>
  <si>
    <t>회원 상태 변경</t>
  </si>
  <si>
    <t>회원 상세 접속</t>
  </si>
  <si>
    <t>1) 상태를 ACTIVE → HOLDING 변경
2) 저장</t>
  </si>
  <si>
    <t>상태 변경 성공, 목록 반영</t>
  </si>
  <si>
    <t>TC-223</t>
  </si>
  <si>
    <t>전체선택 체크박스</t>
  </si>
  <si>
    <t>회원 목록 20건 표시</t>
  </si>
  <si>
    <t>1) 전체선택 체크박스 클릭</t>
  </si>
  <si>
    <t>현재 페이지 전체 선택, 벌크 액션바 표시</t>
  </si>
  <si>
    <t>TC-224</t>
  </si>
  <si>
    <t>프로필 이미지 설정</t>
  </si>
  <si>
    <t>1) 프로필 이미지 업로드</t>
  </si>
  <si>
    <t>이미지 미리보기 표시</t>
  </si>
  <si>
    <t>TC-225</t>
  </si>
  <si>
    <t>메모 추가/수정</t>
  </si>
  <si>
    <t>1) 커뮤니케이션 탭
2) 메모 작성
3) 저장</t>
  </si>
  <si>
    <t>메모 저장 성공, 목록에 추가</t>
  </si>
  <si>
    <t>TC-226</t>
  </si>
  <si>
    <t>매출 목록 표시</t>
  </si>
  <si>
    <t>1) 매출 행 클릭</t>
  </si>
  <si>
    <t>매출 상세 정보 표시 (상품명/금액/결제수단/상태)</t>
  </si>
  <si>
    <t>TC-227</t>
  </si>
  <si>
    <t>환불</t>
  </si>
  <si>
    <t>매출 환불 처리</t>
  </si>
  <si>
    <t>완료 상태 매출</t>
  </si>
  <si>
    <t>1) 환불 버튼 클릭
2) 사유 입력
3) 확인</t>
  </si>
  <si>
    <t>status=REFUNDED 변경</t>
  </si>
  <si>
    <t>TC-228</t>
  </si>
  <si>
    <t>결제수단별 통계</t>
  </si>
  <si>
    <t>다양한 결제수단 매출</t>
  </si>
  <si>
    <t>1) 통계 확인</t>
  </si>
  <si>
    <t>카드/현금/이체/마일리지별 금액 정확</t>
  </si>
  <si>
    <t>TC-229</t>
  </si>
  <si>
    <t>회원별 출석 필터</t>
  </si>
  <si>
    <t>회원 출석 기록</t>
  </si>
  <si>
    <t>1) 회원ID로 필터</t>
  </si>
  <si>
    <t>해당 회원 출석만 표시</t>
  </si>
  <si>
    <t>TC-230</t>
  </si>
  <si>
    <t>중복 체크인 방지</t>
  </si>
  <si>
    <t>이미 체크인 상태</t>
  </si>
  <si>
    <t>1) 동일 회원 재체크인 시도</t>
  </si>
  <si>
    <t>중복 체크인 경고 또는 기록</t>
  </si>
  <si>
    <t>TC-231</t>
  </si>
  <si>
    <t>상품 활성/비활성 토글</t>
  </si>
  <si>
    <t>1) 비활성 토글
2) 비활성 상품 포함 조회</t>
  </si>
  <si>
    <t>비활성 상품도 표시 (회색)</t>
  </si>
  <si>
    <t>TC-232</t>
  </si>
  <si>
    <t>1) 상품 클릭</t>
  </si>
  <si>
    <t>상품 상세 정보 표시</t>
  </si>
  <si>
    <t>TC-233</t>
  </si>
  <si>
    <t>활성/비활성 직원 필터</t>
  </si>
  <si>
    <t>1) 비활성 포함 필터</t>
  </si>
  <si>
    <t>비활성 직원도 표시</t>
  </si>
  <si>
    <t>TC-234</t>
  </si>
  <si>
    <t>단건</t>
  </si>
  <si>
    <t>직원 상세 조회</t>
  </si>
  <si>
    <t>1) 직원 클릭</t>
  </si>
  <si>
    <t>직원 상세 정보 표시</t>
  </si>
  <si>
    <t>TC-235</t>
  </si>
  <si>
    <t>락커 상태별 색상 확인</t>
  </si>
  <si>
    <t>1) 락커 그리드 확인</t>
  </si>
  <si>
    <t>사용가능(녹색)/사용중(파랑)/점검(회색) 색상 구분</t>
  </si>
  <si>
    <t>TC-236</t>
  </si>
  <si>
    <t>다수 수신자 발송</t>
  </si>
  <si>
    <t>회원 100명</t>
  </si>
  <si>
    <t>1) 수신자 50명 선택
2) SMS 발송</t>
  </si>
  <si>
    <t>50명 일괄 발송 성공</t>
  </si>
  <si>
    <t>TC-237</t>
  </si>
  <si>
    <t>메시지 발송 중 로딩</t>
  </si>
  <si>
    <t>1) 발송 클릭
2) 로딩 확인</t>
  </si>
  <si>
    <t>버튼: 스피너 + '발송 중...', 비활성</t>
  </si>
  <si>
    <t>TC-238</t>
  </si>
  <si>
    <t>일정 추가</t>
  </si>
  <si>
    <t>캘린더 접속</t>
  </si>
  <si>
    <t>1) 날짜 클릭
2) 일정 추가 모달
3) 정보 입력
4) 저장</t>
  </si>
  <si>
    <t>일정 추가 성공, 캘린더에 표시</t>
  </si>
  <si>
    <t>TC-239</t>
  </si>
  <si>
    <t>월 네비게이션</t>
  </si>
  <si>
    <t>1) 다음 월 클릭
2) 이전 월 클릭</t>
  </si>
  <si>
    <t>월 전환 정상, 해당 월 일정 로딩</t>
  </si>
  <si>
    <t>TC-240</t>
  </si>
  <si>
    <t>일정 없는 달</t>
  </si>
  <si>
    <t>일정 0건 월</t>
  </si>
  <si>
    <t>1) 해당 월 확인</t>
  </si>
  <si>
    <t>'등록된 일정이 없습니다' EmptyState</t>
  </si>
  <si>
    <t>TC-241</t>
  </si>
  <si>
    <t>1) 지점 행 클릭</t>
  </si>
  <si>
    <t>지점 상세 정보 모달/페이지 표시</t>
  </si>
  <si>
    <t>TC-242</t>
  </si>
  <si>
    <t>지점 목록 로딩</t>
  </si>
  <si>
    <t>1) 로딩 확인</t>
  </si>
  <si>
    <t>테이블 스켈레톤 표시</t>
  </si>
  <si>
    <t>TC-243</t>
  </si>
  <si>
    <t>세션</t>
  </si>
  <si>
    <t>토큰 자동 갱신</t>
  </si>
  <si>
    <t>로그인 상태, 토큰 만료 임박</t>
  </si>
  <si>
    <t>1) 토큰 만료 시점에 API 호출</t>
  </si>
  <si>
    <t>Supabase Auth 자동 갱신, 사용자 경험 중단 없음</t>
  </si>
  <si>
    <t>TC-244</t>
  </si>
  <si>
    <t>세션 만료 리다이렉트</t>
  </si>
  <si>
    <t>토큰 완전 만료</t>
  </si>
  <si>
    <t>1) 만료 후 페이지 이동</t>
  </si>
  <si>
    <t>로그인 페이지로 자동 리다이렉트</t>
  </si>
  <si>
    <t>TC-245</t>
  </si>
  <si>
    <t>데이터격리</t>
  </si>
  <si>
    <t>branchId 기반 데이터 격리</t>
  </si>
  <si>
    <t>지점A 로그인</t>
  </si>
  <si>
    <t>1) 지점A 로그인
2) 회원 목록 확인
3) 다른 지점 데이터 미노출 확인</t>
  </si>
  <si>
    <t>지점A 데이터만 표시, 타지점 데이터 미노출</t>
  </si>
  <si>
    <t>TC-246</t>
  </si>
  <si>
    <t>branchId localStorage 검증</t>
  </si>
  <si>
    <t>1) localStorage branchId 확인
2) 로그아웃 후 확인</t>
  </si>
  <si>
    <t>로그인 시 저장, 로그아웃 시 제거</t>
  </si>
  <si>
    <t>TC-247</t>
  </si>
  <si>
    <t>타임아웃</t>
  </si>
  <si>
    <t>API 타임아웃 처리</t>
  </si>
  <si>
    <t>느린 네트워크</t>
  </si>
  <si>
    <t>1) 네트워크 throttle 적용
2) API 호출</t>
  </si>
  <si>
    <t>타임아웃 후 에러 toast, 재시도 가능</t>
  </si>
  <si>
    <t>TC-248</t>
  </si>
  <si>
    <t>동시성</t>
  </si>
  <si>
    <t>동시 저장 충돌</t>
  </si>
  <si>
    <t>2명 동시 수정</t>
  </si>
  <si>
    <t>1) 동일 회원 동시 수정
2) 저장</t>
  </si>
  <si>
    <t>후행 저장 성공 또는 충돌 경고</t>
  </si>
  <si>
    <t>TC-249</t>
  </si>
  <si>
    <t>페이지로딩</t>
  </si>
  <si>
    <t>대시보드 초기 로딩 시간</t>
  </si>
  <si>
    <t>콜드 스타트</t>
  </si>
  <si>
    <t>1) 로그인 후 대시보드 로딩 시간 측정</t>
  </si>
  <si>
    <t>3초 이내 전체 로딩 완료</t>
  </si>
  <si>
    <t>TC-250</t>
  </si>
  <si>
    <t>목록조회</t>
  </si>
  <si>
    <t>회원 1000건 목록 성능</t>
  </si>
  <si>
    <t>회원 1000명 등록</t>
  </si>
  <si>
    <t>2초 이내 목록 표시, 페이지네이션 정상</t>
  </si>
  <si>
    <t>TC-251</t>
  </si>
  <si>
    <t>정상 SMS 발송</t>
  </si>
  <si>
    <t>회원 선택, 메시지 작성</t>
  </si>
  <si>
    <t>1) 수신자 선택 2) 메시지 입력 3) 발송 클릭</t>
  </si>
  <si>
    <t>발송 성공 토스트, 발송이력 기록</t>
  </si>
  <si>
    <t>TC-252</t>
  </si>
  <si>
    <t>수신자 미선택 발송 시도</t>
  </si>
  <si>
    <t>1) 수신자 미선택 상태로 발송 클릭</t>
  </si>
  <si>
    <t>수신자 선택 필요 에러</t>
  </si>
  <si>
    <t>TC-253</t>
  </si>
  <si>
    <t>발송이력 조회</t>
  </si>
  <si>
    <t>1) 발송이력 탭 클릭</t>
  </si>
  <si>
    <t>발송일시/수신자/내용/상태 표시</t>
  </si>
  <si>
    <t>TC-254</t>
  </si>
  <si>
    <t>룸상태</t>
  </si>
  <si>
    <t>시설 상태 토글 (운영→점검→고장)</t>
  </si>
  <si>
    <t>시설 목록 존재</t>
  </si>
  <si>
    <t>1) 상태 토글 3회 클릭</t>
  </si>
  <si>
    <t>운영중→점검중→고장→운영중 순환</t>
  </si>
  <si>
    <t>TC-255</t>
  </si>
  <si>
    <t>고장 시설 빨간 배경</t>
  </si>
  <si>
    <t>고장 상태 시설</t>
  </si>
  <si>
    <t>1) 시설 목록 확인</t>
  </si>
  <si>
    <t>고장 카드에 빨간 배경</t>
  </si>
  <si>
    <t>TC-256</t>
  </si>
  <si>
    <t>레슨</t>
  </si>
  <si>
    <t>레슨 기록 추가 + 서명</t>
  </si>
  <si>
    <t>회원 상세 레슨 탭</t>
  </si>
  <si>
    <t>1) 추가 버튼 2) 날짜/수업/트레이너/메모 입력 3) 서명 4) 저장</t>
  </si>
  <si>
    <t>레슨 목록에 추가, 서명완료 표시</t>
  </si>
  <si>
    <t>TC-257</t>
  </si>
  <si>
    <t>레슨 기록 목록 조회</t>
  </si>
  <si>
    <t>레슨 기록 존재</t>
  </si>
  <si>
    <t>1) 회원 상세 → 레슨 탭</t>
  </si>
  <si>
    <t>날짜/수업명/트레이너/서명 표시</t>
  </si>
  <si>
    <t>TC-258</t>
  </si>
  <si>
    <t>리포트</t>
  </si>
  <si>
    <t>레슨 통계 표시</t>
  </si>
  <si>
    <t>레슨 기록 3건+</t>
  </si>
  <si>
    <t>1) 레슨 탭 하단 확인</t>
  </si>
  <si>
    <t>총횟수/이번달/최다수업 통계</t>
  </si>
  <si>
    <t>TC-259</t>
  </si>
  <si>
    <t>물품관리</t>
  </si>
  <si>
    <t>수건/운동복 재고 설정 및 저장</t>
  </si>
  <si>
    <t>1) 물품관리 탭 2) 재고 100 입력 3) 저장</t>
  </si>
  <si>
    <t>저장 성공, 새로고침 후 값 유지</t>
  </si>
  <si>
    <t>TC-260</t>
  </si>
  <si>
    <t>수건/운동복 잔여량 표시</t>
  </si>
  <si>
    <t>재고 설정 완료</t>
  </si>
  <si>
    <t>1) 물품관리 탭 확인</t>
  </si>
  <si>
    <t>재고/1일발급량/잔여량 그리드</t>
  </si>
  <si>
    <t>TC-261</t>
  </si>
  <si>
    <t>즐겨찾기 추가/해제 토글</t>
  </si>
  <si>
    <t>회원 상세 페이지</t>
  </si>
  <si>
    <t>1) 별 아이콘 클릭(추가) 2) 다시 클릭(해제)</t>
  </si>
  <si>
    <t>별 토글, DB 저장 확인</t>
  </si>
  <si>
    <t>TC-262</t>
  </si>
  <si>
    <t>즐겨찾기 회원 방문 알림</t>
  </si>
  <si>
    <t>즐겨찾기 회원 출석</t>
  </si>
  <si>
    <t>1) 대시보드 접속</t>
  </si>
  <si>
    <t>즐겨찾기 방문 토스트 알림</t>
  </si>
  <si>
    <t>TC-263</t>
  </si>
  <si>
    <t>엑셀</t>
  </si>
  <si>
    <t>엑셀 내보내기 - 회원 목록</t>
  </si>
  <si>
    <t>1) 회원 목록 2) 엑셀 다운로드 클릭</t>
  </si>
  <si>
    <t>xlsx 다운로드, 데이터 일치</t>
  </si>
  <si>
    <t>TC-264</t>
  </si>
  <si>
    <t>엑셀 내보내기 - 매출 내역</t>
  </si>
  <si>
    <t>1) 매출 페이지 2) 엑셀 다운로드</t>
  </si>
  <si>
    <t>xlsx 다운로드</t>
  </si>
  <si>
    <t>TC-265</t>
  </si>
  <si>
    <t>중복방지</t>
  </si>
  <si>
    <t>중복 결제 방지 (5분 이내)</t>
  </si>
  <si>
    <t>최근 동일 결제 존재</t>
  </si>
  <si>
    <t>1) 동일 회원/금액 재결제</t>
  </si>
  <si>
    <t>중복 경고 토스트</t>
  </si>
  <si>
    <t>TC-266</t>
  </si>
  <si>
    <t>중복 회원 등록 방지</t>
  </si>
  <si>
    <t>동일 전화번호 회원 존재</t>
  </si>
  <si>
    <t>1) 같은 전화번호로 등록</t>
  </si>
  <si>
    <t>중복 경고, 기존 회원명 안내</t>
  </si>
  <si>
    <t>TC-267</t>
  </si>
  <si>
    <t>홀딩</t>
  </si>
  <si>
    <t>홀딩 시작</t>
  </si>
  <si>
    <t>활성 회원 상세</t>
  </si>
  <si>
    <t>1) 홀딩 처리 버튼 2) 일수/사유 입력 3) 확인</t>
  </si>
  <si>
    <t>HOLDING 변경, 기간 표시</t>
  </si>
  <si>
    <t>TC-268</t>
  </si>
  <si>
    <t>홀딩 해제 + 만료일 연장</t>
  </si>
  <si>
    <t>홀딩 중 회원</t>
  </si>
  <si>
    <t>1) 홀딩 해제 클릭</t>
  </si>
  <si>
    <t>ACTIVE 변경, 만료일 연장</t>
  </si>
  <si>
    <t>TC-269</t>
  </si>
  <si>
    <t>결제</t>
  </si>
  <si>
    <t>결제 시 마일리지 자동 적립 (1%)</t>
  </si>
  <si>
    <t>결제 완료 시점</t>
  </si>
  <si>
    <t>1) POS 100,000원 결제</t>
  </si>
  <si>
    <t>마일리지 1,000P 적립</t>
  </si>
  <si>
    <t>TC-270</t>
  </si>
  <si>
    <t>마일리지 차감 결제</t>
  </si>
  <si>
    <t>마일리지 보유</t>
  </si>
  <si>
    <t>1) 마일리지 결제 선택 2) 금액 입력 3) 결제</t>
  </si>
  <si>
    <t>차감 완료, 잔여 표시</t>
  </si>
  <si>
    <t>TC-271</t>
  </si>
  <si>
    <t>마일리지 부족 에러</t>
  </si>
  <si>
    <t>500P 보유</t>
  </si>
  <si>
    <t>1) 1000P 차감 시도</t>
  </si>
  <si>
    <t>TC-272</t>
  </si>
  <si>
    <t>계약 시 실적 담당자 선택</t>
  </si>
  <si>
    <t>Step3 진입</t>
  </si>
  <si>
    <t>1) 담당자 드롭다운 선택 2) 계약 완료</t>
  </si>
  <si>
    <t>매출에 staffId/Name 저장</t>
  </si>
  <si>
    <t>TC-273</t>
  </si>
  <si>
    <t>락커추천</t>
  </si>
  <si>
    <t>락커 추천 배정</t>
  </si>
  <si>
    <t>1) 락커 배정 모달</t>
  </si>
  <si>
    <t>최소 번호 빈 락커 추천</t>
  </si>
  <si>
    <t>TC-274</t>
  </si>
  <si>
    <t>프로모션</t>
  </si>
  <si>
    <t>프로모션 정률 할인</t>
  </si>
  <si>
    <t>10% 프로모션 활성</t>
  </si>
  <si>
    <t>1) 결제 시 프로모션 선택</t>
  </si>
  <si>
    <t>할인 금액 계산 표시</t>
  </si>
  <si>
    <t>TC-275</t>
  </si>
  <si>
    <t>프로모션 정액 할인</t>
  </si>
  <si>
    <t>5000원 프로모션 활성</t>
  </si>
  <si>
    <t>1) 프로모션 선택</t>
  </si>
  <si>
    <t>5000원 차감</t>
  </si>
  <si>
    <t>TC-276</t>
  </si>
  <si>
    <t>만료 프로모션 미표시</t>
  </si>
  <si>
    <t>만료 프로모션 존재</t>
  </si>
  <si>
    <t>1) 프로모션 목록 확인</t>
  </si>
  <si>
    <t>만료건 미표시</t>
  </si>
  <si>
    <t>TC-277</t>
  </si>
  <si>
    <t>퇴사처리</t>
  </si>
  <si>
    <t>기능</t>
  </si>
  <si>
    <t>일반 직원 퇴사 처리 - 퇴사예정일 설정 후 계정 비활성화</t>
  </si>
  <si>
    <t>활성 상태 직원 존재, 센터장 로그인</t>
  </si>
  <si>
    <t>1. 직원관리 &gt; 대상 직원 선택
2. 퇴사 처리 클릭
3. 퇴사 예정일/사유 입력
4. 확인</t>
  </si>
  <si>
    <t>직원 상태 RESIGNED, 퇴사일 도래 시 로그인 차단, 데이터 보존</t>
  </si>
  <si>
    <t>TC-278</t>
  </si>
  <si>
    <t>FC 퇴사 시 담당회원 자동 균등 재배정</t>
  </si>
  <si>
    <t>FC에 담당회원 5명, 같은 지점 다른 FC 2명</t>
  </si>
  <si>
    <t>1. FC 퇴사 예정일 설정
2. 담당회원 재배정 워크플로우 표시 확인
3. 자동 균등 배분 선택
4. 실행</t>
  </si>
  <si>
    <t>5명→2명 FC에 균등 배분(3/2명), 회원 알림 발송</t>
  </si>
  <si>
    <t>TC-279</t>
  </si>
  <si>
    <t>FC 퇴사 - PT 잔여횟수 회원은 수동지정 필수</t>
  </si>
  <si>
    <t>FC 담당회원 중 PT 잔여 3회 회원 존재</t>
  </si>
  <si>
    <t>1. FC 퇴사 처리
2. PT 잔여 회원은 자동배분 제외 확인
3. 후임 FC 수동 지정</t>
  </si>
  <si>
    <t>PT 잔여 회원만 수동지정 대상, 나머지 자동배분, 기존 PT기록 보존</t>
  </si>
  <si>
    <t>TC-280</t>
  </si>
  <si>
    <t>예외</t>
  </si>
  <si>
    <t>센터장 퇴사 - 후임 미지정 시 차단</t>
  </si>
  <si>
    <t>센터장 1명 지점, 슈퍼관리자 로그인</t>
  </si>
  <si>
    <t>1. 센터장 퇴사 처리 시도
2. 후임 센터장 미지정 상태에서 확인 클릭</t>
  </si>
  <si>
    <t>"후임 센터장을 먼저 지정해주세요" 에러, 퇴사 차단</t>
  </si>
  <si>
    <t>TC-281</t>
  </si>
  <si>
    <t>데이터보존</t>
  </si>
  <si>
    <t>퇴사 직원 데이터 보존 및 읽기전용 확인</t>
  </si>
  <si>
    <t>퇴사 처리 완료 직원 존재</t>
  </si>
  <si>
    <t>1. 직원 목록 "전체" 필터
2. 퇴사 직원 "(퇴사)" 라벨 확인
3. 급여/매출/PT기록 조회</t>
  </si>
  <si>
    <t>모든 이력 조회 가능, 수정/삭제 불가(읽기전용)</t>
  </si>
  <si>
    <t>TC-282</t>
  </si>
  <si>
    <t>최종정산</t>
  </si>
  <si>
    <t>퇴사 직원 최종 급여정산서 자동 생성</t>
  </si>
  <si>
    <t>퇴사 직원(근속 2년), 미지급 급여 존재</t>
  </si>
  <si>
    <t>1. 퇴사 처리 시 최종정산서 자동 생성 확인
2. 항목: 미지급급여/커미션/퇴직금/연차수당/선지급차감
3. 센터장 승인</t>
  </si>
  <si>
    <t>퇴직금=30일분×2년 정확, 승인 후 RESIGNED_SETTLED</t>
  </si>
  <si>
    <t>TC-283</t>
  </si>
  <si>
    <t>스케줄처리</t>
  </si>
  <si>
    <t>퇴사 예정 직원의 미래 스케줄 일괄 이관</t>
  </si>
  <si>
    <t>FC에 퇴사일 이후 PT 3건 예약</t>
  </si>
  <si>
    <t>1. 퇴사 예정일 설정
2. 이후 스케줄 목록 표시
3. 후임 FC에게 일괄 이관 선택</t>
  </si>
  <si>
    <t>3건 스케줄 후임으로 이관, 회원 알림</t>
  </si>
  <si>
    <t>TC-284</t>
  </si>
  <si>
    <t>지점이동</t>
  </si>
  <si>
    <t>직원 지점 이동(전보) 처리</t>
  </si>
  <si>
    <t>슈퍼관리자 로그인, A지점 FC, B지점 활성</t>
  </si>
  <si>
    <t>1. 직원관리 &gt; FC 선택
2. 지점 이동 &gt; B지점
3. 이동일/새역할 지정
4. 담당회원 재배정
5. 확인</t>
  </si>
  <si>
    <t>A지점 TRANSFERRED, B지점 새 계정, 급여 정산 분리</t>
  </si>
  <si>
    <t>TC-285</t>
  </si>
  <si>
    <t>휴직복직</t>
  </si>
  <si>
    <t>직원 휴직 등록 및 복직 처리</t>
  </si>
  <si>
    <t>FC 활성, 담당회원 3명</t>
  </si>
  <si>
    <t>1. 휴직 등록
2. 휴직 시작→로그인 차단
3. 담당회원 임시재배정
4. 복직 처리
5. 담당회원 원복</t>
  </si>
  <si>
    <t>휴직 중 로그인 차단, 복직 시 ACTIVE, 원복 가능</t>
  </si>
  <si>
    <t>TC-286</t>
  </si>
  <si>
    <t>역할변경</t>
  </si>
  <si>
    <t>직원 역할 변경 (FC→매니저 승격)</t>
  </si>
  <si>
    <t>FC 활성, 담당회원 5명, 센터장 로그인</t>
  </si>
  <si>
    <t>1. 역할 변경 &gt; 매니저
2. 담당회원 재배정 선택
3. 확인</t>
  </si>
  <si>
    <t>즉시 메뉴/권한 변경, 담당회원 재배정, audit_log 기록</t>
  </si>
  <si>
    <t>TC-287</t>
  </si>
  <si>
    <t>재입사</t>
  </si>
  <si>
    <t>퇴사 직원 재입사 - 이전 이력 연결</t>
  </si>
  <si>
    <t>3개월 전 퇴사 직원 존재</t>
  </si>
  <si>
    <t>1. 신규 직원 등록
2. "이전 이력 연결" 선택
3. 이전 직원 검색/선택</t>
  </si>
  <si>
    <t>새 ID 부여, previous_employee_id 연결, 이전 이력 읽기전용</t>
  </si>
  <si>
    <t>TC-288</t>
  </si>
  <si>
    <t>퇴사 직원 매출 리포트 표시</t>
  </si>
  <si>
    <t>퇴사 직원 매출 10건</t>
  </si>
  <si>
    <t>1. 매출 리포트
2. 퇴사 직원 포함/제외 토글
3. 직원명 확인</t>
  </si>
  <si>
    <t>"(퇴사) 홍길동" 표시, 토글 필터 동작, staff_id 원본 유지</t>
  </si>
  <si>
    <t>TC-289</t>
  </si>
  <si>
    <t>지점이관</t>
  </si>
  <si>
    <t>회원 지점 이관 - 이용권 유지</t>
  </si>
  <si>
    <t>A지점 회원(PT잔여5회), B지점 활성, 슈퍼관리자</t>
  </si>
  <si>
    <t>1. 회원 이관 &gt; B지점
2. 체크: 미납금0/락커없음
3. PT "잔여횟수 유지" 선택
4. 승인</t>
  </si>
  <si>
    <t>branch_id 변경, PT 5회 이전, 이관 로그 생성</t>
  </si>
  <si>
    <t>TC-290</t>
  </si>
  <si>
    <t>회원 이관 - 미납금 시 차단</t>
  </si>
  <si>
    <t>미납금 3만원 회원</t>
  </si>
  <si>
    <t>1. 이관 시도</t>
  </si>
  <si>
    <t>"미납금 30,000원 정산 후 이관 가능" 차단</t>
  </si>
  <si>
    <t>TC-291</t>
  </si>
  <si>
    <t>회원 이관 - 락커 반납 필수</t>
  </si>
  <si>
    <t>락커 배정 회원</t>
  </si>
  <si>
    <t>1. 이관 시도
2. "락커 반납 필요" 경고
3. 반납 후 재시도</t>
  </si>
  <si>
    <t>미반납 시 차단, 반납 후 진행 가능</t>
  </si>
  <si>
    <t>TC-292</t>
  </si>
  <si>
    <t>탈퇴처리</t>
  </si>
  <si>
    <t>회원 자발적 탈퇴 - 환불 포함</t>
  </si>
  <si>
    <t>활성 회원 (잔여 이용권)</t>
  </si>
  <si>
    <t>1. 탈퇴 처리
2. 이용권 환불 선택
3. 락커 반납
4. 최종 확인</t>
  </si>
  <si>
    <t>WITHDRAWN, 환불, 락커 반납, 쿠폰/마일리지 소멸</t>
  </si>
  <si>
    <t>TC-293</t>
  </si>
  <si>
    <t>재가입</t>
  </si>
  <si>
    <t>탈퇴 회원 재가입 - 데이터 연결</t>
  </si>
  <si>
    <t>3개월 전 탈퇴 회원(마스킹 전)</t>
  </si>
  <si>
    <t>1. 동일 연락처 가입
2. "이전 이력 있음" 표시
3. 데이터 연결 선택</t>
  </si>
  <si>
    <t>새 member_id + previous_member_id 연결, 이전 이력 복원</t>
  </si>
  <si>
    <t>TC-294</t>
  </si>
  <si>
    <t>개인정보</t>
  </si>
  <si>
    <t>개인정보 삭제 요청 처리</t>
  </si>
  <si>
    <t>탈퇴 회원, 결제이력 3건</t>
  </si>
  <si>
    <t>1. 삭제 요청
2. 범위 확인
3. 실행</t>
  </si>
  <si>
    <t>체성분 삭제, 연락처 마스킹, 결제이력 5년 보존, audit_log</t>
  </si>
  <si>
    <t>TC-295</t>
  </si>
  <si>
    <t>다지점이용</t>
  </si>
  <si>
    <t>다지점 게스트 방문 출석/차감</t>
  </si>
  <si>
    <t>A지점 회원, B지점 게스트방문 허용</t>
  </si>
  <si>
    <t>1. B지점 출석
2. 이용권 차감 확인</t>
  </si>
  <si>
    <t>B지점 출석 기록, A지점 이용권 차감</t>
  </si>
  <si>
    <t>TC-296</t>
  </si>
  <si>
    <t>폐점</t>
  </si>
  <si>
    <t>지점 폐점 시 회원 일괄 처리 대시보드</t>
  </si>
  <si>
    <t>회원 20명 지점, 슈퍼관리자</t>
  </si>
  <si>
    <t>1. 폐점 시작
2. 회원별 이관/환불/자연소멸 선택
3. 미처리 알림 확인</t>
  </si>
  <si>
    <t>처리 현황 추적, 미처리 알림, 폐점일 자동 환불</t>
  </si>
  <si>
    <t>TC-297</t>
  </si>
  <si>
    <t>이관</t>
  </si>
  <si>
    <t>쿠폰/마일리지 이관 정책 적용</t>
  </si>
  <si>
    <t>지점한정 쿠폰1 + 공통 쿠폰1 + 5000P</t>
  </si>
  <si>
    <t>1. 지점 이관
2. 쿠폰/포인트 처리 확인</t>
  </si>
  <si>
    <t>한정 쿠폰 소멸, 공통 쿠폰 이관, 포인트 유지</t>
  </si>
  <si>
    <t>TC-298</t>
  </si>
  <si>
    <t>E2E</t>
  </si>
  <si>
    <t>지점 폐점 60일 프로세스 전체 흐름</t>
  </si>
  <si>
    <t>활성 지점(회원10, 직원5)</t>
  </si>
  <si>
    <t>1. CLOSING 전환
2. 신규가입 차단 확인
3. 회원 처리
4. 직원 처리
5. D-Day INACTIVE</t>
  </si>
  <si>
    <t>단계별 알림, 최종 정산서, 데이터 영구 보존</t>
  </si>
  <si>
    <t>TC-299</t>
  </si>
  <si>
    <t>지점 폐점 - 직원 일괄 처리</t>
  </si>
  <si>
    <t>폐점 진행 중, 직원 5명</t>
  </si>
  <si>
    <t>1. 일괄 대시보드
2. 2명 전보, 2명 퇴사, 1명 대기
3. 각각 실행</t>
  </si>
  <si>
    <t>전보: 새 계정, 퇴사: 정산서, 대기: 본사 임시 배치</t>
  </si>
  <si>
    <t>TC-300</t>
  </si>
  <si>
    <t>일시휴업</t>
  </si>
  <si>
    <t>지점 일시 휴업 및 재개</t>
  </si>
  <si>
    <t>활성 지점(회원30명)</t>
  </si>
  <si>
    <t>1. 휴업 설정
2. 전 회원 자동 홀딩 확인
3. 재개 처리
4. 홀딩 해제+이용권 연장</t>
  </si>
  <si>
    <t>자동 홀딩/해제, 연장 정확, 재개 알림</t>
  </si>
  <si>
    <t>TC-301</t>
  </si>
  <si>
    <t>신규오픈</t>
  </si>
  <si>
    <t>슈퍼관리자, 기존 지점 1개</t>
  </si>
  <si>
    <t>1. 지점 생성
2. 상품 복사
3. 센터장 계정 생성
4. 체크리스트</t>
  </si>
  <si>
    <t>지점 생성, 상품 복사, 초기 비밀번호 발급</t>
  </si>
  <si>
    <t>TC-302</t>
  </si>
  <si>
    <t>합병</t>
  </si>
  <si>
    <t>지점 합병 (흡수) - 중복회원 처리</t>
  </si>
  <si>
    <t>A(회원20), B(회원15), 중복 2명</t>
  </si>
  <si>
    <t>1. A에 B 흡수
2. 중복 탐지
3. 이용권 통합
4. 센터장 충돌 해결
5. 실행</t>
  </si>
  <si>
    <t>B 폐점, 회원 이관, 중복 합산, 역할 조정</t>
  </si>
  <si>
    <t>TC-303</t>
  </si>
  <si>
    <t>본사변경</t>
  </si>
  <si>
    <t>본사 지점 변경</t>
  </si>
  <si>
    <t>A=본사, B 존재, 슈퍼관리자</t>
  </si>
  <si>
    <t>1. 본사 변경 &gt; B
2. 비밀번호 재확인</t>
  </si>
  <si>
    <t>A.is_hq=false, B.is_hq=true, audit_log</t>
  </si>
  <si>
    <t>TC-304</t>
  </si>
  <si>
    <t>정원관리</t>
  </si>
  <si>
    <t>지점 정원 초과 시 가입 차단</t>
  </si>
  <si>
    <t>max_members=100, 현재 99명</t>
  </si>
  <si>
    <t>1. 100번째 가입→성공
2. 101번째 가입 시도</t>
  </si>
  <si>
    <t>100명 OK, 101번째 차단 + 슈퍼관리자 알림</t>
  </si>
  <si>
    <t>TC-305</t>
  </si>
  <si>
    <t>권한관리</t>
  </si>
  <si>
    <t>슈퍼관리자</t>
  </si>
  <si>
    <t>슈퍼관리자 추가 지정</t>
  </si>
  <si>
    <t>슈퍼관리자 1명, 센터장 1명</t>
  </si>
  <si>
    <t>1. 슈퍼관리자 관리
2. 센터장 추가
3. 확인</t>
  </si>
  <si>
    <t>승격, branch_id=NULL, 전 지점 접근</t>
  </si>
  <si>
    <t>TC-306</t>
  </si>
  <si>
    <t>마지막 슈퍼관리자 해제 차단</t>
  </si>
  <si>
    <t>슈퍼관리자 1명만</t>
  </si>
  <si>
    <t>1. 본인 해제 시도</t>
  </si>
  <si>
    <t>"최소 1명 필요" 에러, 해제 차단</t>
  </si>
  <si>
    <t>TC-307</t>
  </si>
  <si>
    <t>슈퍼관리자 퇴사 - 소유권 이전 필수</t>
  </si>
  <si>
    <t>소유자이자 유일한 슈퍼관리자</t>
  </si>
  <si>
    <t>1. 퇴사 시도
2. 후임 지정 요구 확인
3. 소유권 이전 요구 확인</t>
  </si>
  <si>
    <t>후임+소유권 이전 전까지 퇴사 버튼 비활성화</t>
  </si>
  <si>
    <t>TC-308</t>
  </si>
  <si>
    <t>감사로그</t>
  </si>
  <si>
    <t>감사 로그 - 지점 전환 기록 확인</t>
  </si>
  <si>
    <t>슈퍼관리자 A→B 전환</t>
  </si>
  <si>
    <t>1. 지점 전환
2. 감사 로그 조회</t>
  </si>
  <si>
    <t>BRANCH_SWITCH 기록, from/to/timestamp</t>
  </si>
  <si>
    <t>TC-309</t>
  </si>
  <si>
    <t>감사 로그 삭제 불가 확인</t>
  </si>
  <si>
    <t>감사 로그 존재</t>
  </si>
  <si>
    <t>1. 삭제 UI 없음 확인
2. API DELETE 시도</t>
  </si>
  <si>
    <t>UI 없음, API→403 Forbidden</t>
  </si>
  <si>
    <t>TC-310</t>
  </si>
  <si>
    <t>계정잠금</t>
  </si>
  <si>
    <t>비밀번호 5회 실패 시 계정 잠금</t>
  </si>
  <si>
    <t>활성 직원 계정</t>
  </si>
  <si>
    <t>1. 잘못된 비밀번호 5회</t>
  </si>
  <si>
    <t>"30분 잠금" 표시, 로그인 차단</t>
  </si>
  <si>
    <t>TC-311</t>
  </si>
  <si>
    <t>동시접속</t>
  </si>
  <si>
    <t>동시 접속 제한 (일반 직원 1대)</t>
  </si>
  <si>
    <t>일반 직원(1디바이스 제한)</t>
  </si>
  <si>
    <t>1. PC 로그인
2. 모바일 동일 계정 로그인</t>
  </si>
  <si>
    <t>PC 세션 종료, 모바일 성공, 알림 표시</t>
  </si>
  <si>
    <t>TC-312</t>
  </si>
  <si>
    <t>통합리포트</t>
  </si>
  <si>
    <t>통합 리포트 지점간 비교</t>
  </si>
  <si>
    <t>슈퍼관리자, 3개 지점</t>
  </si>
  <si>
    <t>1. 전체 지점 선택
2. 매출/회원 비교
3. 엑셀 내보내기</t>
  </si>
  <si>
    <t>합산 KPI + 지점별 순위 + 증감, 엑셀 다운로드</t>
  </si>
  <si>
    <t>TC-313</t>
  </si>
  <si>
    <t>크로스지점환불</t>
  </si>
  <si>
    <t>이관 후 환불 - 원지점 매출 차감</t>
  </si>
  <si>
    <t>A에서 PT 30만 구매→B 이관→잔여 10만</t>
  </si>
  <si>
    <t>1. B에서 환불(10만)
2. 승인</t>
  </si>
  <si>
    <t>A지점 매출 -10만, B지점 매출 영향 없음</t>
  </si>
  <si>
    <t>TC-314</t>
  </si>
  <si>
    <t>환불권한</t>
  </si>
  <si>
    <t>환불 금액별 승인 권한 체크</t>
  </si>
  <si>
    <t>매니저 로그인</t>
  </si>
  <si>
    <t>1. 8만원 환불→성공
2. 15만원 환불 시도</t>
  </si>
  <si>
    <t>10만 이하 OK, 초과 "센터장 이상 필요"</t>
  </si>
  <si>
    <t>TC-315</t>
  </si>
  <si>
    <t>지점이동정산</t>
  </si>
  <si>
    <t>직원 이동 시 급여 일할 정산</t>
  </si>
  <si>
    <t>FC: A지점 월급300만, 15일에 B이동</t>
  </si>
  <si>
    <t>1. 이동 처리
2. A 15일분 확인
3. B 16일부터 확인</t>
  </si>
  <si>
    <t>양 지점 각각 일할 정산, 합산=월급</t>
  </si>
  <si>
    <t>TC-316</t>
  </si>
  <si>
    <t>요금제</t>
  </si>
  <si>
    <t>다운그레이드 제한 초과 체크</t>
  </si>
  <si>
    <t>Standard(3지점), Basic 시도</t>
  </si>
  <si>
    <t>1. Basic 선택
2. 시도</t>
  </si>
  <si>
    <t>"3지점→Basic 1지점 불가" 차단</t>
  </si>
  <si>
    <t>TC-317</t>
  </si>
  <si>
    <t>미납재가입</t>
  </si>
  <si>
    <t>미납금 회원 다른 지점 재가입</t>
  </si>
  <si>
    <t>A지점 탈퇴(미납5만), B지점 재가입</t>
  </si>
  <si>
    <t>1. 동일 연락처 가입
2. 미납 이력 표시
3. 센터장 판단</t>
  </si>
  <si>
    <t>미납 안내, 가입 여부 센터장 재량</t>
  </si>
  <si>
    <t>TC-318</t>
  </si>
  <si>
    <t>데이터무결성</t>
  </si>
  <si>
    <t>연쇄삭제</t>
  </si>
  <si>
    <t>회원 탈퇴 시 연관 데이터 무결성</t>
  </si>
  <si>
    <t>매출5/계약2/출석30/락커1/쿠폰2/포인트3000</t>
  </si>
  <si>
    <t>1. 탈퇴 처리
2. 연관 데이터 확인</t>
  </si>
  <si>
    <t>sales유지, contracts→CANCELLED, locker→AVAILABLE, 쿠폰소멸, 포인트0</t>
  </si>
  <si>
    <t>TC-319</t>
  </si>
  <si>
    <t>공통 UX</t>
  </si>
  <si>
    <t>Modal ESC 닫기</t>
  </si>
  <si>
    <t>모달이 열려있는 상태</t>
  </si>
  <si>
    <t>1. 모달 열기
2. ESC 키 누르기</t>
  </si>
  <si>
    <t>모달이 닫힘</t>
  </si>
  <si>
    <t>Chrome 120+</t>
  </si>
  <si>
    <t>Windows/Mac</t>
  </si>
  <si>
    <t>Cycle 5</t>
  </si>
  <si>
    <t>UX 개선 (2026-03-13)</t>
  </si>
  <si>
    <t>TC-320</t>
  </si>
  <si>
    <t>Modal 포커스 트랩</t>
  </si>
  <si>
    <t>1. 모달 열기
2. Tab 키로 포커스 이동
3. 마지막 요소에서 Tab</t>
  </si>
  <si>
    <t>포커스가 모달 내부에서 순환</t>
  </si>
  <si>
    <t>TC-321</t>
  </si>
  <si>
    <t>window.confirm 교체 확인</t>
  </si>
  <si>
    <t>삭제/퇴사 등 위험 액션</t>
  </si>
  <si>
    <t>1. 회원 삭제 버튼 클릭
2. ConfirmDialog 표시 확인
3. 취소/확인 동작 확인</t>
  </si>
  <si>
    <t>ConfirmDialog가 표시되고 버튼 동작 정상</t>
  </si>
  <si>
    <t>TC-322</t>
  </si>
  <si>
    <t>alert→toast 교체 확인</t>
  </si>
  <si>
    <t>CUD 액션 수행</t>
  </si>
  <si>
    <t>1. 회원 등록 완료
2. toast 표시 확인
3. 자동 사라짐 확인</t>
  </si>
  <si>
    <t>sonner toast가 표시되고 3초 후 자동 사라짐</t>
  </si>
  <si>
    <t>TC-323</t>
  </si>
  <si>
    <t>모바일 sticky 첫 컬럼</t>
  </si>
  <si>
    <t>1. 375px 뷰포트 설정
2. 회원 목록 테이블 가로 스크롤
3. 첫 번째 컬럼 고정 확인</t>
  </si>
  <si>
    <t>첫 번째 컬럼이 스크롤 시 고정됨</t>
  </si>
  <si>
    <t>iOS/Android</t>
  </si>
  <si>
    <t>TC-324</t>
  </si>
  <si>
    <t>로그인 유지</t>
  </si>
  <si>
    <t>로그인 유지 체크 시 아이디 저장</t>
  </si>
  <si>
    <t>1. 아이디 입력
2. '로그인 유지' 체크
3. 로그인
4. 로그아웃
5. 재방문</t>
  </si>
  <si>
    <t>이전에 입력한 아이디가 자동 입력됨</t>
  </si>
  <si>
    <t>F-001</t>
  </si>
  <si>
    <t>TC-325</t>
  </si>
  <si>
    <t>통계 카드</t>
  </si>
  <si>
    <t>통계 카드 클릭→상세 이동</t>
  </si>
  <si>
    <t>대시보드 표시</t>
  </si>
  <si>
    <t>1. 대시보드 접속
2. '총 회원수' 카드 클릭
3. 회원 목록 이동 확인</t>
  </si>
  <si>
    <t>회원 목록 페이지로 이동</t>
  </si>
  <si>
    <t>TC-326</t>
  </si>
  <si>
    <t>락커 그리드 키보드 탐색</t>
  </si>
  <si>
    <t>락커 현황 페이지</t>
  </si>
  <si>
    <t>1. Tab 키로 락커 셀 포커스
2. Enter 키로 선택
3. 모달 열림 확인</t>
  </si>
  <si>
    <t>키보드로 락커 선택 및 모달 열기 가능</t>
  </si>
  <si>
    <t>TC-327</t>
  </si>
  <si>
    <t>전자계약</t>
  </si>
  <si>
    <t>Step 인디케이터</t>
  </si>
  <si>
    <t>모바일 Step 인디케이터 컴팩트 표시</t>
  </si>
  <si>
    <t>1. 768px 미만 뷰포트
2. 계약 마법사 진입
3. Step 인디케이터 확인</t>
  </si>
  <si>
    <t>컴팩트 Step 인디케이터 표시 (숫자만)</t>
  </si>
  <si>
    <t>TC-328</t>
  </si>
  <si>
    <t>축소 모드 aria-label 확인</t>
  </si>
  <si>
    <t>사이드바 축소 상태</t>
  </si>
  <si>
    <t>1. 사이드바 축소
2. 스크린리더로 메뉴 읽기
3. aria-label 확인</t>
  </si>
  <si>
    <t>축소 시에도 메뉴명이 스크린리더에 읽힘</t>
  </si>
  <si>
    <t>TC-329</t>
  </si>
  <si>
    <t>필터 변경 시 1페이지 리셋</t>
  </si>
  <si>
    <t>2페이지 이상 조회 상태</t>
  </si>
  <si>
    <t>1. 급여 목록 2페이지 이동
2. 필터 조건 변경
3. 현재 페이지 확인</t>
  </si>
  <si>
    <t>1페이지로 자동 리셋됨</t>
  </si>
  <si>
    <t>TC-V-001</t>
  </si>
  <si>
    <t>RBAC</t>
  </si>
  <si>
    <t>권한제어</t>
  </si>
  <si>
    <t>기능테스트</t>
  </si>
  <si>
    <t>readonly 사용자 헤더 버튼 미표시 확인</t>
  </si>
  <si>
    <t>로그인 완료 / 해당 계정 접속</t>
  </si>
  <si>
    <t>1)readonly1 로그인 2)/payroll/statements 이동 3)헤더 버튼 영역 확인</t>
  </si>
  <si>
    <t>'+회원등록' 버튼 미표시</t>
  </si>
  <si>
    <t>버튼 미표시 확인</t>
  </si>
  <si>
    <t>Pass</t>
  </si>
  <si>
    <t>Claude</t>
  </si>
  <si>
    <t>2026-03-17</t>
  </si>
  <si>
    <t>BUG-13</t>
  </si>
  <si>
    <t>QA-VERIFY-2026-03-17</t>
  </si>
  <si>
    <t>TC-V-002</t>
  </si>
  <si>
    <t>fc(trainer1) 엑셀 다운로드 버튼 미표시</t>
  </si>
  <si>
    <t>1)trainer1 로그인 2)/members 이동 3)헤더 버튼 확인</t>
  </si>
  <si>
    <t>엑셀 다운로드 버튼 미표시</t>
  </si>
  <si>
    <t>BUG-15</t>
  </si>
  <si>
    <t>TC-V-003</t>
  </si>
  <si>
    <t>fc(trainer1) 회원추가 버튼 미표시</t>
  </si>
  <si>
    <t>'회원 추가' 버튼 미표시</t>
  </si>
  <si>
    <t>BUG-16</t>
  </si>
  <si>
    <t>TC-V-004</t>
  </si>
  <si>
    <t>staff 엑셀 다운로드 버튼 미표시</t>
  </si>
  <si>
    <t>1)staff1 로그인 2)/members 이동 3)헤더 버튼 확인</t>
  </si>
  <si>
    <t>BUG-17</t>
  </si>
  <si>
    <t>TC-V-005</t>
  </si>
  <si>
    <t>배지</t>
  </si>
  <si>
    <t>전자계약 회원 상태 배지 정상 표시</t>
  </si>
  <si>
    <t>1)/contracts/new 이동 2)회원 상태 배지 확인</t>
  </si>
  <si>
    <t>활성/만료/홀딩 배지 정상 표시</t>
  </si>
  <si>
    <t>활성(초록)/만료(빨강)/홀딩(주황) 정상</t>
  </si>
  <si>
    <t>Low</t>
  </si>
  <si>
    <t>UX-11</t>
  </si>
  <si>
    <t>TC-V-006</t>
  </si>
  <si>
    <t>403페이지</t>
  </si>
  <si>
    <t>readonly 403 페이지 무한 루프 미발생</t>
  </si>
  <si>
    <t>1)readonly1 로그인 2)403 페이지 확인 3)버튼 클릭 4)이동 확인</t>
  </si>
  <si>
    <t>'급여 명세서로 이동' 버튼 표시, 무한 루프 없음</t>
  </si>
  <si>
    <t>무한 루프 없이 /payroll/statements 이동</t>
  </si>
  <si>
    <t>UX-13</t>
  </si>
  <si>
    <t>TC-SA-001</t>
  </si>
  <si>
    <t>통합대시보드</t>
  </si>
  <si>
    <t>슈퍼관리자 통합 대시보드 접근 및 렌더링</t>
  </si>
  <si>
    <t>1)superadmin 로그인 2)/super-dashboard 이동 3)KPI 카드 확인 4)지점별 현황 확인</t>
  </si>
  <si>
    <t>페이지 렌더링 정상, KPI 카드 4개 표시</t>
  </si>
  <si>
    <t>렌더링 정상, KPI 초기값 0 (데이터 없음)</t>
  </si>
  <si>
    <t>BUG-SA-01</t>
  </si>
  <si>
    <t>QA-LOG-2026-03-17-슈퍼관리자</t>
  </si>
  <si>
    <t>TC-SA-002</t>
  </si>
  <si>
    <t>슈퍼관리자 지점 관리 페이지 접근</t>
  </si>
  <si>
    <t>1)/branches 이동 2)통계카드 확인 3)지점 목록 확인 4)상태 배지 확인</t>
  </si>
  <si>
    <t>3개 지점 목록 표시, 상태 배지 정상</t>
  </si>
  <si>
    <t>3개 지점 표시, 상태 배지 '폐점' 오류 발견</t>
  </si>
  <si>
    <t>Fail</t>
  </si>
  <si>
    <t>BUG-SA-02</t>
  </si>
  <si>
    <t>TC-SA-003</t>
  </si>
  <si>
    <t>지점비교리포트</t>
  </si>
  <si>
    <t>슈퍼관리자 지점 비교 리포트 정상 동작</t>
  </si>
  <si>
    <t>1)/branch-report 이동 2)KPI 카드 확인 3)바 차트 확인 4)상세 테이블 확인</t>
  </si>
  <si>
    <t>3지점 비교 데이터 정상 표시</t>
  </si>
  <si>
    <t>강남25명, 서초10명, 송파10명 정상</t>
  </si>
  <si>
    <t>TC-SA-004</t>
  </si>
  <si>
    <t>슈퍼관리자 감사 로그 페이지 접근</t>
  </si>
  <si>
    <t>1)/audit-log 이동 2)필터 UI 확인 3)검색 실행</t>
  </si>
  <si>
    <t>에러 없이 빈 상태 표시</t>
  </si>
  <si>
    <t>에러 없이 '감사 로그가 없습니다' 표시</t>
  </si>
  <si>
    <t>BUG-SA-04</t>
  </si>
  <si>
    <t>TC-SA-005</t>
  </si>
  <si>
    <t>구독관리</t>
  </si>
  <si>
    <t>슈퍼관리자 구독 관리 페이지 정상 동작</t>
  </si>
  <si>
    <t>1)/subscription 이동 2)플랜 정보 확인 3)사용량 확인</t>
  </si>
  <si>
    <t>Fit Pro Plan, 사용량 프로그레스 정상 표시</t>
  </si>
  <si>
    <t>Fit Pro Plan, 회원 850/1000 등 정상</t>
  </si>
  <si>
    <t>TC-SA-V-001</t>
  </si>
  <si>
    <t>BUG-SA-01 수정 후 KPI 정상 표시 확인</t>
  </si>
  <si>
    <t>1)superadmin 로그인 2)/super-dashboard 이동 3)KPI 카드 값 확인</t>
  </si>
  <si>
    <t>전체 회원/매출/출석/직원 실제 데이터 표시</t>
  </si>
  <si>
    <t>전체 회원 26명, 매출 784만원, 출석 1명, 직원 9명</t>
  </si>
  <si>
    <t>QA-VERIFY-SA-2026-03-17</t>
  </si>
  <si>
    <t>TC-SA-V-002</t>
  </si>
  <si>
    <t>BUG-SA-02 수정 후 지점 상태 배지 정상 확인</t>
  </si>
  <si>
    <t>1)/branches 이동 2)각 지점 상태 배지 확인</t>
  </si>
  <si>
    <t>강남/서초 '운영중', 송파 '임시휴업' 정상 표시</t>
  </si>
  <si>
    <t>강남/서초 운영중(초록), 송파 임시휴업(주황)</t>
  </si>
  <si>
    <t>TC-SA-V-003</t>
  </si>
  <si>
    <t>BUG-SA-03 수정 후 지점별 회원/직원 수 정상 확인</t>
  </si>
  <si>
    <t>1)/branches 이동 2)각 지점 회원/직원 수 확인</t>
  </si>
  <si>
    <t>각 지점 실제 회원/직원 수 표시</t>
  </si>
  <si>
    <t>강남 13/7, 서초 8/2, 송파 5/0</t>
  </si>
  <si>
    <t>BUG-SA-03</t>
  </si>
  <si>
    <t>TC-SA-V-004</t>
  </si>
  <si>
    <t>BUG-SA-04 수정 후 audit_logs 테이블 생성 확인</t>
  </si>
  <si>
    <t>1)/audit-log 이동 2)에러 여부 확인 3)빈 상태 확인</t>
  </si>
  <si>
    <t>테이블 생성, 에러 없이 빈 상태 표시</t>
  </si>
  <si>
    <t>테이블 생성 완료, 데이터 0건 (신규 테이블)</t>
  </si>
  <si>
    <t>기획 문서 종합 대시보드</t>
  </si>
  <si>
    <t>문서 작성 현황</t>
  </si>
  <si>
    <t>시트</t>
  </si>
  <si>
    <t>전체 항목</t>
  </si>
  <si>
    <t>작성중</t>
  </si>
  <si>
    <t>IA(정보구조)</t>
  </si>
  <si>
    <t>화면설계서</t>
  </si>
  <si>
    <t>기능명세서</t>
  </si>
  <si>
    <t>API명세서</t>
  </si>
  <si>
    <t>데이터 정의서</t>
  </si>
  <si>
    <t>QA 테스트 현황</t>
  </si>
  <si>
    <t>전체 TC 수</t>
  </si>
  <si>
    <t>Block</t>
  </si>
  <si>
    <t>Pass Rate (%)</t>
  </si>
  <si>
    <t>플랫폼별 QA 현황</t>
  </si>
  <si>
    <t>총 TC</t>
  </si>
  <si>
    <t>App (iOS)</t>
  </si>
  <si>
    <t>App (Android)</t>
  </si>
  <si>
    <t>사용자 스토리 현황</t>
  </si>
  <si>
    <t>Backlog</t>
  </si>
  <si>
    <t>In Progress</t>
  </si>
  <si>
    <t>In Review</t>
  </si>
  <si>
    <t>UI 요소 현황</t>
  </si>
  <si>
    <t>전체 UI 요소 수</t>
  </si>
  <si>
    <t>개발중</t>
  </si>
  <si>
    <t>실제 현황 (2026-03-12 기준)</t>
  </si>
  <si>
    <t>항목</t>
  </si>
  <si>
    <t>계획/기획</t>
  </si>
  <si>
    <t>구현 완료</t>
  </si>
  <si>
    <t>구현율</t>
  </si>
  <si>
    <t>전체 화면 수</t>
  </si>
  <si>
    <t>95</t>
  </si>
  <si>
    <t>33</t>
  </si>
  <si>
    <t>35%</t>
  </si>
  <si>
    <t>전체 기능 수</t>
  </si>
  <si>
    <t>90</t>
  </si>
  <si>
    <t>48</t>
  </si>
  <si>
    <t>53%</t>
  </si>
  <si>
    <t>전체 API 수</t>
  </si>
  <si>
    <t>59</t>
  </si>
  <si>
    <t>100% (Supabase 직접)</t>
  </si>
  <si>
    <t>100%</t>
  </si>
  <si>
    <t>268</t>
  </si>
  <si>
    <t>19%</t>
  </si>
  <si>
    <t>전체 DB 테이블 수</t>
  </si>
  <si>
    <t>27</t>
  </si>
  <si>
    <t>21</t>
  </si>
  <si>
    <t>78%</t>
  </si>
  <si>
    <t>전체 DB 컬럼 수</t>
  </si>
  <si>
    <t>336</t>
  </si>
  <si>
    <t>235</t>
  </si>
  <si>
    <t>70%</t>
  </si>
  <si>
    <t>비즈니스 정책 수</t>
  </si>
  <si>
    <t>133</t>
  </si>
  <si>
    <t>71</t>
  </si>
  <si>
    <t>주요 구현 현황</t>
  </si>
  <si>
    <t>API 연동</t>
  </si>
  <si>
    <t>Supabase 직접</t>
  </si>
  <si>
    <t>31/33 페이지 연동</t>
  </si>
  <si>
    <t>93%</t>
  </si>
  <si>
    <t>비즈니스 로직</t>
  </si>
  <si>
    <t>businessLogic.ts</t>
  </si>
  <si>
    <t>15개 함수 구현</t>
  </si>
  <si>
    <t>엑셀 내보내기</t>
  </si>
  <si>
    <t>exportExcel.ts</t>
  </si>
  <si>
    <t>10+ 페이지 연결</t>
  </si>
  <si>
    <t>외부 앱 (키오스크/모바일/트레이너/FC)</t>
  </si>
  <si>
    <t>22개 기능</t>
  </si>
  <si>
    <t>별도 프로젝트</t>
  </si>
  <si>
    <t>0%</t>
  </si>
  <si>
    <t>추가된 시트</t>
  </si>
  <si>
    <t>화면흐름도</t>
  </si>
  <si>
    <t>디자인토큰</t>
  </si>
  <si>
    <t>멀티테넌트 기획 현황 (BP-072~BP-133)</t>
  </si>
  <si>
    <t>영역</t>
  </si>
  <si>
    <t>정책 수</t>
  </si>
  <si>
    <t>관련 기능</t>
  </si>
  <si>
    <t>관련 TC</t>
  </si>
  <si>
    <t>멀티테넌트 (기본)
(BP-072~082)</t>
  </si>
  <si>
    <t>11개</t>
  </si>
  <si>
    <t>FN-054~056 (3개)</t>
  </si>
  <si>
    <t>TC-기존</t>
  </si>
  <si>
    <t>직원 라이프사이클
(BP-083~095)</t>
  </si>
  <si>
    <t>13개</t>
  </si>
  <si>
    <t>FN-057~063 (7개)</t>
  </si>
  <si>
    <t>TC-277~288 (12개)</t>
  </si>
  <si>
    <t>회원 이관/보존
(BP-096~105)</t>
  </si>
  <si>
    <t>10개</t>
  </si>
  <si>
    <t>FN-058 (1개)</t>
  </si>
  <si>
    <t>TC-289~297 (9개)</t>
  </si>
  <si>
    <t>지점 라이프사이클
(BP-106~112)</t>
  </si>
  <si>
    <t>7개</t>
  </si>
  <si>
    <t>FN-064~068 (5개)</t>
  </si>
  <si>
    <t>TC-298~304 (7개)</t>
  </si>
  <si>
    <t>슈퍼관리자 관리
(BP-113~120)</t>
  </si>
  <si>
    <t>8개</t>
  </si>
  <si>
    <t>FN-069~073 (5개)</t>
  </si>
  <si>
    <t>TC-305~312 (8개)</t>
  </si>
  <si>
    <t>데이터 보존/보안
(BP-121~127)</t>
  </si>
  <si>
    <t>공통 인프라</t>
  </si>
  <si>
    <t>TC-308~311,318 (5개)</t>
  </si>
  <si>
    <t>정산/재무
(BP-128~133)</t>
  </si>
  <si>
    <t>6개</t>
  </si>
  <si>
    <t>기존 기능 확장</t>
  </si>
  <si>
    <t>TC-313~317 (5개)</t>
  </si>
  <si>
    <t>합계</t>
  </si>
  <si>
    <t>62개 정책</t>
  </si>
  <si>
    <t>21개 신규 기능</t>
  </si>
  <si>
    <t>42개 TC</t>
  </si>
  <si>
    <t>엣지케이스 시나리오 커버리지</t>
  </si>
  <si>
    <t>직원 퇴사 (일반/FC/센터장)</t>
  </si>
  <si>
    <t>정책 3개 + TC 4개</t>
  </si>
  <si>
    <t>FC 퇴사 시 담당회원 재배정 (자동/수동/PT잔여)</t>
  </si>
  <si>
    <t>정책 1개 + TC 2개</t>
  </si>
  <si>
    <t>퇴사 직원 데이터 보존 + 리포트 표시</t>
  </si>
  <si>
    <t>정책 2개 + TC 2개</t>
  </si>
  <si>
    <t>퇴사 급여 최종정산 (퇴직금/연차/커미션)</t>
  </si>
  <si>
    <t>정책 1개 + TC 1개</t>
  </si>
  <si>
    <t>퇴사 예정 스케줄 처리</t>
  </si>
  <si>
    <t>직원 지점 이동(전보) + 급여 분리</t>
  </si>
  <si>
    <t>직원 휴직/복직 (임시 재배정)</t>
  </si>
  <si>
    <t>직원 역할 변경 (승격/강등)</t>
  </si>
  <si>
    <t>퇴사 직원 재입사 (이력연결)</t>
  </si>
  <si>
    <t>계정 잠금/보안 (5회실패/90일미접속)</t>
  </si>
  <si>
    <t>회원 지점 이관 (이용권유지/환불/소진)</t>
  </si>
  <si>
    <t>정책 2개 + TC 3개</t>
  </si>
  <si>
    <t>회원 탈퇴 (자발적/장기미이용/강제)</t>
  </si>
  <si>
    <t>회원 재가입 (데이터연결/마스킹후)</t>
  </si>
  <si>
    <t>개인정보 삭제 요청</t>
  </si>
  <si>
    <t>다지점 게스트 방문</t>
  </si>
  <si>
    <t>쿠폰/마일리지 이관</t>
  </si>
  <si>
    <t>지점 폐점 60일 프로세스</t>
  </si>
  <si>
    <t>지점 합병 (흡수/신설)</t>
  </si>
  <si>
    <t>지점 일시 휴업 + 자동 홀딩</t>
  </si>
  <si>
    <t>지점 정원 초과 차단</t>
  </si>
  <si>
    <t>슈퍼관리자 지정/해제/최소1인</t>
  </si>
  <si>
    <t>슈퍼관리자 퇴사 + 소유권 이전</t>
  </si>
  <si>
    <t>정책 2개 + TC 1개</t>
  </si>
  <si>
    <t>감사 로그 (불변/영구보존)</t>
  </si>
  <si>
    <t>동시 접속 제한</t>
  </si>
  <si>
    <t>이관 후 크로스지점 환불</t>
  </si>
  <si>
    <t>환불 금액별 승인 권한</t>
  </si>
  <si>
    <t>구독 요금제 (업/다운그레이드)</t>
  </si>
  <si>
    <t>데이터 연쇄 무결성 (탈퇴/퇴사 시)</t>
  </si>
  <si>
    <t>비상 복구 (전원 잠금)</t>
  </si>
  <si>
    <t>정책 1개 + TC 0개</t>
  </si>
  <si>
    <t>소프트 삭제 전체 정책</t>
  </si>
  <si>
    <t>개인정보 자동 마스킹</t>
  </si>
  <si>
    <t>RLS 데이터 격리</t>
  </si>
  <si>
    <t>UX 개선 현황 (2026-03-13)</t>
  </si>
  <si>
    <t>개선 항목</t>
  </si>
  <si>
    <t>영향 범위</t>
  </si>
  <si>
    <t>window.confirm → ConfirmDialog</t>
  </si>
  <si>
    <t>전체 (10+ 페이지)</t>
  </si>
  <si>
    <t>공통 컴포넌트 분리</t>
  </si>
  <si>
    <t>alert() → toast (sonner)</t>
  </si>
  <si>
    <t>전체 (40+ 건)</t>
  </si>
  <si>
    <t>main.tsx Toaster 마운트</t>
  </si>
  <si>
    <t>인라인 모달 → Modal 컴포넌트</t>
  </si>
  <si>
    <t>Attendance, Locker, MemberList 등</t>
  </si>
  <si>
    <t>ESC, focus trap, scroll lock</t>
  </si>
  <si>
    <t>DataTable 모바일 sticky 컬럼</t>
  </si>
  <si>
    <t>전체 테이블</t>
  </si>
  <si>
    <t>첫 번째 컬럼 고정</t>
  </si>
  <si>
    <t>하드코딩 날짜 → 동적 변환</t>
  </si>
  <si>
    <t>Attendance, RFID, Branch, Mileage</t>
  </si>
  <si>
    <t>new Date() 기반</t>
  </si>
  <si>
    <t>페이지네이션 상태 관리</t>
  </si>
  <si>
    <t>Payroll, StaffList</t>
  </si>
  <si>
    <t>키보드/스크린리더 접근성</t>
  </si>
  <si>
    <t>Login, Sidebar, Locker, Form 등</t>
  </si>
  <si>
    <t>aria-*, role, sr-only</t>
  </si>
  <si>
    <t>매출 탭별 집계 뷰</t>
  </si>
  <si>
    <t>Sales</t>
  </si>
  <si>
    <t>기간/상품/결제수단/담당자 그룹핑</t>
  </si>
  <si>
    <t>대시보드 실데이터 + 네비게이션</t>
  </si>
  <si>
    <t>Dashboard</t>
  </si>
  <si>
    <t>통계 카드 클릭→상세</t>
  </si>
  <si>
    <t>계약 마법사 모바일 대응</t>
  </si>
  <si>
    <t>ContractWizard</t>
  </si>
  <si>
    <t>Step 인디케이터 컴팩트</t>
  </si>
  <si>
    <t>RFID 관리 DB 연동</t>
  </si>
  <si>
    <t>예정</t>
  </si>
  <si>
    <t>RfidManagement</t>
  </si>
  <si>
    <t>rfid_cards 테이블 생성 필요</t>
  </si>
  <si>
    <t>IoT 설정 DB 연동</t>
  </si>
  <si>
    <t>IotSettings</t>
  </si>
  <si>
    <t>iot_devices 테이블 생성 필요</t>
  </si>
  <si>
    <t>정책 ID</t>
  </si>
  <si>
    <t>정책 영역</t>
  </si>
  <si>
    <t>정책명</t>
  </si>
  <si>
    <t>정책 설명</t>
  </si>
  <si>
    <t>관련 화면</t>
  </si>
  <si>
    <t>BP-001</t>
  </si>
  <si>
    <t>비밀번호 정책</t>
  </si>
  <si>
    <t>최소 8자, 영문+숫자+특수문자 조합 필수. 이전 3개 비밀번호 재사용 금지. 90일 경과 시 변경 권장 팝업(강제 변경 or 건너뛰기 선택 가능).</t>
  </si>
  <si>
    <t>BP-002</t>
  </si>
  <si>
    <t>계정 잠금 정책</t>
  </si>
  <si>
    <t>로그인 5회 연속 실패 시 30분 잠금. 잠금 시 남은 시간 표시. 잠금 해제 방법: 비밀번호 찾기(이메일 인증) 또는 관리자 수동 해제.</t>
  </si>
  <si>
    <t>BP-003</t>
  </si>
  <si>
    <t>세션 관리 정책</t>
  </si>
  <si>
    <t>동시 로그인 1개 세션만 허용. 새 로그인 시 기존 세션 강제 종료. JWT 토큰 만료: 2시간(기본). 로그인 유지 선택 시 Refresh Token 7일 유효.</t>
  </si>
  <si>
    <t>BP-004</t>
  </si>
  <si>
    <t>지점 전환 정책</t>
  </si>
  <si>
    <t>로그인 시 선택한 지점의 데이터만 접근 가능. 헤더 드롭다운으로 재로그인 없이 지점 전환 허용(최고관리자/센터장 한정). 전환 즉시 해당 지점 데이터 리로드.</t>
  </si>
  <si>
    <t>BP-005</t>
  </si>
  <si>
    <t>권한 매트릭스 정책</t>
  </si>
  <si>
    <t>역할별 메뉴/기능 접근 제한. 최고관리자&gt;센터장&gt;매니저&gt;FC&gt;스태프&gt;조회전용 계층. 메뉴별 CRUD 권한 세분화. 역할 변경 시 즉시 적용.</t>
  </si>
  <si>
    <t>BP-006</t>
  </si>
  <si>
    <t>회원 상태 정의</t>
  </si>
  <si>
    <t>활성: 유효한 이용권 1개 이상 보유. 만료: 모든 이용권 만료(마지막 만료일 기준). 예정: 시작일이 미래인 이용권 보유. 임박: 만료 D-30 이내. 홀딩: 이용권 정지 중. 미등록: 이용권 없음.</t>
  </si>
  <si>
    <t>BP-007</t>
  </si>
  <si>
    <t>회원 등록 규칙</t>
  </si>
  <si>
    <t>이름(2~20자 한글/영문), 성별, 연락처(010-XXXX-XXXX 형식) 필수. 연락처는 동일 지점 내 중복 불가. 회원번호 자동 생성: 지점코드-YYMMDD-순번. 출석번호 4자리 랜덤(중복 체크).</t>
  </si>
  <si>
    <t>BP-008</t>
  </si>
  <si>
    <t>회원 수정 규칙</t>
  </si>
  <si>
    <t>수정 시 변경 전/후 값 자동 audit_log 기록(변경자+변경일시). 연락처 변경 시 재중복 체크 필수. 변경 이력은 회원 상세 이력 탭에서 조회 가능.</t>
  </si>
  <si>
    <t>BP-009</t>
  </si>
  <si>
    <t>회원 삭제 규칙</t>
  </si>
  <si>
    <t>소프트 삭제(is_deleted 플래그). 미납 건 존재 시 삭제 불가(환불/정산 선행). 유효 이용권 존재 시 삭제 불가. 삭제 후 30일간 복구 가능. 복구 불가 시 영구 삭제 처리.</t>
  </si>
  <si>
    <t>BP-010</t>
  </si>
  <si>
    <t>회원 검색 정책</t>
  </si>
  <si>
    <t>이름: 부분일치(2글자 이상). 연락처: 숫자만 추출 후 부분일치. 회원번호: 완전일치. 검색 debounce 300ms 적용. 모든 필터는 AND 조합. 삭제 회원은 기본 미표시(옵션 선택 시 표시).</t>
  </si>
  <si>
    <t>BP-011</t>
  </si>
  <si>
    <t>매출 집계 규칙</t>
  </si>
  <si>
    <t>총매출 = 현금 + 카드 + 마일리지 - 환불. 순매출 = 총매출 - 부가세. 일/주/월/연 단위 집계. 지점별 완전 독립 집계. 환불 건은 마이너스로 반영.</t>
  </si>
  <si>
    <t>BP-012</t>
  </si>
  <si>
    <t>환불 정책</t>
  </si>
  <si>
    <t>결제 후 7일 이내: 전액 환불. 7일 초과~이용 시작 전: 위약금 10% 공제. 이용 시작 후: 잔여일수 비례 일할 계산 환불. 환불 시 원래 결제 수단으로 반환. 마일리지 환불 시 잔여 마일리지 복원.</t>
  </si>
  <si>
    <t>BP-013</t>
  </si>
  <si>
    <t>미수금 관리 정책</t>
  </si>
  <si>
    <t>미납 발생 즉시 회원 상태에 미수금 표시. 7일 경과: SMS 자동 발송(설정 시). 30일 경과: 장기 미납 분류. 이용권 정지 여부는 센터 설정에 따름.</t>
  </si>
  <si>
    <t>BP-014</t>
  </si>
  <si>
    <t>결제 수단 정책</t>
  </si>
  <si>
    <t>현금: 거스름돈 계산 + 현금영수증 발행 옵션. 카드: 단말기 연동 또는 수기 입력. 마일리지: 잔액 초과 불가, 최소 사용 1,000원, 결제금액의 50% 한도. 혼합결제: 각 수단 합계 = 총 결제금액 일치 필수.</t>
  </si>
  <si>
    <t>BP-015</t>
  </si>
  <si>
    <t>비회원 결제 정책</t>
  </si>
  <si>
    <t>회원 미선택 상태에서 비회원 결제 진행 가능. 마일리지 적립/사용 불가. 영수증에 비회원 표시. 비회원 결제 데이터는 별도 통계 집계.</t>
  </si>
  <si>
    <t>BP-016</t>
  </si>
  <si>
    <t>상품 카테고리 체계</t>
  </si>
  <si>
    <t>시설이용권(헬스/수영/골프 등), 수강권PT(1:1 PT/그룹 PT), 수강권GX(요가/필라테스/사이클 등), 대여(락커/운동복/수건), 기타(음료/보충제/용품). 동일 카테고리 내 상품명 중복 불가.</t>
  </si>
  <si>
    <t>BP-017</t>
  </si>
  <si>
    <t>가격 정책</t>
  </si>
  <si>
    <t>현금가 ≤ 카드가 권장(강제 아님). 가격 최소 0원(무료 상품 허용), 최대 99,999,999원. 부가세 포함/별도 선택 가능. 가격 변경 시 기존 계약 가격은 유지(소급 미적용).</t>
  </si>
  <si>
    <t>BP-018</t>
  </si>
  <si>
    <t>이용 기간 정책</t>
  </si>
  <si>
    <t>시작일: 구매일 또는 지정일 선택. 홀딩 최대 일수/횟수 상품별 설정. 홀딩 시 잔여일 정지(소진 아님). 만료 후 재활성화 불가(재구매 필요). 홀딩 중 만료일 = 원래 만료일 + 홀딩일수.</t>
  </si>
  <si>
    <t>BP-019</t>
  </si>
  <si>
    <t>키오스크 노출 정책</t>
  </si>
  <si>
    <t>노출 ON: 키오스크 판매 화면 표시. 노출 OFF: 키오스크 숨김, POS에서만 판매. 판매 중지: POS/키오스크 모두 비활성화. 재고 0 실물 상품: 자동 비활성화.</t>
  </si>
  <si>
    <t>BP-020</t>
  </si>
  <si>
    <t>락커 배정 정책</t>
  </si>
  <si>
    <t>동일 유형 내 1회원 1락커 원칙. 배정 시 만료일 필수(상품 기간 연동 또는 수동 입력). 이미 배정된 락커 재배정 불가. 배정 취소는 배정일 당일만 가능.</t>
  </si>
  <si>
    <t>BP-021</t>
  </si>
  <si>
    <t>락커 만료 처리 정책</t>
  </si>
  <si>
    <t>D-3: 만료임박 표시(노란색). D-0: 만료 표시(빨간색). D+3: 자동 해제 여부 센터 설정으로 결정. 일괄 해제: 만료+N일 초과 건 일괄 처리 기능 제공.</t>
  </si>
  <si>
    <t>BP-022</t>
  </si>
  <si>
    <t>RFID 카드 정책</t>
  </si>
  <si>
    <t>1회원 1카드(활성 카드 기준). 카드 번호: 10자리 영숫자. 분실 신고 시 기존 카드 즉시 비활성화 후 신규 발급. 카드 반납 시 초기화 후 재사용 가능. 미등록 카드 태그 시 등록되지 않은 카드 표시.</t>
  </si>
  <si>
    <t>BP-023</t>
  </si>
  <si>
    <t>룸 관리 정책</t>
  </si>
  <si>
    <t>룸명: 고유, 2~20자. 수용 인원: 1~100명. 유형: PT룸/GX룸/다목적. 미래 예약 존재 시 삭제 불가. 비활성화 시 신규 예약 차단(기존 예약 유지). 예약 가능 시간 요일별 설정.</t>
  </si>
  <si>
    <t>BP-024</t>
  </si>
  <si>
    <t>출석 유형 정의</t>
  </si>
  <si>
    <t>일반: 키오스크/앱 체크인. PT: PT 수업 참석. GX: GX 수업 참석. 수동: 관리자 등록. 타지점 출석은 전지점 이용권 보유 시 허용, 원지점에 알림 발송, 실제 방문 지점에 기록.</t>
  </si>
  <si>
    <t>BP-025</t>
  </si>
  <si>
    <t>출석 차단 정책</t>
  </si>
  <si>
    <t>이용권 만료 회원: 기본 차단(센터 설정으로 허용 가능). 미납 회원: 센터 설정에 따라 허용/경고/차단 중 선택. 차단 시 키오스크 화면에 관리자에게 문의 메시지 표시.</t>
  </si>
  <si>
    <t>BP-026</t>
  </si>
  <si>
    <t>일정 충돌 규칙</t>
  </si>
  <si>
    <t>동일 시간대+동일 트레이너 배정 시 충돌 경고. 동일 시간대+동일 룸 사용 시 충돌 경고. 1:1 PT는 트레이너당 1건만. GX는 룸 수용 인원 초과 불가. 과거 일정 수정/삭제 불가.</t>
  </si>
  <si>
    <t>BP-027</t>
  </si>
  <si>
    <t>예약 취소 정책</t>
  </si>
  <si>
    <t>PT 예약 취소: 수업 24시간 전까지 무료 취소. 당일 취소: 회차 1회 차감(페널티). 노쇼: 회차 1회 차감+패널티 기록. 페널티 3회 누적 시 관리자 알림 발송.</t>
  </si>
  <si>
    <t>BP-028</t>
  </si>
  <si>
    <t>직원/급여</t>
  </si>
  <si>
    <t>직원 역할 체계</t>
  </si>
  <si>
    <t>최고관리자(전체 시스템), 센터장(지점 전체), 매니저(회원/매출/상품), FC(회원 관리/PT 일정), 스태프(출석/키오스크), 조회전용(조회만). 역할 선택 시 기본 권한 자동 배정. 커스텀 권한 추가 설정 가능.</t>
  </si>
  <si>
    <t>BP-029</t>
  </si>
  <si>
    <t>퇴사 처리 정책</t>
  </si>
  <si>
    <t>퇴사 처리 시 관리자 계정 즉시 비활성화. 담당 회원 재배정 필요(알림 발송). 미지급 급여 정산 선행. 퇴사 후 데이터: 센터 설정에 따라 6개월 보관 또는 영구 보관.</t>
  </si>
  <si>
    <t>BP-030</t>
  </si>
  <si>
    <t>급여 계산 정책</t>
  </si>
  <si>
    <t>실지급액 = 기본급 + 인센티브 + 수당 - 공제(4대보험+소득세). PT 인센티브: 건당 커미션(예: 30% 설정 가능). 마감: 매월 25일(설정 가능). 확정완료 후 수정 불가(관리자 잠금 해제 필요).</t>
  </si>
  <si>
    <t>BP-031</t>
  </si>
  <si>
    <t>급여 명세서 정책</t>
  </si>
  <si>
    <t>급여 확정완료 후 명세서 자동 생성. PDF 다운로드 + 이메일 자동 발송 옵션. 조회 권한: 본인 명세서 또는 센터장 이상. 이의 제기: 직원 → 관리자 재검토 요청 가능.</t>
  </si>
  <si>
    <t>BP-032</t>
  </si>
  <si>
    <t>메시지 발송 정책</t>
  </si>
  <si>
    <t>SMS: 90자(70원/건). LMS: 2,000자(30원/건). 카카오 알림톡: 1,000자(8원/건). 발송 전 비용 사전 표시. 예약 발송: 최소 5분 후~최대 30일 후. 발송 실패 시 재시도 1회.</t>
  </si>
  <si>
    <t>BP-033</t>
  </si>
  <si>
    <t>자동 알림 13종 정책</t>
  </si>
  <si>
    <t>이용권 만료 D-7/D-3/D-1/당일, 생일 축하, 장기 미출석(30일), 신규 환영, PT 전일 리마인드, 미납 안내, 락커 만료, 쿠폰 만료 임박, 재등록 유도(만료 후 7일), 정기 결제 안내. 매일 오전 9시 실행. 동일 회원+동일 규칙 1일 1회 중복 방지.</t>
  </si>
  <si>
    <t>BP-034</t>
  </si>
  <si>
    <t>쿠폰 정책</t>
  </si>
  <si>
    <t>유형: 정률(%)/정액(원)/무료이용권. 유효기간: 특정 기간 또는 발급일+N일. 사용 한도: 전체 N회 또는 회원당 1회. 최소 주문 금액 설정 가능. 만료 쿠폰 자동 비활성화. 발급건 존재 시 쿠폰 삭제 불가.</t>
  </si>
  <si>
    <t>BP-035</t>
  </si>
  <si>
    <t>마일리지 정책</t>
  </si>
  <si>
    <t>기본 적립률: 결제금액의 N%(센터 설정). 유효기간: N개월(기본 12개월). 최소 사용: 1,000원 이상. 최대 사용: 결제금액의 50%(설정 가능). 현금 전환 불가. 결제 취소 시 자동 회수.</t>
  </si>
  <si>
    <t>BP-036</t>
  </si>
  <si>
    <t>계약 프로세스 정책</t>
  </si>
  <si>
    <t>Step1 회원 선택(필수), Step2 상품 선택(1개 이상), Step3 기간/금액 설정(시작일/할인/서비스일수), Step4 결제(현금/카드/마일리지/혼합), Step5 전자서명(약관 동의+서명). 각 단계 완료 전 다음 단계 진입 불가.</t>
  </si>
  <si>
    <t>BP-037</t>
  </si>
  <si>
    <t>할인 정책</t>
  </si>
  <si>
    <t>최대 할인율: 50%. 할인 유형: 재등록/신규/이벤트/관리자 재량. 할인 시 원가/할인가/최종가 모두 표시. 할인 사유 필수 입력. 할인 내역은 매출 통계에서 별도 조회 가능.</t>
  </si>
  <si>
    <t>BP-038</t>
  </si>
  <si>
    <t>계약 완료 후 자동 처리</t>
  </si>
  <si>
    <t>이용권 자동 생성(시작일 기준). 매출 자동 등록. 마일리지 자동 적립(설정 시). 환영 메시지 자동 발송(설정 시). 계약서 PDF 자동 생성 및 저장.</t>
  </si>
  <si>
    <t>BP-039</t>
  </si>
  <si>
    <t>지점 코드 규칙</t>
  </si>
  <si>
    <t>지점 코드: 영문 대문자 2~5자, 고유. 자동 생성 또는 수동 입력. 한 번 등록된 코드는 변경 불가. 회원번호/출석번호 생성 시 지점 코드 prefix로 사용.</t>
  </si>
  <si>
    <t>BP-040</t>
  </si>
  <si>
    <t>지점 데이터 격리 정책</t>
  </si>
  <si>
    <t>지점별 데이터 완전 격리(멀티테넌트). 모든 쿼리에 branch_id 필터 필수 적용. 지점 비활성화: 소속 데이터 유지, 로그인 차단. 데이터 초기화: 최고관리자+비밀번호 확인+2중 확인 필수.</t>
  </si>
  <si>
    <t>BP-041</t>
  </si>
  <si>
    <t>회원 지점 이동 정책</t>
  </si>
  <si>
    <t>이동 시 이용권 유지 또는 신규 발급 선택. 이동 전 미납 건 정산 선행. 이동 이력 기록(이동일시/처리자/사유). 원지점/이동지점 모두에 이력 표시.</t>
  </si>
  <si>
    <t>BP-042</t>
  </si>
  <si>
    <t>대시보드 데이터 갱신 정책</t>
  </si>
  <si>
    <t>통계 카드: 페이지 진입 시 + 5분 주기 자동 갱신. 차트: 페이지 진입 시 1회 로드. 알림 리스트: 실시간(WebSocket 또는 30초 폴링). 만료임박 기준: D-7 이내. D-3 이내 긴급 표시(빨간색).</t>
  </si>
  <si>
    <t>BP-043</t>
  </si>
  <si>
    <t>오프라인 모드 정책</t>
  </si>
  <si>
    <t>네트워크 장애 시 로컬 모드 자동 전환. 필수 기능(출입/라커/출석)은 오프라인에서도 동작. 로컬 데이터 최대 72시간 보관. 네트워크 복구 시 자동 동기화(서버 우선). 오프라인 불가 기능: 결제/환불/회원등록. 동기화 충돌 시 관리자 알림.</t>
  </si>
  <si>
    <t>BP-044</t>
  </si>
  <si>
    <t>GX 예약 오픈 정책</t>
  </si>
  <si>
    <t>GX 수업 예약 오픈 방식 2가지 지원: 1) 일괄 오픈(매주 특정 요일/시간에 다음주 전체 오픈), 2) 개별 오픈(수업 시작 N시간 전 자동 오픈). 센터별 방식 선택. 예약 오픈 시 회원 앱 알림 발송(설정 시). 강사 변경 시 일괄 수정 지원(기간 지정).</t>
  </si>
  <si>
    <t>BP-045</t>
  </si>
  <si>
    <t>GX/스피닝 노쇼 페널티 정책</t>
  </si>
  <si>
    <t>취소 가능 시한: 수업 시작 N시간 전(기본 5시간, 센터 설정). 시한 내 취소: 횟수 미차감. 시한 초과 취소 또는 노쇼: 1회 차감(수업 진행 처리). 월 N회(기본 2회) 노쇼 시 1주간 예약 제한 페널티. 페널티 부과 전 회원 알림 발송. 출석 체크 없이 하루 경과 시 자동 수업 완료 처리(레슨북 방식).</t>
  </si>
  <si>
    <t>BP-046</t>
  </si>
  <si>
    <t>좌석 예약 정책</t>
  </si>
  <si>
    <t>스피닝/GX 좌석 예약 선착순 방식. 예약 시간순으로 좌석 선택 우선권 부여. 고장 좌석: 관리자만 비활성화(사선 표시), 기예약자 자동 알림. 좌석 미선택 시 자동 랜덤 배정. 센터별 좌석 예약 ON/OFF 설정 가능.</t>
  </si>
  <si>
    <t>BP-047</t>
  </si>
  <si>
    <t>레슨 서명 정책</t>
  </si>
  <si>
    <t>PT/골프 레슨 완료 시 고객 터치 서명으로 수업 진위 확인. 서명 필수 여부: 센터별 ON/OFF 설정. 서명 필수 ON: 서명 없으면 수업 인정 불가, 관리자 확인 필요. 서명 없이 24시간 경과: 자동 수업 완료(센터 설정에 따라). 노쇼 = 수업 진행 처리(횟수 차감). 취소 = 횟수 미차감(시한 내).</t>
  </si>
  <si>
    <t>BP-048</t>
  </si>
  <si>
    <t>라커 배정 우선순위 정책</t>
  </si>
  <si>
    <t>자동 배정 시 우선순위: 상단 &gt; 하단, 홀수 &gt; 짝수(센터 설정). 고장/점유 라커 자동 스킵. 퇴실 시 라커 자동 해제 여부 센터 설정. 마감 시 전체 라커 일괄 해제 기능 제공. 잔류물: 프론트 보관 15일 → 폐기. NFC/번호키/일반키 방식 센터별 선택 가능(표준: NFC 랜덤배정 또는 번호키 고정배정 2가지).</t>
  </si>
  <si>
    <t>BP-049</t>
  </si>
  <si>
    <t>키오스크 타입 정책</t>
  </si>
  <si>
    <t>2가지 타입: 타입A(입퇴장/사물함 전용, 결제 없음), 타입B(1일권/시간권 현장 결제 포함). 지점 단위 설정(어드민). 타입B: PG사 결제 모듈 연동 필수. 타입별 키오스크 UI 자동 분기. 1일권 결제 시 가상 회원ID 자동 생성 + 당일 만료.</t>
  </si>
  <si>
    <t>BP-050</t>
  </si>
  <si>
    <t>기기 전원 제어 정책</t>
  </si>
  <si>
    <t>키오스크: WOL(Wake-on-LAN) 원격 부팅/셧다운. 프로젝터: PJ Link 프로토콜 제어. 스케줄 설정: 오픈 N분 전 자동 부팅, 마감 시 자동 셧다운. 기기 상태 실시간 모니터링(온라인/오프라인/고장). 미응답 기기 3회 재시도 후 오프라인 표시 + 관리자 알림. 골프장 전 지점 적용 권장(연간 인건비 절감 효과).</t>
  </si>
  <si>
    <t>BP-051</t>
  </si>
  <si>
    <t>수건/운동복 발급 정책</t>
  </si>
  <si>
    <t>기본 제공량: 수건 2장 + 운동복 1벌/일(센터 설정). 추가 발급: 유/무료 센터 설정. 발급 방식: QR 스캔/안면인식/NFC 택 1(센터 설정). 반납 시 포인트 적립 옵션. 과다 발급 알림: 평균 대비 150% 초과 시 관리자 알림. 월간 세탁비 자동 집계 + 입장객 대비 사용률 통계.</t>
  </si>
  <si>
    <t>BP-052</t>
  </si>
  <si>
    <t>FC 즐겨찾기 알림 정책</t>
  </si>
  <si>
    <t>FC 개인 아이디별 즐겨찾기 회원 등록(수 제한 없음). 즐겨찾기 회원 입장 시 해당 FC에 실시간 푸시 알림(앱 푸시 + 관리자 화면 팝업). 알림 내용: 회원명, 잔여 이용권일수, 미납 여부. 이용권 만료 D-30 이내 회원 자동 즐겨찾기 추가(설정 시). 담당 FC 퇴사 시 즐겨찾기 재배정.</t>
  </si>
  <si>
    <t>BP-053</t>
  </si>
  <si>
    <t>실적 귀속 정책</t>
  </si>
  <si>
    <t>최초 상담자에게 실적 귀속(기본). 귀속 유효기간: 상담일로부터 N일(기본 30일, 센터 설정). 유효기간 초과 시 귀속 해제, 새 상담자에게 이전. 계약 처리자 ≠ 실적 담당자 분리 가능. 실적: 개인 매출 + 팀 매출 이중 집계. 분쟁 방지: 상담 이력(일시/내용) 자동 기록.</t>
  </si>
  <si>
    <t>BP-054</t>
  </si>
  <si>
    <t>프로모션 할인 자동화 정책</t>
  </si>
  <si>
    <t>프로모션 사전 등록: 기간/대상(신규/재등록/휴면복귀)/할인율 설정. 계약 시 해당 프로모션 자동 적용(수동 입력 불필요). FC 재량 할인: 센터장이 최대 한도 설정(예: 5%). 할인율 50% 초과: 센터장 승인 필요. 프로모션 중복 적용 불가(최대 혜택 자동 선택). 할인 적용 시 원가/할인가/최종가 모두 표시. 전체 할인 이력 감사 로그.</t>
  </si>
  <si>
    <t>BP-055</t>
  </si>
  <si>
    <t>GX 출석 체크 정책</t>
  </si>
  <si>
    <t>출석 체크 방식: QR코드(권장, 저비용) / NFC / 안면인식 / 수동. 전 매장 표준: QR코드 리더기 설치 권장. 센터 입장(키오스크) + 프로그램 예약 매칭 → 자동 출석 처리. 예약 후 미출석(수업 종료 시점): 노쇼 자동 처리. 비예약자 참석 감지 시 FC 알림(영업 기회).</t>
  </si>
  <si>
    <t>BP-056</t>
  </si>
  <si>
    <t>키오스크 입장 인증 정책</t>
  </si>
  <si>
    <t>인증 방식 3가지 지원: 얼굴인식(브로제이 방식)/전화번호/NFC밴드(온핏 방식). 센터별 기본 인증 방식 설정. 얼굴인식 실패 시 전화번호 폴백. 동시 다중 인식 지원(얼굴인식). 만료 회원 입장: 센터 설정(허용/경고후허용/차단). 입장 시 라커 자동 배정(배정 규칙에 따라).</t>
  </si>
  <si>
    <t>BP-057</t>
  </si>
  <si>
    <t>키오스크 퇴장/라커 해제 정책</t>
  </si>
  <si>
    <t>퇴장 방식: 인증 퇴장 or 라커키 반납 퇴장(대치점 방식). 퇴장 시 라커 자동 해제(센터 설정). 퇴장 미처리 시 마감 일괄 퇴장 처리. 이용시간 자동 기록(입장~퇴장). 라커 잔류물: 마감 시 체크리스트 생성.</t>
  </si>
  <si>
    <t>BP-058</t>
  </si>
  <si>
    <t>골프 타석 시간 표시 정책</t>
  </si>
  <si>
    <t>대기시간/잔여시간 표시: 시:분 형식(예: 3시간 58분). 분 단위 표시 금지(238분 X). 60분 이하: 분만 표시(예: 45분). 1회 이용시간: 최대 60분(센터 설정 가능). 이용 종료 10분 전 화면 알림. 시간 종료 시 자동 스크린 잠금.</t>
  </si>
  <si>
    <t>FN-K03, FN-K07</t>
  </si>
  <si>
    <t>BP-059</t>
  </si>
  <si>
    <t>사물함 영수증 정책</t>
  </si>
  <si>
    <t>대치점 벤치마크: 라커 배정 시 영수증 형태로 라커 번호 출력. 영수증에 라커 번호 크게 표시(고령 회원 배려). 라커 위치 안내(층/구역) 포함. 영수증 미수령 시 키오스크에서 재확인 가능. 분실 시 전화번호로 재조회.</t>
  </si>
  <si>
    <t>BP-060</t>
  </si>
  <si>
    <t>회원 앱 QR 입장 정책</t>
  </si>
  <si>
    <t>QR코드: 일회용, 30초마다 자동 갱신(보안). QR 생성: 로그인 상태에서만 가능. 오프라인 시 QR 생성 불가(네트워크 필수). QR 스캔 → 입장 처리 + 라커 배정 동시 처리. QR 입장은 키오스크 얼굴인식/NFC와 동일 권한.</t>
  </si>
  <si>
    <t>BP-061</t>
  </si>
  <si>
    <t>앱 원격 예약 정책</t>
  </si>
  <si>
    <t>GX/골프/PT 앱 원격 예약 가능. GX: 예약 오픈 시 앱 푸시 알림 → 선착순 예약. 골프: 원격 대기열 등록 → 순번 도달 시 푸시 알림 → 15분 이내 입장 필수. PT: 트레이너 빈 시간대에서 예약 → 트레이너 승인 필요(센터 설정). 취소 시한/노쇼 페널티는 관리자 정책과 동일 적용.</t>
  </si>
  <si>
    <t>SCR-M03, SCR-M04, SCR-M05</t>
  </si>
  <si>
    <t>FN-M03, FN-M04, FN-M05</t>
  </si>
  <si>
    <t>BP-062</t>
  </si>
  <si>
    <t>트레이너 레슨 기록 정책</t>
  </si>
  <si>
    <t>수업 완료 후 당일 내 레슨 기록 작성 권장. 3일 초과 미작성 시 관리자 알림. 고객 서명: 수업 완료 시 요청 → 고객 앱 or 현장 태블릿에서 서명. 서명 필수 여부: 센터별 ON/OFF. 미서명 24시간 경과: 정책에 따라 자동 완료 or 관리자 확인. 레슨 기록 수정: 작성 후 24시간 이내만 가능.</t>
  </si>
  <si>
    <t>BP-063</t>
  </si>
  <si>
    <t>FC 방문 알림 정책</t>
  </si>
  <si>
    <t>즐겨찾기 회원 입장 시 해당 FC에 30초 이내 푸시 알림. 알림 내용: 회원명, 잔여 이용권일수, 미납 여부, 마지막 방문일. 알림 채널: 앱 푸시(필수) + 관리자 Web 팝업(선택). 알림 수신 거부 시 앱 내 배지만 표시. 비근무 시간 알림: 앱 내 축적, 출근 시 일괄 확인.</t>
  </si>
  <si>
    <t>FN-F01, FN-F02</t>
  </si>
  <si>
    <t>BP-064</t>
  </si>
  <si>
    <t>상담 이력 및 실적 귀속 정책(앱)</t>
  </si>
  <si>
    <t>모든 상담은 일시/내용/결과 기록 필수. 최초 상담자 자동 기록 → 실적 귀속 근거. 상담 기록 수정: 24시간 이내만 가능(감사 로그). 동일 회원 타 FC 상담 이력 참조 가능(내용은 비공개 옵션). 상담 → 계약 전환율 자동 집계. 실적 귀속 잔여일수 앱에 표시(예: 'D-15 귀속 만료').</t>
  </si>
  <si>
    <t>BP-065</t>
  </si>
  <si>
    <t>공통/UI</t>
  </si>
  <si>
    <t>GNB 검색 정책</t>
  </si>
  <si>
    <t>GNB 글로벌 검색바: 회원명/연락처 대상 검색. 2자 이상 입력 시 검색 시작(debounce 300ms). 최대 10건 미리보기 드롭다운 표시. 결과 클릭 시 회원 상세 이동. 결과 없음 시 "검색 결과가 없습니다" 표시.</t>
  </si>
  <si>
    <t>BP-066</t>
  </si>
  <si>
    <t>파일 업로드 정책</t>
  </si>
  <si>
    <t>파일 업로드 크기/형식 제한: 프로필 이미지 2MB(PNG/JPG), 문서 10MB(PDF), 전자서명 500KB(PNG). 허용 형식 외 파일 선택 시 에러 토스트. Supabase Storage 업로드, 업로드 실패 시 3회 자동 재시도.</t>
  </si>
  <si>
    <t>FN-004, FN-027</t>
  </si>
  <si>
    <t>BP-067</t>
  </si>
  <si>
    <t>엑셀 내보내기 정책</t>
  </si>
  <si>
    <t>엑셀 export 최대 10,000건. 초과 시 "최대 10,000건까지 다운로드 가능합니다" 안내. 파일명 규칙: "{기능명}_{YYYYMMDD}.xlsx" (예: 회원목록_20260312.xlsx). 다운로드 중 로딩 표시.</t>
  </si>
  <si>
    <t>BP-068</t>
  </si>
  <si>
    <t>토스트 알림 정책</t>
  </si>
  <si>
    <t>토스트(sonner) 자동 닫힘: success/error 3초, info 5초, warning 5초. 우측 상단 표시. 여러 개 스택 지원. 수동 닫기 버튼 제공. 에러 토스트는 빨간색 배경, 성공은 초록색.</t>
  </si>
  <si>
    <t>BP-069</t>
  </si>
  <si>
    <t>페이지네이션 정책</t>
  </si>
  <si>
    <t>데이터 테이블 기본 페이지 크기: 20건. 옵션: [20, 50, 100]. 총 건수 표시. 현재 페이지/전체 페이지 표시. 첫페이지/이전/다음/마지막 버튼. URL 쿼리 파라미터로 페이지 유지.</t>
  </si>
  <si>
    <t>BP-070</t>
  </si>
  <si>
    <t>폼 검증 정책</t>
  </si>
  <si>
    <t>onSubmit 시점 검증 (실시간 검증은 이메일/전화번호 등 형식 필드만). 필드별 에러 메시지 빨간색 표시. 에러 발생 시 첫 번째 에러 필드로 자동 스크롤. 필수 필드 미입력 시 "필수 입력 항목입니다" 메시지. 서버 에러는 토스트로 표시.</t>
  </si>
  <si>
    <t>BP-071</t>
  </si>
  <si>
    <t>공통/인증</t>
  </si>
  <si>
    <t>세션 타임아웃 정책</t>
  </si>
  <si>
    <t>JWT 토큰 만료 5분 전 경고 토스트 표시("세션이 곧 만료됩니다. 연장하시겠습니까?"). 연장 버튼 클릭 시 토큰 갱신. 만료 시 자동 로그아웃 + 로그인 페이지 리다이렉트. 로그인 유지 체크 시 Refresh Token으로 자동 갱신(7일).</t>
  </si>
  <si>
    <t>BP-072</t>
  </si>
  <si>
    <t>멀티테넌트</t>
  </si>
  <si>
    <t>테넌트(본사) 구조 정책</t>
  </si>
  <si>
    <t>1개 테넌트 = 1개 헬스장 브랜드(본사). 테넌트 하위에 N개 지점.
본사가 별도 사무실일 수도 있고, 특정 지점이 본사 역할(예: 송파점=본사)일 수도 있음.
테넌트 생성 시 "본사 겸 지점" 여부 선택.
테넌트 간 데이터 완전 격리 (다른 헬스장 데이터 접근 불가).
테넌트별 요금제(basic/standard/premium)에 따라 지점 수 제한.</t>
  </si>
  <si>
    <t>BP-073</t>
  </si>
  <si>
    <t>슈퍼관리자(본사) 계정 정책</t>
  </si>
  <si>
    <t>슈퍼관리자 = 테넌트 소유자. branch_id = NULL (특정 지점에 소속되지 않음).
모든 지점 데이터 조회/수정 가능. 지점 전환 시 해당 지점 컨텍스트로 진입.
슈퍼관리자 전용 메뉴: 통합 대시보드, 지점 간 비교, 지점 생성/비활성화, 글로벌 설정.
슈퍼관리자가 "본사 겸 지점"의 센터장을 겸할 수 있음 (듀얼 역할).
슈퍼관리자 계정은 테넌트당 최대 3개.</t>
  </si>
  <si>
    <t>SCR-094, SCR-002</t>
  </si>
  <si>
    <t>FN-033, FN-002</t>
  </si>
  <si>
    <t>BP-074</t>
  </si>
  <si>
    <t>지점별 계정 권한 정책</t>
  </si>
  <si>
    <t>지점 계정은 반드시 1개 지점에 소속 (branch_id 필수, NOT NULL).
지점 내 역할: 센터장 &gt; 매니저 &gt; FC &gt; 스태프 &gt; 조회전용.
센터장: 해당 지점 전체 관리 (회원/매출/직원/설정). 지점 간 전환 불가.
매니저: 회원/매출/상품 관리. 직원/설정 수정 불가.
FC: 담당 회원 관리, PT 일정, 실적 조회.
스태프: 출석/키오스크 운영.
조회전용: 모든 메뉴 읽기만 가능.
같은 직원이 여러 지점 소속 불가. 지점 이동 시 기존 지점 계정 비활성화 + 새 지점 계정 생성.</t>
  </si>
  <si>
    <t>BP-075</t>
  </si>
  <si>
    <t>슈퍼관리자 지점 전환 UX 정책</t>
  </si>
  <si>
    <t>헤더 드롭다운에 "전체 지점(통합)" + 개별 지점 목록 표시.
"전체 지점" 선택 시: 통합 대시보드 (전 지점 합산 KPI, 지점별 비교 차트).
개별 지점 선택 시: 해당 지점 컨텍스트 진입 (센터장과 동일한 화면, 데이터는 해당 지점만).
전환 시 현재 편집 중 폼이 있으면 "저장되지 않은 변경사항" 경고 모달.
전환 완료 시 브라우저 URL은 유지, 데이터만 리로드.
전환 이력: 로그 테이블에 기록 (who/when/from/to).
localStorage에 lastBranchId 저장 → 재로그인 시 마지막 지점 자동 선택.</t>
  </si>
  <si>
    <t>FN-002, FN-033</t>
  </si>
  <si>
    <t>통합 대시보드 정책 (슈퍼관리자 전용)</t>
  </si>
  <si>
    <t>슈퍼관리자가 "전체 지점" 선택 시 표시되는 통합 뷰.
1) 전체 지점 합산 KPI: 총회원/활성/매출/출석
2) 지점별 비교 차트: 매출 순위, 회원 수 순위, 출석률 순위
3) 지점별 상태 카드: 정상운영/이상감지(매출급감 등)/비활성 표시
4) 지점 간 회원 이동 현황
5) 전체 직원 현황 (지점별 인원, 퇴사 예정)
개별 지점 대시보드와 완전히 다른 레이아웃.</t>
  </si>
  <si>
    <t>지점 생성/비활성화 정책</t>
  </si>
  <si>
    <t>슈퍼관리자만 지점 생성 가능.
생성 시 필수: 지점명, 지점코드(영문2~5자, 고유), 주소, 연락처.
생성 시 선택: "본사 겸 지점" 플래그, 센터장 계정 동시 생성.
비활성화: 슈퍼관리자 + 비밀번호 재확인 + "INACTIVE 입력" 2중 확인.
비활성화 시: 소속 직원 계정 전체 잠금, 데이터 보존, 로그인 차단.
재활성화: 슈퍼관리자가 언제든 가능. 직원 계정은 개별 활성화 필요.
완전 삭제: 불가 (데이터 보존 의무). 데이터 초기화만 가능 (개발/테스트용).</t>
  </si>
  <si>
    <t>BP-078</t>
  </si>
  <si>
    <t>지점별 독립 설정 정책</t>
  </si>
  <si>
    <t>각 지점은 독립적인 settings 레코드 보유.
지점별 설정 항목: 영업시간, 알림설정, 테마, 키오스크 타입, 좌석예약 ON/OFF, 서명필수 ON/OFF.
글로벌 설정 (슈퍼관리자): 요금제, 브랜드 로고, 공통 상품 템플릿.
글로벌 설정은 지점 설정보다 우선하지 않음 (지점 자율).
단, 요금제 변경/브랜드명 변경은 전 지점에 즉시 반영.</t>
  </si>
  <si>
    <t>SCR-090, SCR-094</t>
  </si>
  <si>
    <t>BP-079</t>
  </si>
  <si>
    <t>지점 간 회원 이동 정책 (상세)</t>
  </si>
  <si>
    <t>슈퍼관리자 또는 양쪽 센터장 승인 시 회원 지점 이동 가능.
이동 옵션: A) 이용권 유지 이동, B) 이용권 종료 + 신규 발급.
A 선택 시: 잔여일수/횟수 그대로 이전, 원지점 매출은 유지.
B 선택 시: 원지점 잔여분 환불 처리 → 새지점에서 신규 계약.
이동 전 필수 체크: 미납금 정산, 락커 반납, 진행 중 계약 확인.
이동 이력: 양쪽 지점에 기록, 슈퍼관리자 통합 뷰에서 조회 가능.</t>
  </si>
  <si>
    <t>BP-080</t>
  </si>
  <si>
    <t>로그인 플로우 정책 (상세)</t>
  </si>
  <si>
    <t>1) 이메일 입력 → 해당 테넌트 자동 식별 (이메일 도메인 or DB 조회).
2) 슈퍼관리자: 비밀번호 인증 → "전체 지점" 모드로 진입 (지점 선택 스킵).
3) 지점 직원: 비밀번호 인증 → 소속 지점 자동 진입 (지점 선택 불필요).
4) 복수 지점 소속 불가이므로 지점 선택 드롭다운은 슈퍼관리자 전환용.
5) 최초 로그인 시 비밀번호 변경 강제.
6) 비활성 지점 소속 직원: "지점이 비활성 상태입니다. 관리자에게 문의하세요." 표시.</t>
  </si>
  <si>
    <t>BP-081</t>
  </si>
  <si>
    <t>슈퍼관리자 전용 메뉴 정책</t>
  </si>
  <si>
    <t>슈퍼관리자에게만 표시되는 사이드바 메뉴:
- 통합 대시보드 (전 지점 합산)
- 지점 관리 (생성/수정/비활성화)
- 지점 비교 리포트 (매출/회원/출석 비교)
- 전체 직원 관리 (지점 이동, 역할 변경)
- 글로벌 설정 (요금제, 브랜드)
- 구독/결제 관리
지점 컨텍스트 진입 시에는 센터장과 동일한 메뉴 + "지점 전환" 드롭다운.
일반 직원 계정에서는 위 메뉴 완전히 숨김.</t>
  </si>
  <si>
    <t>FN-033, FN-002, FN-030</t>
  </si>
  <si>
    <t>BP-082</t>
  </si>
  <si>
    <t>API 데이터 격리 상세 정책</t>
  </si>
  <si>
    <t>모든 API 요청에 tenant_id + branch_id 자동 주입.
슈퍼관리자: tenant_id만 필터 (전체 지점 or branch_id 추가 필터).
지점 직원: tenant_id + branch_id 필터 (자기 지점만).
RLS(Row Level Security) 정책: Supabase RLS로 DB 레벨 격리.
API 레벨 이중 체크: 서버에서도 JWT의 branch_id와 요청 대상 데이터의 branch_id 비교.
크로스 지점 접근 시도 시: 403 Forbidden + 보안 로그 기록.
슈퍼관리자의 지점 전환: JWT에 current_branch_id 클레임 추가, 전환 시 토큰 갱신.</t>
  </si>
  <si>
    <t>FN-001, FN-033</t>
  </si>
  <si>
    <t>직원 라이프사이클</t>
  </si>
  <si>
    <t>직원 퇴사 처리 절차</t>
  </si>
  <si>
    <t>퇴사 처리는 반드시 센터장 또는 슈퍼관리자만 실행 가능.
1단계: 퇴사 예정일 설정 (최소 7일 전 등록 권장)
2단계: 담당 업무 인수인계 현황 확인 (미완료 시 경고)
3단계: 퇴사 처리 실행 → 계정 상태 RESIGNED로 변경
4단계: 퇴사일 도래 시 자동 로그인 차단
즉시 퇴사도 가능하나 "즉시 퇴사 시 인수인계 미완료 건이 있습니다" 경고 표시.
퇴사 처리 후 취소: 퇴사일 이전까지만 가능. 퇴사일 경과 후 복직은 별도 프로세스.</t>
  </si>
  <si>
    <t>BP-084</t>
  </si>
  <si>
    <t>FC 퇴사 시 담당회원 재배정</t>
  </si>
  <si>
    <t>FC 퇴사 예정일 설정 시 자동으로 "담당회원 재배정" 워크플로우 시작.
재배정 옵션:
A) 자동 균등 배분: 같은 지점 내 다른 FC에게 회원 수 기준 균등 배분
B) 수동 지정: 센터장/매니저가 회원별로 후임 FC 직접 지정
C) 미배정 풀: 당장 배정 불가 시 "미배정" 상태로 전환 (센터장에게 알림)
재배정 시 회원에게 자동 알림: "담당 트레이너가 [후임FC명]으로 변경되었습니다"
PT 잔여 횟수가 있는 회원: 반드시 수동 지정 (자동 배분 대상 제외)
퇴사 FC의 기존 PT/레슨 기록은 원본 그대로 보존 (수정/삭제 불가)</t>
  </si>
  <si>
    <t>SCR-091, SCR-042</t>
  </si>
  <si>
    <t>FN-039, FN-057</t>
  </si>
  <si>
    <t>BP-085</t>
  </si>
  <si>
    <t>센터장 퇴사/교체 절차</t>
  </si>
  <si>
    <t>센터장은 지점의 최고 권한자이므로 특별 절차 필요.
1) 슈퍼관리자만 센터장 퇴사 처리 가능 (센터장 본인 불가)
2) 퇴사 전 반드시 후임 센터장 지정 필수 (공석 불가)
3) 후임 센터장 지정 시: 기존 매니저/FC 중 선택 → 역할 자동 승격
4) 외부 채용 시: 신규 계정 생성 + 센터장 역할 부여 동시 처리
5) 권한 이전: 퇴사 센터장의 모든 설정 권한이 후임에게 즉시 이전
6) 센터장 교체 이력: audit_log에 기록 + 슈퍼관리자에게 알림
7) 센터장 부재 시 임시 대행: 매니저 중 1인을 "대행" 지정 가능 (권한 동일, 기간 한정)</t>
  </si>
  <si>
    <t>SCR-091, SCR-094</t>
  </si>
  <si>
    <t>퇴사 직원 데이터 보존 정책</t>
  </si>
  <si>
    <t>퇴사 직원의 계정은 절대 삭제하지 않음 (소프트 삭제 = status: RESIGNED).
보존 데이터:
- 기본 정보: 이름, 연락처, 입사일, 퇴사일, 퇴사사유
- 급여 이력: 전체 급여 지급 내역 영구 보존 (세무 5년 의무)
- 매출 기여: 해당 직원이 등록/관리한 매출 레코드의 staff_id 유지
- PT/레슨 기록: 진행한 모든 세션 기록 보존
- 출근 기록: 전체 출퇴근 이력 보존
- 상담 기록: 작성한 모든 상담 노트 보존
개인정보 마스킹: 퇴사 후 3년 경과 시 연락처/주소 자동 마스킹 (이름은 유지)
리포트에서 퇴사 직원 표시: "(퇴사)" 라벨 + 회색 텍스트</t>
  </si>
  <si>
    <t>퇴사 직원 급여/커미션 최종 정산</t>
  </si>
  <si>
    <t>퇴사 처리 시 자동으로 "최종 정산서" 생성.
정산 항목:
1) 미지급 급여: 퇴사일까지 일할 계산
2) 미지급 커미션: 퇴사일 이전 확정된 매출의 커미션
3) 퇴직금: 1년 이상 근무 시 자동 계산 (30일분 평균임금 × 근속연수)
4) 미사용 연차수당: 잔여 연차 × 일급
5) 선지급 정산: 급여 선지급분이 있을 경우 차감
최종 정산 승인: 센터장(지점) 또는 슈퍼관리자(본사) 승인 필요
정산 완료 후 상태: RESIGNED_SETTLED
퇴사 후 발생하는 PT 연기/환불은 퇴사 직원 커미션에서 소급 차감하지 않음 (확정분 보호)</t>
  </si>
  <si>
    <t>SCR-091, SCR-080</t>
  </si>
  <si>
    <t>FN-057, FN-033</t>
  </si>
  <si>
    <t>직원 지점 이동(전보) 정책</t>
  </si>
  <si>
    <t>슈퍼관리자만 직원의 지점 이동 실행 가능.
이동 절차:
1) 이동 대상 직원 선택 + 이동할 지점 + 이동일 + 새 역할 지정
2) 기존 지점 인수인계 확인 (FC: 담당회원 재배정, 센터장: 후임 지정)
3) 이동일 도래 시: 기존 계정 TRANSFERRED → 새 지점에 새 계정 생성
4) 급여 정산: 기존 지점 이동일까지 정산 마감, 새 지점 이동일부터 시작
5) 커미션: 이동 전 매출은 기존 지점에서 정산, 이동 후는 새 지점
주의: 동일 직원이 2개 이상 지점에 동시 소속 불가.
예외: 슈퍼관리자 겸 센터장은 본사 지점에만 소속 (다른 지점은 전환 접근)</t>
  </si>
  <si>
    <t>직원 휴직 처리 정책</t>
  </si>
  <si>
    <t>휴직 사유: 육아, 병가, 개인사유, 학업 등.
휴직 처리:
1) 센터장 또는 슈퍼관리자가 휴직 등록 (시작일, 예정 복직일, 사유)
2) 휴직 시작일: 계정 상태 ON_LEAVE, 로그인 차단
3) FC 휴직 시: 담당회원 임시 재배정 (복직 시 원복 옵션)
4) 급여: 휴직 기간 동안 무급 (유급휴직은 별도 설정)
5) 복직: 예정일에 자동 알림 → 센터장이 복직 처리 → 상태 ACTIVE 복원
6) 휴직 연장: 복직 예정일 전에 연장 신청 가능
7) 휴직 중 퇴사: 휴직 상태에서 바로 퇴사 처리 가능</t>
  </si>
  <si>
    <t>퇴사 직원 재입사 처리</t>
  </si>
  <si>
    <t>퇴사 후 재입사 시:
1) 기존 계정 재활성화가 아닌, 신규 계정 생성 (employee_id 새로 부여)
2) 이전 근무 이력 연결 여부: 센터장이 선택 (연결 시 previous_employee_id 참조)
3) 연결 시: 이전 급여/평가 이력 조회 가능 (수정 불가, 읽기 전용)
4) 미연결 시: 완전 신규 직원으로 취급
5) 퇴직금 산정: 재입사 시점부터 새로 기산 (이전 근속 미포함)
6) 동일 지점 재입사: 이전 담당 회원 자동 복원 옵션 (회원 동의 필요)
7) 다른 지점 재입사: 이전 지점 데이터 접근 불가</t>
  </si>
  <si>
    <t>BP-091</t>
  </si>
  <si>
    <t>직원 역할 변경 정책</t>
  </si>
  <si>
    <t>역할 변경 권한:
- 스태프→FC, FC→매니저: 센터장이 변경 가능
- 매니저→센터장: 슈퍼관리자만 가능
- 센터장→하위역할: 슈퍼관리자만 가능 (후임 센터장 선지정 필수)
역할 변경 시:
1) 즉시 반영: 메뉴/권한이 즉시 변경됨
2) 급여 체계 변경: 새 역할 급여 기준으로 변경일부터 적용
3) FC→매니저 승격 시: 기존 담당 회원 처리 옵션 (유지/재배정/혼합)
4) 매니저→FC 강등 시: 관리 권한 즉시 회수, 회원 배정 필요
5) 역할 변경 이력: audit_log에 기록
6) 동시 다중 역할 불가: 1인 1역할 원칙</t>
  </si>
  <si>
    <t>BP-092</t>
  </si>
  <si>
    <t>퇴사 예정 직원 스케줄 처리</t>
  </si>
  <si>
    <t>퇴사 예정일 설정 시:
1) 퇴사일 이후 예약된 PT/GX 스케줄 자동 탐색
2) 해당 스케줄 목록 표시 + 일괄 처리 옵션:
   A) 후임 FC에게 일괄 이관
   B) 회원에게 알림 후 개별 재예약
   C) 일괄 취소 + 환불/연기 처리
3) GX 정규 수업 담당 시: 후임 강사 지정 필수 (공석 수업 불가)
4) 퇴사일 이전 스케줄은 정상 유지
5) 퇴사 당일: 남은 스케줄 자동 체크 → 미처리 건 센터장에게 알림</t>
  </si>
  <si>
    <t>SCR-042, SCR-091</t>
  </si>
  <si>
    <t>FN-034, FN-057</t>
  </si>
  <si>
    <t>직원 계정 잠금/보안 정책</t>
  </si>
  <si>
    <t>계정 잠금 조건:
1) 비밀번호 5회 연속 실패 → 30분 잠금
2) 10회 연속 실패 → 영구 잠금 (센터장/슈퍼관리자 해제 필요)
3) 90일 이상 미접속 → 휴면 전환 (다음 로그인 시 비밀번호 변경 강제)
4) 퇴사/비활성 지점 소속 → 자동 잠금
잠금 해제 권한:
- 일반 직원: 센터장이 해제
- 센터장: 슈퍼관리자가 해제
- 슈퍼관리자: 다른 슈퍼관리자가 해제 (최소 2인 필요한 이유)
비밀번호 정책: 최소 8자, 영문+숫자+특수문자, 이전 3개 비밀번호 재사용 불가</t>
  </si>
  <si>
    <t>SCR-001, SCR-091</t>
  </si>
  <si>
    <t>직원 매출 기여 추적 정책</t>
  </si>
  <si>
    <t>모든 매출 레코드에 staff_id (판매/등록 직원) 필수 기록.
FC의 경우 추가로 assigned_fc_id (담당 FC) 기록.
매출 기여 산정:
1) 직접 판매: 해당 직원이 POS에서 결제 처리 → staff_id
2) 담당 기여: 담당 FC의 회원이 구매 → assigned_fc_id (판매자와 별도)
3) 팀 기여: GX 수업 등 다수 참여 → 주강사에게 귀속
퇴사 직원의 매출:
- 판매 레코드의 staff_id는 변경 불가 (원본 보존)
- 리포트에서 "(퇴사) 홍길동" 형태로 표시
- 퇴사 직원 매출 필터: 포함/제외 토글
- 환불/취소 발생 시: 퇴사 직원 커미션 소급 조정 안 함 (확정분 보호)</t>
  </si>
  <si>
    <t>SCR-080, SCR-091</t>
  </si>
  <si>
    <t>FN-033, FN-057</t>
  </si>
  <si>
    <t>BP-095</t>
  </si>
  <si>
    <t>직원 접근 권한 매트릭스</t>
  </si>
  <si>
    <t>역할별 CRUD 권한 매트릭스:
| 기능\역할 | 슈퍼관리자 | 센터장 | 매니저 | FC | 스태프 | 조회전용 |
| 회원 관리 | CRUD | CRUD | CRUD | CR(담당만) | R | R |
| 매출/결제 | CRUD | CRUD | CRU | R(본인) | R | R |
| 직원 관리 | CRUD | CRU | R | R(본인) | R(본인) | R(본인) |
| 상품 관리 | CRUD | CRUD | CRU | R | R | R |
| 설정 | CRUD | CRU | R | - | - | - |
| 지점 관리 | CRUD | R(본인) | - | - | - | - |
| 급여 관리 | CRUD | CRU | R(본인) | R(본인) | R(본인) | R(본인) |
| 통합 리포트 | CRUD | - | - | - | - | - |
R=조회, C=생성, U=수정, D=삭제, -=접근불가</t>
  </si>
  <si>
    <t>회원 이관/보존</t>
  </si>
  <si>
    <t>회원 지점 이관 상세 프로세스</t>
  </si>
  <si>
    <t>이관 트리거: 슈퍼관리자 또는 양쪽 센터장 승인
이관 전 필수 체크리스트:
1) 미납금 확인 → 미납 시 정산 완료까지 이관 불가
2) 진행 중 PT 계약 → 잔여 횟수/금액 확인
3) 락커 보유 여부 → 원지점 반납 필수
4) 쿠폰/마일리지 잔액 → 이관 여부 선택
5) 진행 중 홀딩 → 홀딩 종료 후 이관 권장
이관 실행:
- members.branch_id 변경
- member_transfer_log 생성 (from/to/date/reason/approved_by)
- 이관 이전 데이터: 원지점에 읽기전용으로 보존
- 이관 이후 데이터: 새지점에서 생성
- 담당 FC: 새지점에서 재배정 (자동배정 or 수동지정)</t>
  </si>
  <si>
    <t>PT 이용권 이관 정책</t>
  </si>
  <si>
    <t>PT 이관 옵션 (회원 선택):
A) 잔여 횟수 유지 이관:
   - 잔여 횟수 그대로 새 지점으로 이전
   - 단가 차이 발생 시: 새 지점 단가 기준 차액 정산
   - 원지점 매출은 원지점에 유지 (정산 완료분)
   - 새 지점 FC 배정 후 이어서 진행
B) 환불 후 신규 계약:
   - 원지점에서 잔여분 환불 (원지점 매출 차감)
   - 새 지점에서 신규 PT 계약
   - 기존 PT 기록은 원지점에 보존
C) 소진 후 이관:
   - 잔여 횟수 0이 될 때까지 원지점에서 이용
   - 소진 완료 후 자동 이관 실행
이관된 PT의 이전 세션 기록: 새 지점에서도 조회 가능 (읽기 전용)</t>
  </si>
  <si>
    <t>FN-058, FN-039</t>
  </si>
  <si>
    <t>회원 탈퇴 처리 정책</t>
  </si>
  <si>
    <t>탈퇴 유형:
1) 자발적 탈퇴: 회원 요청 → 직원이 처리
2) 장기 미이용 자동 탈퇴: 12개월 미방문 + 잔여 이용권 없음 → 자동 DORMANT
3) 강제 탈퇴: 센터장 권한 (규정 위반 등)
탈퇴 전 필수 처리:
- 잔여 이용권: 환불 처리 or 포기 동의
- 미납금: 정산 완료
- 락커: 반납
- 개인물품: 수거 확인
탈퇴 후 데이터:
- 회원 상태: WITHDRAWN (삭제 아님)
- 기본정보: 6개월간 보존 후 마스킹 (이름 유지, 연락처/주소 마스킹)
- 결제/이용 이력: 5년간 보존 (세무 의무)
- 체성분 기록: 즉시 삭제 가능 (회원 요청 시)
재가입: 마스킹 전이면 기존 데이터 연결 가능, 마스킹 후면 신규 회원</t>
  </si>
  <si>
    <t>다지점 이용 회원 정책</t>
  </si>
  <si>
    <t>동일 테넌트 내 회원이 여러 지점에서 이용하는 경우:
1) 회원은 "주 지점"(home_branch_id)에 소속 (1개만)
2) 다른 지점 이용: "게스트 방문"으로 처리
   - 게스트 방문 시 출석 기록은 방문 지점에 생성
   - 이용권 차감은 주 지점 이용권에서
3) 지점별 별도 이용권 구매 가능 (예: A지점 헬스, B지점 PT)
   - 이 경우 각 지점에서 독립적으로 관리
4) 마일리지/포인트: 테넌트 통합 관리 (지점 무관)
5) 게스트 방문 정책: 테넌트 설정에서 허용/불허 선택
   - 허용 시: 일 방문 횟수 제한 설정 가능
   - 불허 시: 주 지점에서만 이용 가능</t>
  </si>
  <si>
    <t>BP-100</t>
  </si>
  <si>
    <t>회원 개인정보 삭제 요청 처리</t>
  </si>
  <si>
    <t>개인정보보호법 기반 삭제 요청 처리:
1) 회원이 개인정보 삭제 요청 → 센터장에게 알림
2) 삭제 범위 확인:
   - 즉시 삭제 가능: 체성분, 사진, 메모(개인적 내용)
   - 보존 의무: 결제 이력(5년), 계약서(5년), 세금계산서(5년)
   - 마스킹 처리: 이름 → "탈퇴회원#1234", 연락처 → "***-****-****"
3) 삭제 실행 후 복구 불가 경고 + 최종 확인
4) 삭제 로그: audit_log에 기록 (누가, 언제, 무엇을 삭제했는지)
5) 관련 직원 데이터: 상담기록의 회원명 마스킹, 매출기록의 회원ID는 유지(정산 목적)
6) 제3자 제공 데이터: 보험사 등에 제공된 데이터는 별도 회수 불가 안내</t>
  </si>
  <si>
    <t>회원 재가입 처리 정책</t>
  </si>
  <si>
    <t>재가입 시나리오별 처리:
1) 탈퇴 후 6개월 이내 재가입:
   - 기존 데이터 연결 여부 회원이 선택
   - 연결 시: 기존 이용 이력/체성분 기록 복원
   - 미연결 시: 완전 신규 회원으로 생성
2) 탈퇴 후 6개월 이상 재가입:
   - 개인정보 마스킹 완료 상태 → 신규 회원으로만 생성
   - 동일 연락처로 조회 시 "이전 회원 이력이 있으나 마스킹됨" 안내
3) 다른 지점 재가입:
   - 원지점 탈퇴 이력 조회 가능 (슈퍼관리자/센터장)
   - 이전 지점 미납금이 있으면 재가입 불가 (정산 필요)
4) 재가입 시 가입비/등록비: 센터장 재량으로 면제 가능</t>
  </si>
  <si>
    <t>SCR-094, SCR-070</t>
  </si>
  <si>
    <t>BP-102</t>
  </si>
  <si>
    <t>지점 폐점 시 회원 처리</t>
  </si>
  <si>
    <t>지점 비활성화/폐점 시 회원 일괄 처리:
1) 폐점 공지: 최소 30일 전 회원 전체 알림 발송
2) 회원 처리 옵션 (회원별 선택):
   A) 다른 지점 이관: 회원이 원하는 지점 선택 → 이관 프로세스
   B) 잔여 이용권 환불: 잔여일수/횟수 기준 환불
   C) 자연 소멸: 잔여 기간까지만 타지점 게스트 이용
3) 일괄 처리 대시보드: 센터장/슈퍼관리자가 회원별 상태 추적
   - 미처리/이관완료/환불완료/연락불가 상태 관리
4) 연락 불가 회원: 3회 이상 연락 시도 후 → 잔여분 예치금 전환
5) 폐점일까지 미처리 회원: 자동으로 잔여분 환불 처리 (예치금)</t>
  </si>
  <si>
    <t>FN-058, FN-055</t>
  </si>
  <si>
    <t>BP-103</t>
  </si>
  <si>
    <t>쿠폰/마일리지 이관 정책</t>
  </si>
  <si>
    <t>지점 간 이관 시:
1) 쿠폰:
   - 지점 한정 쿠폰: 이관 불가 (원지점에서 사용 or 소멸)
   - 테넌트 공통 쿠폰: 자동 이관
   - 이관 시 쿠폰 유효기간은 유지 (연장 없음)
2) 마일리지/포인트:
   - 테넌트 통합 관리: 지점 이관과 무관하게 유지
   - 지점별 포인트: 이관 불가 (원지점에서 사용 or 소멸 선택)
3) 잔여 무료 이용권(체험권 등): 이관 불가
4) 락커 보증금: 원지점 반환 → 새 지점에서 신규 배정
탈퇴 시:
- 마일리지/포인트: 즉시 소멸 (환불 불가)
- 미사용 쿠폰: 즉시 소멸
- 락커 보증금: 반환</t>
  </si>
  <si>
    <t>BP-104</t>
  </si>
  <si>
    <t>회원 계약/전자서명 이관 정책</t>
  </si>
  <si>
    <t>이관 시 계약 처리:
1) 진행 중 계약: 원지점 계약 종료 처리 → 새 지점에서 신규 계약
   - 단, "이용권 유지 이관" 선택 시: 원계약 이관 보충 조항 추가
2) 전자서명 원본: 원지점에 영구 보존 (법적 효력 유지)
3) 새 지점에서 필요한 서류:
   - 이관 동의서 (전자서명)
   - 새 지점 이용 약관 동의
   - 가격 차이 정산 동의서 (해당 시)
4) 계약서 열람: 원지점 계약은 새 지점에서도 열람 가능 (수정 불가)
폐점 시:
- 모든 계약서 원본: 슈퍼관리자 계정으로 이관 (영구 보존)
- 폐점 지점의 전자서명 인증서: 아카이브 처리</t>
  </si>
  <si>
    <t>SCR-094, SCR-078</t>
  </si>
  <si>
    <t>BP-105</t>
  </si>
  <si>
    <t>회원 락커 이관/폐점 처리</t>
  </si>
  <si>
    <t>이관 시 락커:
1) 원지점 락커 반납 필수 (개인물품 수거 확인)
2) 보증금: 원지점에서 반환
3) 새 지점 락커: 신규 배정 (빈 락커 있을 경우)
   - 빈 락커 없을 경우: 대기 명단 등록 + 알림
4) 락커 이용료 차이: 새 지점 기준 적용
폐점 시 락커:
1) 폐점 공지 시: 전체 락커 이용자에게 반납 안내
2) 폐점 D-7: 미반납 락커 목록 → 개별 연락
3) 폐점일: 미수거 물품 → 보관 (30일) → 폐기 안내
4) 보증금: 전액 반환 (계좌 이체)
퇴사 직원 담당 락커:
- 락커 관리 담당 변경 → 센터장 또는 후임자</t>
  </si>
  <si>
    <t>SCR-094, SCR-052</t>
  </si>
  <si>
    <t>FN-058, FN-029</t>
  </si>
  <si>
    <t>지점 라이프사이클</t>
  </si>
  <si>
    <t>지점 폐점 전체 프로세스</t>
  </si>
  <si>
    <t>폐점은 슈퍼관리자만 실행 가능. 최소 60일 프로세스:
D-60: 폐점 결정 → 지점 상태 CLOSING으로 변경
  - 신규 회원가입/계약 차단, 기존 회원 안내 시작
D-30: 회원 개별 상담 시작 (이관/환불/자연소멸 선택)
  - 직원 퇴사/전보 계획 수립
D-14: 최종 회원 처리 현황 점검
  - 미처리 회원 개별 연락 집중
D-7: 락커 전체 반납 마감, 시설 정리
  - 미수거 물품 보관 시작
D-Day: 지점 상태 INACTIVE, 전직원 계정 잠금
  - 최종 정산서 생성 (매출/환불/급여/퇴직금)
D+30: 미수거 물품 폐기 안내
D+90: 개인정보 마스킹 시작
데이터: 영구 보존 (조회만 가능, 수정 불가)</t>
  </si>
  <si>
    <t>BP-107</t>
  </si>
  <si>
    <t>지점 폐점 시 직원 처리</t>
  </si>
  <si>
    <t>폐점 지점 직원 처리 옵션:
1) 다른 지점 전보: 슈퍼관리자가 배치
   - 이동 가능 지점 목록 + 정원 현황 제공
   - 직원 희망 지점 신청 기능
   - 급여/역할: 이동 지점 기준으로 재협의
2) 퇴사 처리: 퇴직금 + 최종 정산
3) 대기 발령: 일시적으로 본사 소속 (슈퍼관리자 관리)
   - 대기 기간 중 급여: 테넌트 정책에 따름
   - 대기 기간 상한: 테넌트 설정 (기본 30일)
일괄 처리 대시보드:
- 직원별 상태: 전보확정/퇴사확정/대기/미정
- 미정 직원 D-14까지 처리 필수 (미처리 시 알림)</t>
  </si>
  <si>
    <t>SCR-094, SCR-091</t>
  </si>
  <si>
    <t>FN-055, FN-057</t>
  </si>
  <si>
    <t>지점 합병 정책</t>
  </si>
  <si>
    <t>2개 이상 지점을 1개로 합병하는 프로세스:
1) 합병 유형:
   A) 흡수 합병: 지점A에 지점B 흡수 (A 존속, B 폐점)
   B) 신설 합병: A,B 폐점 → 새 지점C 생성
2) 회원 합병:
   - 중복 회원 확인 (동일 연락처/이름)
   - 중복 시: 이용권 통합 (잔여 합산) or 개별 유지
   - 이용권 통합 시: 높은 단가 기준 적용
3) 직원 합병:
   - 역할 충돌 해결: 센터장 2명 → 1명 센터장 + 1명 매니저
   - 정원 초과 시: 일부 직원 전보/퇴사 결정
4) 데이터 합병:
   - 매출/계약 이력: 원래 지점 태그 유지
   - 리포트에서 "합병 전/후" 필터 제공
5) 합병 이력: audit_log에 상세 기록</t>
  </si>
  <si>
    <t>신규 지점 오픈 초기화 정책</t>
  </si>
  <si>
    <t>슈퍼관리자가 신규 지점 생성 시 자동 초기화:
1) 필수 설정:
   - 지점명, 지점코드, 주소, 연락처, 영업시간
   - 센터장 계정 생성 (이메일 + 초기 비밀번호)
2) 선택 설정:
   - 본사 상품 템플릿 복사 (가격은 지점별 수정)
   - 기본 설정 복사 (기존 지점에서)
   - 락커 구조 설정 (구역/번호)
   - GX 프로그램 복사
3) 자동 생성:
   - 기본 역할 권한 세팅
   - 기본 알림 설정
   - 기본 쿠폰/이벤트 없음 (센터장이 생성)
4) 오픈 준비 체크리스트:
   ☐ 센터장 지정 ☐ 상품 등록 ☐ 영업시간 설정
   ☐ 직원 등록 ☐ 키오스크 설정 ☐ 테스트 결제</t>
  </si>
  <si>
    <t>지점 일시 휴업 정책</t>
  </si>
  <si>
    <t>시설 공사, 재난 등으로 일시 휴업:
1) 슈퍼관리자/센터장이 휴업 설정 (시작일, 예정 재개일, 사유)
2) 휴업 시 자동 처리:
   - 전 회원 이용권 자동 홀딩 (holding_reason: BRANCH_CLOSED)
   - 신규 예약/결제 차단
   - 회원/직원 전체 알림 발송
   - 키오스크 "휴업 중" 화면 전환
3) 직원 계정: 활성 유지 (관리 업무 가능)
4) 재개 시:
   - 전 회원 홀딩 자동 해제
   - 홀딩 기간만큼 이용권 자동 연장
   - 재개 알림 발송
5) 휴업 중 매출: 온라인 결제만 허용 여부 설정 가능</t>
  </si>
  <si>
    <t>SCR-094, SCR-090</t>
  </si>
  <si>
    <t>BP-111</t>
  </si>
  <si>
    <t>본사 지점 변경 정책</t>
  </si>
  <si>
    <t>본사(HQ) 역할을 다른 지점으로 이전:
1) 슈퍼관리자만 실행 가능 + 비밀번호 재확인
2) 변경 시:
   - 기존 본사: is_hq = false
   - 새 본사: is_hq = true
3) 영향 범위:
   - 본사 겸 센터장인 슈퍼관리자의 소속 지점 변경
   - 세금계산서 발행 주체 변경 (본사 명의)
   - 글로벌 설정 관리 지점 변경
4) 주의사항:
   - 본사 변경은 사업적 의미이므로 법적 확인 안내
   - 변경 이력: audit_log에 기록
   - 변경 후 취소: 동일 프로세스로 재변경</t>
  </si>
  <si>
    <t>지점 정원/리소스 관리 정책</t>
  </si>
  <si>
    <t>지점별 리소스 제한:
1) 최대 회원 수: branches.max_members (NULL이면 무제한)
   - 80% 도달 시: 센터장에게 경고 알림
   - 100% 도달 시: 신규 가입 차단 + 슈퍼관리자 알림
2) 최대 직원 수: branches.max_staff (요금제 기반)
3) 최대 락커 수: branches.max_lockers
4) 최대 GX 동시 수업 수: 시설 규모 기반
5) 요금제별 제한:
   - Basic: 회원 500명, 직원 10명, 지점 1개
   - Standard: 회원 2000명, 직원 30명, 지점 3개
   - Premium: 무제한
6) 제한 초과 시: 업그레이드 안내 팝업</t>
  </si>
  <si>
    <t>BP-113</t>
  </si>
  <si>
    <t>슈퍼관리자 관리</t>
  </si>
  <si>
    <t>슈퍼관리자 지정/해제 정책</t>
  </si>
  <si>
    <t>슈퍼관리자 관리 규칙:
1) 테넌트 최초 생성 시: 가입자가 자동으로 1호 슈퍼관리자
2) 추가 지정: 기존 슈퍼관리자가 다른 직원을 슈퍼관리자로 승격
   - 승격 대상: 센터장급 이상 권장 (제한은 아님)
   - 승격 시: 기존 지점 소속 해제, branch_id = NULL
3) 해제: 슈퍼관리자 → 일반 직원으로 강등
   - 해제 시: 반드시 소속 지점 + 역할 지정 필수
   - 마지막 1명은 해제 불가 (최소 1인 필수)
4) 최대 수: 테넌트당 3명 (보안 + 관리 효율)
5) 슈퍼관리자 간 권한 동등 (계층 없음)
6) 테넌트 소유자(owner): 슈퍼관리자 중 1명, 구독/결제 권한 보유</t>
  </si>
  <si>
    <t>BP-114</t>
  </si>
  <si>
    <t>슈퍼관리자 퇴사/교체 절차</t>
  </si>
  <si>
    <t>슈퍼관리자 퇴사 시 특별 절차:
1) 슈퍼관리자가 1명뿐인 경우:
   - 퇴사 처리 전 반드시 후임 슈퍼관리자 지정 필수
   - 미지정 시 퇴사 처리 버튼 비활성화
2) 테넌트 소유자(owner)가 퇴사하는 경우:
   - 소유권 이전 필수 (다른 슈퍼관리자에게)
   - 소유권 이전 = 구독/결제 수단 관리 권한 이전
   - 결제 수단 재등록 필요 시 안내
3) 퇴사 처리 후:
   - 슈퍼관리자 권한 즉시 회수
   - 해당 계정의 전체 활동 로그 아카이브
   - 다른 슈퍼관리자에게 알림
4) 비상 상황: 모든 슈퍼관리자 동시 잠금 시 → 플랫폼 운영팀 개입</t>
  </si>
  <si>
    <t>BP-115</t>
  </si>
  <si>
    <t>테넌트 소유권 이전 정책</t>
  </si>
  <si>
    <t>사업 양도/인수 시 테넌트 소유권 이전:
1) 현 소유자가 이전 요청 (플랫폼 내 기능)
2) 이전 대상: 기존 슈퍼관리자 or 새로운 사용자
3) 이전 절차:
   A) 이전 요청서 작성 (현 소유자)
   B) 새 소유자 이메일 인증 + 신원 확인
   C) 결제 수단 변경 (새 소유자 카드/계좌)
   D) 현 소유자 이중 인증 (비밀번호 + SMS)
   E) 이전 완료 → 현 소유자는 일반 슈퍼관리자 or 퇴사 처리
4) 이전 후:
   - 모든 데이터 그대로 유지
   - 기존 직원 계정 그대로 유지
   - 감사 로그에 소유권 이전 기록
5) 이전 취소: 72시간 이내 가능 (이후 불가)</t>
  </si>
  <si>
    <t>BP-116</t>
  </si>
  <si>
    <t>슈퍼관리자 활동 감사 정책</t>
  </si>
  <si>
    <t>슈퍼관리자는 전 지점에 접근 가능하므로 강화된 감사 필요:
기록 대상 (audit_log 자동 기록):
1) 지점 전환: 시간, from_branch, to_branch
2) 데이터 조회: 민감 데이터 조회 시 (급여, 개인정보)
3) 데이터 수정: 모든 CUD 작업 (변경 전/후 값)
4) 계정 관리: 직원 생성/삭제/역할변경
5) 지점 관리: 생성/비활성화/설정변경
6) 설정 변경: 글로벌 설정, 요금제 변경
7) 내보내기: 데이터 엑셀 내보내기 실행 시
감사 로그 접근:
- 슈퍼관리자 전용 메뉴에서 조회
- 본인 활동도 조회 가능 (투명성)
- 로그 삭제/수정 불가 (불변)
- 보존 기간: 영구</t>
  </si>
  <si>
    <t>BP-117</t>
  </si>
  <si>
    <t>슈퍼관리자 비상 복구 절차</t>
  </si>
  <si>
    <t>모든 슈퍼관리자가 접근 불가한 비상 상황:
시나리오:
A) 전원 비밀번호 분실: 이메일 기반 비밀번호 재설정
B) 전원 계정 잠금: 플랫폼 운영팀에 잠금 해제 요청
   - 본인 인증: 사업자등록증 + 대표자 신분증 제출
   - 운영팀 확인 후 임시 비밀번호 발급 (24시간 이내)
C) 전원 퇴사/연락두절:
   - 테넌트 소유자의 비상 연락처로 연락
   - 사업자등록증 기반 대표자 확인 → 새 소유자 계정 생성
D) 해킹/침해 의심:
   - 즉시 테넌트 전체 잠금 (운영팀)
   - 모든 세션 강제 종료
   - 비밀번호 전체 초기화
   - 침해 범위 조사 후 복구</t>
  </si>
  <si>
    <t>BP-118</t>
  </si>
  <si>
    <t>슈퍼관리자 겸직(듀얼롤) 정책</t>
  </si>
  <si>
    <t>슈퍼관리자가 특정 지점의 센터장을 겸하는 경우:
1) 설정: 슈퍼관리자 프로필에서 "본사 겸 지점" 선택 시 자동
2) 동작 방식:
   - "전체 지점" 모드: 슈퍼관리자 메뉴 표시
   - "소속 지점" 모드: 센터장 메뉴 표시 (+ 지점 전환 드롭다운)
   - 다른 지점 전환 시: 해당 지점 센터장 권한 (수정 가능)
3) 주의사항:
   - 겸직 지점의 급여: 센터장 급여로 해당 지점에서 지급
   - 슈퍼관리자 업무: 별도 급여 없음 (본사 관리는 소유자 역할)
4) 센터장 겸직 해제:
   - 해당 지점에 새 센터장 지정 → 자동 해제
   - 해제 후 순수 슈퍼관리자로 전환</t>
  </si>
  <si>
    <t>지점 간 통합 리포트 정책</t>
  </si>
  <si>
    <t>슈퍼관리자 전용 통합 리포트:
1) 매출 리포트:
   - 전 지점 합산 매출 (일/주/월/년)
   - 지점별 매출 순위 + 전월 대비 증감
   - 상품 카테고리별 매출 (지점별 비교)
   - 환불율 비교
2) 회원 리포트:
   - 전 지점 합산 회원 수 (활성/만료/탈퇴)
   - 지점별 신규가입/탈퇴 추이
   - 지점 간 이관 현황
   - 재등록율 비교
3) 직원 리포트:
   - 전 지점 직원 현황 (재직/휴직/퇴사예정)
   - 지점별 FC 1인당 회원 수
   - 급여 총액 비교
4) 출석 리포트:
   - 지점별 일평균 출석
   - 피크타임 비교
5) 내보내기: 통합 리포트 엑셀 다운로드</t>
  </si>
  <si>
    <t>SCR-094, SCR-080</t>
  </si>
  <si>
    <t>FN-054, FN-056</t>
  </si>
  <si>
    <t>지점 간 상품/프로모션 관리 정책</t>
  </si>
  <si>
    <t>슈퍼관리자의 상품 관리 범위:
1) 글로벌 상품 템플릿:
   - 슈퍼관리자가 "공통 상품"을 생성 → 전 지점에 배포
   - 지점에서 가격만 수정 가능 (상품명/설명은 글로벌)
   - 글로벌 상품 수정 시: 전 지점에 즉시 반영 여부 선택
2) 지점 전용 상품:
   - 센터장이 자유롭게 생성 (해당 지점에서만 판매)
   - 슈퍼관리자도 조회/수정 가능
3) 글로벌 프로모션:
   - 슈퍼관리자가 전 지점 적용 프로모션 생성
   - 지점에서 옵트아웃 불가 (강제 적용)
4) 지점 프로모션:
   - 센터장이 해당 지점 한정 프로모션 생성
   - 슈퍼관리자 승인 필요 여부: 테넌트 설정</t>
  </si>
  <si>
    <t>SCR-094, SCR-072</t>
  </si>
  <si>
    <t>FN-055, FN-022</t>
  </si>
  <si>
    <t>BP-121</t>
  </si>
  <si>
    <t>데이터 보존/보안</t>
  </si>
  <si>
    <t>시스템 전체 삭제 정책 (하드 삭제 금지):
소프트 삭제 대상 및 상태값:
- 회원: ACTIVE → EXPIRED/DORMANT/WITHDRAWN
- 직원: ACTIVE → RESIGNED/TRANSFERRED/ON_LEAVE
- 지점: ACTIVE → INACTIVE/CLOSING
- 상품: ACTIVE → DISCONTINUED
- 계약: ACTIVE → COMPLETED/CANCELLED/TRANSFERRED
- 이용권: ACTIVE → EXPIRED/REFUNDED/TRANSFERRED
소프트 삭제된 레코드:
1) 목록에서 기본 숨김 (필터로 "전체" 선택 시 표시)
2) 상세 페이지: 읽기 전용, 상태 라벨 표시
3) 리포트: 기간 내 활성 데이터만 집계 (삭제 데이터 제외)
4) API: 기본 active만 반환, include_deleted 파라미터로 확장
하드 삭제 가능 대상 (유일한 예외):
- 테스트 데이터 (is_test=true인 레코드)
- 개인정보 삭제 요청 시 민감 필드만</t>
  </si>
  <si>
    <t>개인정보 자동 마스킹 정책</t>
  </si>
  <si>
    <t>법적 보존 기간 경과 후 자동 마스킹:
대상별 마스킹 시점:
1) 탈퇴 회원: 탈퇴 후 6개월
2) 퇴사 직원: 퇴사 후 3년
3) 만료 후 미방문 회원: 마지막 방문 후 24개월
마스킹 필드:
- 연락처: 010-****-1234 (뒤 4자리만 유지)
- 이메일: h***@gmail.com (첫글자 + 도메인만)
- 주소: 완전 삭제
- 생년월일: 연도만 유지 (1990-**-**)
보존 필드 (마스킹 안 함):
- 이름: 유지 (리포트 식별용)
- 회원번호/직원번호: 유지 (시스템 참조용)
- 결제 이력: 5년 보존 (세법)
- 계약서: 5년 보존
자동 마스킹 배치: 매일 새벽 3시 실행
마스킹 전 백업: 암호화된 아카이브 (복구 불가, 법적 요청 시만)</t>
  </si>
  <si>
    <t>BP-123</t>
  </si>
  <si>
    <t>감사 로그 상세 정책</t>
  </si>
  <si>
    <t>audit_log 테이블 기록 범위:
1) 필수 기록 대상:
   - 로그인/로그아웃 (성공+실패)
   - 회원 생성/수정/탈퇴
   - 결제/환불
   - 직원 생성/역할변경/퇴사
   - 지점 전환 (슈퍼관리자)
   - 설정 변경
   - 데이터 내보내기
   - 권한 변경
2) 기록 형식:
   {action, target_type, target_id, before_value, after_value,
    user_id, branch_id, ip_address, user_agent, created_at}
3) 조회 권한:
   - 슈퍼관리자: 전체 테넌트 감사 로그
   - 센터장: 해당 지점 감사 로그
   - 기타: 본인 활동 로그만
4) 보존: 영구 (삭제/수정 불가, append-only)
5) 검색: 기간/사용자/액션타입/대상 필터</t>
  </si>
  <si>
    <t>BP-124</t>
  </si>
  <si>
    <t>RLS(Row Level Security) 정책</t>
  </si>
  <si>
    <t>Supabase RLS로 DB 레벨 데이터 격리:
1) 테넌트 격리:
   - 모든 테이블에 tenant_id 컬럼
   - RLS: auth.jwt() -&gt;&gt; tenant_id = row.tenant_id
   - 테넌트 간 데이터 접근 완전 차단
2) 지점 격리:
   - branch_id가 있는 테이블: JWT의 branch_id 또는 is_super_admin 체크
   - 슈퍼관리자: 같은 테넌트 내 모든 지점 접근
   - 일반 직원: 본인 branch_id만 접근
3) 역할 기반 접근:
   - SELECT: 모든 역할 (조회전용 포함)
   - INSERT/UPDATE: 역할별 차등 (BP-095 매트릭스 참조)
   - DELETE: 소프트삭제만 허용, 실제 DELETE 금지
4) 예외:
   - 서비스 계정(service_role): RLS 우회 (백엔드 배치 작업용)
   - 마이그레이션: RLS 임시 비활성화 후 재활성화</t>
  </si>
  <si>
    <t>BP-125</t>
  </si>
  <si>
    <t>데이터 백업/복구 정책</t>
  </si>
  <si>
    <t>데이터 보호 전략:
1) 자동 백업:
   - Supabase 일일 자동 백업 (Point-in-Time Recovery)
   - 보존 기간: 요금제별 (Basic 7일, Standard 30일, Premium 90일)
2) 수동 백업:
   - 슈퍼관리자: "데이터 내보내기" → 전체 데이터 JSON/CSV
   - 월 1회 자동 내보내기 이메일 (설정 시)
3) 복구 시나리오:
   A) 실수로 데이터 삭제: 소프트삭제이므로 상태 복원으로 해결
   B) 대량 데이터 오류: PITR로 특정 시점 복구 (운영팀 요청)
   C) 지점 데이터만 복구: 불가 (전체 복구만 가능 → 지점 데이터 추출)
4) 재해 복구:
   - RPO(복구 목표 시점): 24시간
   - RTO(복구 목표 시간): 4시간
5) 테스트: 분기 1회 복구 테스트 실시</t>
  </si>
  <si>
    <t>BP-126</t>
  </si>
  <si>
    <t>세션/동시접속 관리 정책</t>
  </si>
  <si>
    <t>보안 강화를 위한 세션 관리:
1) 동시 접속 제한:
   - 일반 직원: 1 디바이스 (새 로그인 시 기존 세션 강제 종료)
   - 센터장: 2 디바이스 (PC + 모바일)
   - 슈퍼관리자: 3 디바이스
2) 세션 타임아웃:
   - 활동 중: 무제한
   - 비활동: 30분 후 경고 → 35분 후 자동 로그아웃
   - "로그인 유지" 체크 시: 7일 (Refresh Token)
3) 세션 강제 종료:
   - 센터장: 해당 지점 직원 세션 강제 종료 가능
   - 슈퍼관리자: 전 직원 세션 강제 종료 가능
4) IP 기반 접근 제한:
   - 지점별 허용 IP 대역 설정 (선택)
   - 허용 IP 외 접근 시: 이중 인증 요구</t>
  </si>
  <si>
    <t>BP-127</t>
  </si>
  <si>
    <t>퇴사/탈퇴 연쇄 데이터 무결성 정책</t>
  </si>
  <si>
    <t>엔티티 삭제/비활성화 시 연관 데이터 처리 매트릭스:
직원 퇴사 시:
- sales.staff_id → 유지 (FK 연결, 표시 시 "(퇴사)" 라벨)
- contracts.staff_id → 유지
- attendance.trainer_id → 유지
- members.assigned_fc_id → NULL 또는 후임FC로 변경
- schedules(퇴사일 이후) → 삭제 or 이관
- payroll → 최종 정산 레코드 생성
회원 탈퇴 시:
- sales.member_id → 유지 (매출 보존)
- contracts → 상태 CANCELLED
- attendance → 유지 (통계용)
- lockers → 자동 반납 (status: AVAILABLE)
- coupons → 소멸
- mileage → 소멸 (잔액 0 처리)
- body_compositions → 회원 요청 시 삭제 가능
지점 비활성화 시:
- 소속 직원 → 계정 잠금 (데이터 보존)
- 소속 회원 → 이관 or 환불 처리
- 매출/계약 → 읽기 전용 보존
- 상품 → DISCONTINUED
- 설정 → 보존 (재활성화 시 복원)</t>
  </si>
  <si>
    <t>FN-057, FN-058</t>
  </si>
  <si>
    <t>BP-128</t>
  </si>
  <si>
    <t>정산/재무</t>
  </si>
  <si>
    <t>지점 간 매출 정산 정책</t>
  </si>
  <si>
    <t>회원 이관/게스트 방문 시 매출 귀속:
1) 원칙: 매출은 결제가 발생한 지점에 귀속
2) 회원 이관 시:
   - 이관 전 매출: 원지점에 유지
   - 이관 후 매출: 새 지점에 귀속
   - 이관 시 환불: 원지점 매출에서 차감
3) 게스트 방문 시:
   - 이용권 차감: 주 지점 이용권에서 차감
   - 매출 귀속: 주 지점 (이용권 구매 지점)
   - 추가 구매 시: 방문 지점에 귀속
4) 글로벌 프로모션 매출:
   - 결제 지점에 귀속 (본사가 아닌)
   - 할인분: 본사 부담 or 지점 부담 (프로모션 설정에 따름)
5) 통합 리포트에서 지점 간 정산 내역 조회 가능</t>
  </si>
  <si>
    <t>SCR-080, SCR-094</t>
  </si>
  <si>
    <t>FN-033, FN-056</t>
  </si>
  <si>
    <t>BP-129</t>
  </si>
  <si>
    <t>환불/취소 크로스지점 처리</t>
  </si>
  <si>
    <t>이관 후 환불이 발생하는 복잡한 시나리오:
1) 원지점에서 구매 → 이관 → 새지점에서 환불 요청:
   - 환불 처리: 새 지점 센터장이 실행
   - 매출 차감: 원지점 매출에서 차감 (구매 지점 기준)
   - 커미션 조정: 원지점 판매 직원 커미션에서 차감
     (단, 퇴사 직원 커미션은 소급 조정 안 함)
2) 부분 환불:
   - 잔여 횟수 기준 일할 계산
   - 이관 전후 사용 횟수 각각 계산
3) 환불 승인 권한:
   - 10만원 이하: 매니저 이상
   - 10만원 초과: 센터장 이상
   - 100만원 초과: 슈퍼관리자 승인 필수
4) 환불 로그: audit_log에 상세 기록 (금액/사유/승인자)</t>
  </si>
  <si>
    <t>FN-033, FN-058</t>
  </si>
  <si>
    <t>BP-130</t>
  </si>
  <si>
    <t>지점별 독립 급여 정책</t>
  </si>
  <si>
    <t>각 지점은 독립적인 급여 체계:
1) 급여 설정:
   - 지점별 기본급, 인센티브 구조, 커미션율 독립 설정
   - 센터장이 해당 지점 급여 설정 관리
   - 슈퍼관리자: 전 지점 급여 조회 (수정은 센터장 권한)
2) 급여 지급:
   - 지점별 독립 정산 (지점 매출에서 지급)
   - 정산 기준일: 지점별 설정 가능 (매월 1일/10일/25일 등)
3) 직원 지점 이동 시:
   - 이동 전 지점: 이동일까지 일할 정산
   - 이동 후 지점: 이동일부터 새 급여 기준 적용
   - 이동 월 급여: 양쪽 지점에서 각각 지급
4) 통합 급여 리포트:
   - 슈퍼관리자: 전 지점 급여 총액, 인건비율 비교
   - 센터장: 해당 지점만</t>
  </si>
  <si>
    <t>구독/요금제 정책</t>
  </si>
  <si>
    <t>테넌트 단위 SaaS 구독:
1) 요금제:
   - Basic: 월 5만원, 지점 1개, 회원 500명, 직원 10명
   - Standard: 월 15만원, 지점 3개, 회원 2000명, 직원 30명
   - Premium: 월 30만원, 무제한
   - 추가 지점: 월 3만원/지점 (Standard 이상)
2) 결제:
   - 테넌트 소유자만 결제 수단 관리
   - 자동 결제 (카드) or 계좌이체 (수동)
   - 미결제 시: D+3 알림 → D+7 기능 제한 → D+14 읽기전용 → D+30 접근 차단
3) 업/다운그레이드:
   - 업그레이드: 즉시 적용, 차액 일할 계산
   - 다운그레이드: 다음 결제일부터 적용
   - 다운그레이드 시 제한 초과 체크 (지점 수, 회원 수)
4) 해지: 데이터 90일 보존 후 완전 삭제 안내</t>
  </si>
  <si>
    <t>세금계산서/영수증 정책</t>
  </si>
  <si>
    <t>다지점 운영 시 세금 처리:
1) 세금계산서 발행 주체:
   - 본사 명의 일괄 발행 (기본)
   - 지점별 개별 발행 (사업자등록 별도 시)
   - 테넌트 설정에서 선택
2) 영수증:
   - 결제 발생 지점 명의로 자동 발행
   - 현금영수증: 결제 시 자동 (회원 연락처 기반)
3) 환불 시:
   - 마이너스 세금계산서/영수증 자동 발행
   - 크로스지점 환불: 원 결제 지점 명의
4) 리포트:
   - 월별 세금계산서 발행 내역
   - 부가세 신고 자료 (지점별/통합)
   - 엑셀 내보내기</t>
  </si>
  <si>
    <t>BP-133</t>
  </si>
  <si>
    <t>미납금/연체 크로스지점 처리</t>
  </si>
  <si>
    <t>회원의 미납금이 있는 상태에서 발생하는 시나리오:
1) 미납 회원 이관 요청:
   - 미납금 정산 완료 전까지 이관 차단
   - 예외: 슈퍼관리자 승인 시 미납금 이관 가능
     (미납금이 새 지점으로 이전, 원지점 매출에서 차감)
2) 미납 회원 재가입:
   - 동일 지점: 미납금 정산 필수
   - 다른 지점: 미납 이력 조회 가능, 가입은 센터장 재량
3) 미납 직원(급여 선지급분):
   - 퇴사 시: 최종 정산에서 차감
   - 지점 이동 시: 기존 지점에서 정산 후 이동
4) 폐점 시 미납금:
   - 본사(테넌트)에서 일괄 관리
   - 슈퍼관리자 대시보드에 미납 현황 표시</t>
  </si>
  <si>
    <t>POL-080</t>
  </si>
  <si>
    <t>RFID 1인 1카드 정책</t>
  </si>
  <si>
    <t>1명의 회원/직원에 1장의 활성 RFID 카드만 매핑 가능. 기존 카드 해제 후 재발급</t>
  </si>
  <si>
    <t>POL-081</t>
  </si>
  <si>
    <t>RFID 분실 처리</t>
  </si>
  <si>
    <t>분실 신고 시 즉시 비활성화. 신규 카드 재발급 필요</t>
  </si>
  <si>
    <t>POL-082</t>
  </si>
  <si>
    <t>IoT 기기 오프라인 알림</t>
  </si>
  <si>
    <t>마지막 통신 후 10분 경과 시 오프라인 상태로 전환. 관리자 알림 발송</t>
  </si>
  <si>
    <t>기획중</t>
  </si>
  <si>
    <t>POL-083</t>
  </si>
  <si>
    <t>출입 규칙 기본 정책</t>
  </si>
  <si>
    <t>영업시간 내 활성 회원만 출입 허용. 만료/정지 회원은 출입 차단</t>
  </si>
  <si>
    <t>흐름 ID</t>
  </si>
  <si>
    <t>출발 화면</t>
  </si>
  <si>
    <t>트리거 요소</t>
  </si>
  <si>
    <t>트리거 액션</t>
  </si>
  <si>
    <t>도착 화면</t>
  </si>
  <si>
    <t>전환 방식</t>
  </si>
  <si>
    <t>전달 데이터</t>
  </si>
  <si>
    <t>뒤로가기 동작</t>
  </si>
  <si>
    <t>조건</t>
  </si>
  <si>
    <t>FLW-001</t>
  </si>
  <si>
    <t>SCR-001 (로그인)</t>
  </si>
  <si>
    <t>click/Enter</t>
  </si>
  <si>
    <t>page (redirect)</t>
  </si>
  <si>
    <t>JWT토큰, 사용자정보</t>
  </si>
  <si>
    <t>로그인 페이지로 돌아감</t>
  </si>
  <si>
    <t>이메일/비밀번호/지점 모두 입력 시</t>
  </si>
  <si>
    <t>FLW-002</t>
  </si>
  <si>
    <t>전체 페이지</t>
  </si>
  <si>
    <t>세션 만료</t>
  </si>
  <si>
    <t>auto</t>
  </si>
  <si>
    <t>JWT 토큰 만료 시 자동</t>
  </si>
  <si>
    <t>FLW-003</t>
  </si>
  <si>
    <t>로그아웃 버튼</t>
  </si>
  <si>
    <t>click</t>
  </si>
  <si>
    <t>localStorage 정리</t>
  </si>
  <si>
    <t>FLW-010</t>
  </si>
  <si>
    <t>총회원 통계카드</t>
  </si>
  <si>
    <t>SCR-010 (회원목록)</t>
  </si>
  <si>
    <t>대시보드로 복귀</t>
  </si>
  <si>
    <t>FLW-011</t>
  </si>
  <si>
    <t>출석 통계카드</t>
  </si>
  <si>
    <t>SCR-020 (출석)</t>
  </si>
  <si>
    <t>FLW-012</t>
  </si>
  <si>
    <t>매출 통계카드</t>
  </si>
  <si>
    <t>SCR-030 (매출)</t>
  </si>
  <si>
    <t>FLW-013</t>
  </si>
  <si>
    <t>SCR-012 (회원등록)</t>
  </si>
  <si>
    <t>FLW-014</t>
  </si>
  <si>
    <t>생일자/만료임박 회원명</t>
  </si>
  <si>
    <t>SCR-011 (회원상세)</t>
  </si>
  <si>
    <t>FLW-015</t>
  </si>
  <si>
    <t>미수금 결제 버튼</t>
  </si>
  <si>
    <t>SCR-031 (POS)</t>
  </si>
  <si>
    <t>FLW-020</t>
  </si>
  <si>
    <t>회원명 클릭</t>
  </si>
  <si>
    <t>회원목록으로 복귀, 스크롤위치 유지</t>
  </si>
  <si>
    <t>FLW-021</t>
  </si>
  <si>
    <t>회원목록으로 복귀</t>
  </si>
  <si>
    <t>FLW-022</t>
  </si>
  <si>
    <t>수정 버튼</t>
  </si>
  <si>
    <t>SCR-013 (회원수정)</t>
  </si>
  <si>
    <t>회원상세로 복귀</t>
  </si>
  <si>
    <t>FLW-023</t>
  </si>
  <si>
    <t>삭제 버튼</t>
  </si>
  <si>
    <t>-</t>
  </si>
  <si>
    <t>confirm-modal</t>
  </si>
  <si>
    <t>'정말 삭제하시겠습니까?' 확인/취소</t>
  </si>
  <si>
    <t>소프트 삭제</t>
  </si>
  <si>
    <t>FLW-024</t>
  </si>
  <si>
    <t>SCR-014 (체성분)</t>
  </si>
  <si>
    <t>FLW-025</t>
  </si>
  <si>
    <t>저장 완료</t>
  </si>
  <si>
    <t>submit</t>
  </si>
  <si>
    <t>새 memberId</t>
  </si>
  <si>
    <t>N/A (자동이동)</t>
  </si>
  <si>
    <t>검증 통과 시</t>
  </si>
  <si>
    <t>FLW-026</t>
  </si>
  <si>
    <t>변경사항 있으면 확인 모달</t>
  </si>
  <si>
    <t>FLW-027</t>
  </si>
  <si>
    <t>뒤로가기 버튼</t>
  </si>
  <si>
    <t>FLW-028</t>
  </si>
  <si>
    <t>새 측정 추가</t>
  </si>
  <si>
    <t>모달 닫기</t>
  </si>
  <si>
    <t>날짜/체중/골격근/체지방 입력 모달</t>
  </si>
  <si>
    <t>FLW-029</t>
  </si>
  <si>
    <t>같은날짜 측정 존재</t>
  </si>
  <si>
    <t>동일 날짜 데이터 있을 때</t>
  </si>
  <si>
    <t>덮어쓰기 확인</t>
  </si>
  <si>
    <t>FLW-030</t>
  </si>
  <si>
    <t>신규결제(POS) 버튼</t>
  </si>
  <si>
    <t>매출로 복귀</t>
  </si>
  <si>
    <t>FLW-031</t>
  </si>
  <si>
    <t>상품명 클릭</t>
  </si>
  <si>
    <t>FLW-032</t>
  </si>
  <si>
    <t>구매자명 클릭</t>
  </si>
  <si>
    <t>FLW-033</t>
  </si>
  <si>
    <t>결제하기 버튼</t>
  </si>
  <si>
    <t>SCR-032 (POS결제)</t>
  </si>
  <si>
    <t>장바구니 데이터</t>
  </si>
  <si>
    <t>POS로 복귀</t>
  </si>
  <si>
    <t>장바구니 1개 이상</t>
  </si>
  <si>
    <t>FLW-034</t>
  </si>
  <si>
    <t>SCR-041 (상품등록)</t>
  </si>
  <si>
    <t>FLW-035</t>
  </si>
  <si>
    <t>결제확인</t>
  </si>
  <si>
    <t>금액 확인</t>
  </si>
  <si>
    <t>주문요약 표시</t>
  </si>
  <si>
    <t>FLW-036</t>
  </si>
  <si>
    <t>결제완료</t>
  </si>
  <si>
    <t>결제완료 화면</t>
  </si>
  <si>
    <t>page-replace</t>
  </si>
  <si>
    <t>결제결과</t>
  </si>
  <si>
    <t>N/A (완료 화면)</t>
  </si>
  <si>
    <t>결제 성공 시</t>
  </si>
  <si>
    <t>전체 페이지 교체</t>
  </si>
  <si>
    <t>FLW-037</t>
  </si>
  <si>
    <t>계속판매 버튼</t>
  </si>
  <si>
    <t>결제완료 화면에서</t>
  </si>
  <si>
    <t>상태 초기화</t>
  </si>
  <si>
    <t>FLW-040</t>
  </si>
  <si>
    <t>SCR-040 (상품목록)</t>
  </si>
  <si>
    <t>상품목록으로 복귀</t>
  </si>
  <si>
    <t>FLW-041</t>
  </si>
  <si>
    <t>수정 모드</t>
  </si>
  <si>
    <t>FLW-042</t>
  </si>
  <si>
    <t>'상품을 삭제하시겠습니까?' danger</t>
  </si>
  <si>
    <t>FLW-043</t>
  </si>
  <si>
    <t>FLW-050</t>
  </si>
  <si>
    <t>SCR-050 (락커)</t>
  </si>
  <si>
    <t>락커셀 클릭</t>
  </si>
  <si>
    <t>lockerId</t>
  </si>
  <si>
    <t>락커상세 모달</t>
  </si>
  <si>
    <t>FLW-051</t>
  </si>
  <si>
    <t>모달 회원명</t>
  </si>
  <si>
    <t>락커로 복귀</t>
  </si>
  <si>
    <t>배정된 회원 있을 때</t>
  </si>
  <si>
    <t>FLW-052</t>
  </si>
  <si>
    <t>배정해제 버튼</t>
  </si>
  <si>
    <t>'배정을 해제하시겠습니까?' danger</t>
  </si>
  <si>
    <t>FLW-060</t>
  </si>
  <si>
    <t>SCR-060 (직원목록)</t>
  </si>
  <si>
    <t>SCR-061 (직원등록)</t>
  </si>
  <si>
    <t>직원목록으로 복귀</t>
  </si>
  <si>
    <t>FLW-061</t>
  </si>
  <si>
    <t>직원명 클릭</t>
  </si>
  <si>
    <t>staffId</t>
  </si>
  <si>
    <t>FLW-062</t>
  </si>
  <si>
    <t>SCR-070 (급여)</t>
  </si>
  <si>
    <t>SCR-071 (급여명세서)</t>
  </si>
  <si>
    <t>급여로 복귀</t>
  </si>
  <si>
    <t>FLW-063</t>
  </si>
  <si>
    <t>명세서 바로가기</t>
  </si>
  <si>
    <t>FLW-070</t>
  </si>
  <si>
    <t>SCR-080 (메시지)</t>
  </si>
  <si>
    <t>대상검색 버튼</t>
  </si>
  <si>
    <t>회원검색 체크리스트</t>
  </si>
  <si>
    <t>FLW-071</t>
  </si>
  <si>
    <t>modal (preview)</t>
  </si>
  <si>
    <t>수신자+내용 입력 완료 시</t>
  </si>
  <si>
    <t>미리보기 후 발송</t>
  </si>
  <si>
    <t>FLW-080</t>
  </si>
  <si>
    <t>SCR-090 (전자계약)</t>
  </si>
  <si>
    <t>다음 버튼</t>
  </si>
  <si>
    <t>다음 Step</t>
  </si>
  <si>
    <t>step-transition</t>
  </si>
  <si>
    <t>누적 데이터</t>
  </si>
  <si>
    <t>이전 Step으로</t>
  </si>
  <si>
    <t>현재 Step 검증 통과 시</t>
  </si>
  <si>
    <t>animate-in</t>
  </si>
  <si>
    <t>FLW-081</t>
  </si>
  <si>
    <t>완료 버튼</t>
  </si>
  <si>
    <t>Step 5에서</t>
  </si>
  <si>
    <t>계약 완료 확인</t>
  </si>
  <si>
    <t>FLW-090</t>
  </si>
  <si>
    <t>SCR-096 (센터설정)</t>
  </si>
  <si>
    <t>탭 전환</t>
  </si>
  <si>
    <t>같은 페이지 탭</t>
  </si>
  <si>
    <t>tab-switch</t>
  </si>
  <si>
    <t>미저장 변경사항 있으면 경고 모달</t>
  </si>
  <si>
    <t>FLW-091</t>
  </si>
  <si>
    <t>SCR-094 (키오스크)</t>
  </si>
  <si>
    <t>TTS Play 버튼</t>
  </si>
  <si>
    <t>browser-api</t>
  </si>
  <si>
    <t>speechSynthesis.speak()</t>
  </si>
  <si>
    <t>FLW-092</t>
  </si>
  <si>
    <t>SCR-095 (IoT)</t>
  </si>
  <si>
    <t>키오스크설정 링크</t>
  </si>
  <si>
    <t>IoT로 복귀</t>
  </si>
  <si>
    <t>FLW-093</t>
  </si>
  <si>
    <t>SCR-097 (권한)</t>
  </si>
  <si>
    <t>직원 태그</t>
  </si>
  <si>
    <t>권한으로 복귀</t>
  </si>
  <si>
    <t>FLW-094</t>
  </si>
  <si>
    <t>SCR-098 (구독)</t>
  </si>
  <si>
    <t>플랜변경 버튼</t>
  </si>
  <si>
    <t>요금제비교 탭</t>
  </si>
  <si>
    <t>FLW-095</t>
  </si>
  <si>
    <t>SCR-099 (지점)</t>
  </si>
  <si>
    <t>지점 비활성화</t>
  </si>
  <si>
    <t>modal (2-step)</t>
  </si>
  <si>
    <t>Step1: 영향표시 → Step2: 최종확인</t>
  </si>
  <si>
    <t>FLW-100</t>
  </si>
  <si>
    <t>GNB 메뉴 클릭</t>
  </si>
  <si>
    <t>해당 페이지</t>
  </si>
  <si>
    <t>이전 페이지</t>
  </si>
  <si>
    <t>사이드바 네비게이션</t>
  </si>
  <si>
    <t>FLW-101</t>
  </si>
  <si>
    <t>상태변경 버튼</t>
  </si>
  <si>
    <t>클릭</t>
  </si>
  <si>
    <t>Modal (상태 선택)</t>
  </si>
  <si>
    <t>선택된 회원 ID 목록</t>
  </si>
  <si>
    <t>회원 선택 시</t>
  </si>
  <si>
    <t>window.prompt→Modal 전환 (2026-03-13)</t>
  </si>
  <si>
    <t>FLW-102</t>
  </si>
  <si>
    <t>전송하기 버튼</t>
  </si>
  <si>
    <t>SCR-070 (메시지발송)</t>
  </si>
  <si>
    <t>페이지 이동</t>
  </si>
  <si>
    <t>sessionStorage: 선택된 회원 ID</t>
  </si>
  <si>
    <t>뒤로가기</t>
  </si>
  <si>
    <t>선택 회원 메시지 발송 연동 (2026-03-13)</t>
  </si>
  <si>
    <t>FLW-103</t>
  </si>
  <si>
    <t>락커 셀</t>
  </si>
  <si>
    <t>클릭/Enter</t>
  </si>
  <si>
    <t>Modal (배정/반납)</t>
  </si>
  <si>
    <t>lockerId, status</t>
  </si>
  <si>
    <t>키보드 접근성 추가 (role=button, tabIndex) (2026-03-13)</t>
  </si>
  <si>
    <t>FLW-104</t>
  </si>
  <si>
    <t>해당 상세 페이지</t>
  </si>
  <si>
    <t>필터 파라미터</t>
  </si>
  <si>
    <t>대시보드→상세 네비게이션 추가 (2026-03-13)</t>
  </si>
  <si>
    <t>FLW-105</t>
  </si>
  <si>
    <t>SCR-080 (계약)</t>
  </si>
  <si>
    <t>작성 중 데이터 있을 때</t>
  </si>
  <si>
    <t>미저장 경고 ConfirmDialog (2026-03-13)</t>
  </si>
  <si>
    <t>토큰 ID</t>
  </si>
  <si>
    <t>토큰명</t>
  </si>
  <si>
    <t>값</t>
  </si>
  <si>
    <t>용도</t>
  </si>
  <si>
    <t>TK-001</t>
  </si>
  <si>
    <t>primary-50</t>
  </si>
  <si>
    <t>#EFF6FF</t>
  </si>
  <si>
    <t>Primary 배경 (매우 연한)</t>
  </si>
  <si>
    <t>TK-002</t>
  </si>
  <si>
    <t>primary-100</t>
  </si>
  <si>
    <t>#DBEAFE</t>
  </si>
  <si>
    <t>Primary light 배경, 선택된 항목 배경</t>
  </si>
  <si>
    <t>TK-003</t>
  </si>
  <si>
    <t>primary-200</t>
  </si>
  <si>
    <t>#BFDBFE</t>
  </si>
  <si>
    <t>Primary 보더, 호버</t>
  </si>
  <si>
    <t>TK-004</t>
  </si>
  <si>
    <t>primary-500</t>
  </si>
  <si>
    <t>#3B82F6</t>
  </si>
  <si>
    <t>주요 버튼, 활성 탭, 링크, 실지급액 강조</t>
  </si>
  <si>
    <t>메인 Primary 색상</t>
  </si>
  <si>
    <t>TK-005</t>
  </si>
  <si>
    <t>primary-600</t>
  </si>
  <si>
    <t>#2563EB</t>
  </si>
  <si>
    <t>버튼 호버, 헤더 배경</t>
  </si>
  <si>
    <t>TK-006</t>
  </si>
  <si>
    <t>primary-700</t>
  </si>
  <si>
    <t>#1D4ED8</t>
  </si>
  <si>
    <t>버튼 active</t>
  </si>
  <si>
    <t>TK-010</t>
  </si>
  <si>
    <t>accent-50</t>
  </si>
  <si>
    <t>#FFF7ED</t>
  </si>
  <si>
    <t>Accent 배경 (연한)</t>
  </si>
  <si>
    <t>TK-011</t>
  </si>
  <si>
    <t>accent-500</t>
  </si>
  <si>
    <t>#F97316</t>
  </si>
  <si>
    <t>Accent 버튼, 완료 CTA, 강조 배지</t>
  </si>
  <si>
    <t>TK-012</t>
  </si>
  <si>
    <t>accent-600</t>
  </si>
  <si>
    <t>#EA580C</t>
  </si>
  <si>
    <t>Accent 호버</t>
  </si>
  <si>
    <t>TK-020</t>
  </si>
  <si>
    <t>gray-50</t>
  </si>
  <si>
    <t>#F9FAFB</t>
  </si>
  <si>
    <t>페이지 배경, surface-tertiary</t>
  </si>
  <si>
    <t>TK-021</t>
  </si>
  <si>
    <t>gray-100</t>
  </si>
  <si>
    <t>#F3F4F6</t>
  </si>
  <si>
    <t>카드 배경, surface-secondary, 입력 배경</t>
  </si>
  <si>
    <t>TK-022</t>
  </si>
  <si>
    <t>gray-200</t>
  </si>
  <si>
    <t>#E5E7EB</t>
  </si>
  <si>
    <t>보더, 구분선, border-line</t>
  </si>
  <si>
    <t>TK-023</t>
  </si>
  <si>
    <t>gray-300</t>
  </si>
  <si>
    <t>#D1D5DB</t>
  </si>
  <si>
    <t>비활성 텍스트, placeholder</t>
  </si>
  <si>
    <t>TK-024</t>
  </si>
  <si>
    <t>gray-500</t>
  </si>
  <si>
    <t>#6B7280</t>
  </si>
  <si>
    <t>보조 텍스트, 라벨, caption</t>
  </si>
  <si>
    <t>TK-025</t>
  </si>
  <si>
    <t>gray-700</t>
  </si>
  <si>
    <t>#374151</t>
  </si>
  <si>
    <t>본문 텍스트</t>
  </si>
  <si>
    <t>TK-026</t>
  </si>
  <si>
    <t>gray-900</t>
  </si>
  <si>
    <t>#111827</t>
  </si>
  <si>
    <t>제목, 강조 텍스트</t>
  </si>
  <si>
    <t>TK-030</t>
  </si>
  <si>
    <t>success/green-500</t>
  </si>
  <si>
    <t>#22C55E</t>
  </si>
  <si>
    <t>성공, 활성, 증가(▲), 지급항목(Plus)</t>
  </si>
  <si>
    <t>TK-031</t>
  </si>
  <si>
    <t>success-light</t>
  </si>
  <si>
    <t>#F0FDF4</t>
  </si>
  <si>
    <t>성공 배경</t>
  </si>
  <si>
    <t>TK-032</t>
  </si>
  <si>
    <t>error/red-500</t>
  </si>
  <si>
    <t>#EF4444</t>
  </si>
  <si>
    <t>에러, 삭제, 감소(▼), 공제항목(Minus), 미수금</t>
  </si>
  <si>
    <t>TK-033</t>
  </si>
  <si>
    <t>error-light</t>
  </si>
  <si>
    <t>#FEF2F2</t>
  </si>
  <si>
    <t>에러 배경</t>
  </si>
  <si>
    <t>TK-034</t>
  </si>
  <si>
    <t>warning/amber-500</t>
  </si>
  <si>
    <t>#F59E0B</t>
  </si>
  <si>
    <t>경고, 만료임박, 변경감지, D-day 주의</t>
  </si>
  <si>
    <t>TK-035</t>
  </si>
  <si>
    <t>warning-light</t>
  </si>
  <si>
    <t>#FFFBEB</t>
  </si>
  <si>
    <t>경고 배경</t>
  </si>
  <si>
    <t>TK-036</t>
  </si>
  <si>
    <t>info/blue-500</t>
  </si>
  <si>
    <t>정보, 사용중(락커), 안내</t>
  </si>
  <si>
    <t>TK-037</t>
  </si>
  <si>
    <t>info-light</t>
  </si>
  <si>
    <t>정보 배경</t>
  </si>
  <si>
    <t>TK-040</t>
  </si>
  <si>
    <t>mint</t>
  </si>
  <si>
    <t>#10B981 / #ECFDF5 bg</t>
  </si>
  <si>
    <t>StatCard mint variant, 마일리지 사용</t>
  </si>
  <si>
    <t>TK-041</t>
  </si>
  <si>
    <t>peach</t>
  </si>
  <si>
    <t>#F97316 / #FFF7ED bg</t>
  </si>
  <si>
    <t>StatCard peach variant, 마일리지 발행</t>
  </si>
  <si>
    <t>TK-045</t>
  </si>
  <si>
    <t>role-primary</t>
  </si>
  <si>
    <t>Primary 역할 배지</t>
  </si>
  <si>
    <t>TK-046</t>
  </si>
  <si>
    <t>role-owner</t>
  </si>
  <si>
    <t>#7C3AED</t>
  </si>
  <si>
    <t>센터장 역할 배지</t>
  </si>
  <si>
    <t>TK-047</t>
  </si>
  <si>
    <t>role-manager</t>
  </si>
  <si>
    <t>#059669</t>
  </si>
  <si>
    <t>매니저 역할 배지</t>
  </si>
  <si>
    <t>TK-048</t>
  </si>
  <si>
    <t>role-fc</t>
  </si>
  <si>
    <t>#D97706</t>
  </si>
  <si>
    <t>FC 역할 배지</t>
  </si>
  <si>
    <t>TK-049</t>
  </si>
  <si>
    <t>role-trainer</t>
  </si>
  <si>
    <t>#DC2626</t>
  </si>
  <si>
    <t>트레이너 역할 배지</t>
  </si>
  <si>
    <t>TK-100</t>
  </si>
  <si>
    <t>typography</t>
  </si>
  <si>
    <t>heading-1</t>
  </si>
  <si>
    <t>24px / bold / 1.3 line-height</t>
  </si>
  <si>
    <t>페이지 제목 (PageHeader)</t>
  </si>
  <si>
    <t>TK-101</t>
  </si>
  <si>
    <t>heading-2</t>
  </si>
  <si>
    <t>20px / semibold / 1.4</t>
  </si>
  <si>
    <t>섹션 제목, FormSection 제목</t>
  </si>
  <si>
    <t>TK-102</t>
  </si>
  <si>
    <t>heading-3</t>
  </si>
  <si>
    <t>16px / semibold / 1.5</t>
  </si>
  <si>
    <t>카드 제목, 탭 이름</t>
  </si>
  <si>
    <t>TK-103</t>
  </si>
  <si>
    <t>heading-4</t>
  </si>
  <si>
    <t>14px / semibold / 1.5</t>
  </si>
  <si>
    <t>소제목, 서브헤더</t>
  </si>
  <si>
    <t>TK-104</t>
  </si>
  <si>
    <t>body-lg</t>
  </si>
  <si>
    <t>16px / normal / 1.6</t>
  </si>
  <si>
    <t>본문 (큰)</t>
  </si>
  <si>
    <t>TK-105</t>
  </si>
  <si>
    <t>body-md</t>
  </si>
  <si>
    <t>14px / normal / 1.5</t>
  </si>
  <si>
    <t>본문 (기본), 테이블 셀, 입력값</t>
  </si>
  <si>
    <t>기본 텍스트 크기</t>
  </si>
  <si>
    <t>TK-106</t>
  </si>
  <si>
    <t>body-sm</t>
  </si>
  <si>
    <t>13px / normal / 1.5</t>
  </si>
  <si>
    <t>보조 텍스트, 힌트</t>
  </si>
  <si>
    <t>TK-107</t>
  </si>
  <si>
    <t>caption</t>
  </si>
  <si>
    <t>12px / normal / 1.4</t>
  </si>
  <si>
    <t>캡션, 배지, 라벨, 에러메시지</t>
  </si>
  <si>
    <t>stat-number</t>
  </si>
  <si>
    <t>32px / bold / 1.2</t>
  </si>
  <si>
    <t>StatCard 숫자, 대시보드 KPI</t>
  </si>
  <si>
    <t>TK-109</t>
  </si>
  <si>
    <t>price-lg</t>
  </si>
  <si>
    <t>24px / bold / 1.2</t>
  </si>
  <si>
    <t>결제 금액, 총합계</t>
  </si>
  <si>
    <t>TK-110</t>
  </si>
  <si>
    <t>mono</t>
  </si>
  <si>
    <t>14px / monospace / 1.5</t>
  </si>
  <si>
    <t>카드번호, IP주소, 쿠폰코드</t>
  </si>
  <si>
    <t>font-mono</t>
  </si>
  <si>
    <t>TK-200</t>
  </si>
  <si>
    <t>spacing</t>
  </si>
  <si>
    <t>page-padding-x</t>
  </si>
  <si>
    <t>24px (px-lg)</t>
  </si>
  <si>
    <t>페이지 좌우 패딩</t>
  </si>
  <si>
    <t>TK-201</t>
  </si>
  <si>
    <t>page-padding-y</t>
  </si>
  <si>
    <t>24px (py-lg)</t>
  </si>
  <si>
    <t>페이지 상하 패딩</t>
  </si>
  <si>
    <t>TK-202</t>
  </si>
  <si>
    <t>section-gap</t>
  </si>
  <si>
    <t>24px (gap-lg)</t>
  </si>
  <si>
    <t>섹션 간 간격</t>
  </si>
  <si>
    <t>TK-203</t>
  </si>
  <si>
    <t>card-padding</t>
  </si>
  <si>
    <t>24px (p-lg)</t>
  </si>
  <si>
    <t>카드/박스 내부 패딩</t>
  </si>
  <si>
    <t>TK-204</t>
  </si>
  <si>
    <t>card-gap</t>
  </si>
  <si>
    <t>16px (gap-md)</t>
  </si>
  <si>
    <t>카드 그리드 간격</t>
  </si>
  <si>
    <t>TK-205</t>
  </si>
  <si>
    <t>form-gap</t>
  </si>
  <si>
    <t>폼 필드 간 간격</t>
  </si>
  <si>
    <t>TK-206</t>
  </si>
  <si>
    <t>input-height</t>
  </si>
  <si>
    <t>40px (h-[40px])</t>
  </si>
  <si>
    <t>입력 필드 높이</t>
  </si>
  <si>
    <t>TK-207</t>
  </si>
  <si>
    <t>button-height</t>
  </si>
  <si>
    <t>버튼 높이 (기본)</t>
  </si>
  <si>
    <t>TK-208</t>
  </si>
  <si>
    <t>button-height-sm</t>
  </si>
  <si>
    <t>32px</t>
  </si>
  <si>
    <t>작은 버튼 높이</t>
  </si>
  <si>
    <t>TK-209</t>
  </si>
  <si>
    <t>button-height-lg</t>
  </si>
  <si>
    <t>48px</t>
  </si>
  <si>
    <t>큰 버튼 높이 (CTA)</t>
  </si>
  <si>
    <t>TK-210</t>
  </si>
  <si>
    <t>sidebar-width</t>
  </si>
  <si>
    <t>280px</t>
  </si>
  <si>
    <t>사이드바 너비</t>
  </si>
  <si>
    <t>TK-211</t>
  </si>
  <si>
    <t>cart-sidebar-width</t>
  </si>
  <si>
    <t>360px</t>
  </si>
  <si>
    <t>POS 장바구니 사이드바</t>
  </si>
  <si>
    <t>TK-212</t>
  </si>
  <si>
    <t>payment-sidebar-width</t>
  </si>
  <si>
    <t>380px</t>
  </si>
  <si>
    <t>결제 사이드바</t>
  </si>
  <si>
    <t>TK-300</t>
  </si>
  <si>
    <t>radius</t>
  </si>
  <si>
    <t>button</t>
  </si>
  <si>
    <t>8px (rounded-lg)</t>
  </si>
  <si>
    <t>버튼, 배지, 입력 필드</t>
  </si>
  <si>
    <t>TK-301</t>
  </si>
  <si>
    <t>12px (rounded-xl)</t>
  </si>
  <si>
    <t>카드, 박스, 모달 내부 영역</t>
  </si>
  <si>
    <t>TK-302</t>
  </si>
  <si>
    <t>16px (rounded-2xl)</t>
  </si>
  <si>
    <t>모달, 다이얼로그</t>
  </si>
  <si>
    <t>TK-303</t>
  </si>
  <si>
    <t>9999px (rounded-full)</t>
  </si>
  <si>
    <t>아바타, 원형 토글, 상태 dot</t>
  </si>
  <si>
    <t>TK-304</t>
  </si>
  <si>
    <t>input</t>
  </si>
  <si>
    <t>입력 필드, select</t>
  </si>
  <si>
    <t>TK-400</t>
  </si>
  <si>
    <t>shadow</t>
  </si>
  <si>
    <t>0 1px 3px rgba(0,0,0,0.1)</t>
  </si>
  <si>
    <t>카드 기본 그림자</t>
  </si>
  <si>
    <t>shadow-sm</t>
  </si>
  <si>
    <t>TK-401</t>
  </si>
  <si>
    <t>card-hover</t>
  </si>
  <si>
    <t>0 4px 6px rgba(0,0,0,0.1)</t>
  </si>
  <si>
    <t>카드 호버 그림자</t>
  </si>
  <si>
    <t>shadow-md</t>
  </si>
  <si>
    <t>TK-402</t>
  </si>
  <si>
    <t>0 20px 25px rgba(0,0,0,0.15)</t>
  </si>
  <si>
    <t>모달 그림자</t>
  </si>
  <si>
    <t>shadow-xl</t>
  </si>
  <si>
    <t>TK-403</t>
  </si>
  <si>
    <t>dropdown</t>
  </si>
  <si>
    <t>0 10px 15px rgba(0,0,0,0.1)</t>
  </si>
  <si>
    <t>드롭다운, 팝오버 그림자</t>
  </si>
  <si>
    <t>shadow-lg</t>
  </si>
  <si>
    <t>TK-500</t>
  </si>
  <si>
    <t>breakpoint</t>
  </si>
  <si>
    <t>mobile</t>
  </si>
  <si>
    <t>&lt;640px (기본)</t>
  </si>
  <si>
    <t>모바일 (1열 레이아웃)</t>
  </si>
  <si>
    <t>Tailwind default</t>
  </si>
  <si>
    <t>TK-501</t>
  </si>
  <si>
    <t>sm</t>
  </si>
  <si>
    <t>≥640px</t>
  </si>
  <si>
    <t>작은 태블릿</t>
  </si>
  <si>
    <t>sm:</t>
  </si>
  <si>
    <t>TK-502</t>
  </si>
  <si>
    <t>md</t>
  </si>
  <si>
    <t>≥768px</t>
  </si>
  <si>
    <t>태블릿 (2열 전환 시작)</t>
  </si>
  <si>
    <t>md:</t>
  </si>
  <si>
    <t>TK-503</t>
  </si>
  <si>
    <t>lg</t>
  </si>
  <si>
    <t>≥1024px</t>
  </si>
  <si>
    <t>데스크톱 (사이드바+메인 2열)</t>
  </si>
  <si>
    <t>lg:</t>
  </si>
  <si>
    <t>TK-504</t>
  </si>
  <si>
    <t>xl</t>
  </si>
  <si>
    <t>≥1280px</t>
  </si>
  <si>
    <t>넓은 데스크톱 (3~6열 그리드)</t>
  </si>
  <si>
    <t>xl:</t>
  </si>
  <si>
    <t>TK-600</t>
  </si>
  <si>
    <t>animation</t>
  </si>
  <si>
    <t>transition-default</t>
  </si>
  <si>
    <t>150ms ease</t>
  </si>
  <si>
    <t>버튼 호버, 색상 전환</t>
  </si>
  <si>
    <t>transition-all</t>
  </si>
  <si>
    <t>transition-slow</t>
  </si>
  <si>
    <t>300ms ease</t>
  </si>
  <si>
    <t>모달 열기/닫기, 탭 전환</t>
  </si>
  <si>
    <t>TK-602</t>
  </si>
  <si>
    <t>spin</t>
  </si>
  <si>
    <t>1s linear infinite</t>
  </si>
  <si>
    <t>로딩 스핀 (Loader2)</t>
  </si>
  <si>
    <t>animate-spin</t>
  </si>
  <si>
    <t>TK-603</t>
  </si>
  <si>
    <t>pulse</t>
  </si>
  <si>
    <t>2s ease-in-out infinite</t>
  </si>
  <si>
    <t>RFID 스캔 대기, 시간초과 경고</t>
  </si>
  <si>
    <t>animate-pulse</t>
  </si>
  <si>
    <t>TK-604</t>
  </si>
  <si>
    <t>scale-press</t>
  </si>
  <si>
    <t>scale(0.98) 100ms</t>
  </si>
  <si>
    <t>버튼 클릭 피드백</t>
  </si>
  <si>
    <t>active:scale-[0.98]</t>
  </si>
  <si>
    <t>TK-605</t>
  </si>
  <si>
    <t>fade-slide-in</t>
  </si>
  <si>
    <t>fade-in + slide-in-from-bottom-2</t>
  </si>
  <si>
    <t>모달, Step 전환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</si>
</sst>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b/>
      <sz val="10"/>
      <color rgb="FF2B3A67"/>
      <name val="맑은 고딕"/>
      <family val="2"/>
      <charset val="129"/>
    </font>
    <font>
      <b/>
      <sz val="16"/>
      <color rgb="FF2B3A67"/>
      <name val="맑은 고딕"/>
      <family val="2"/>
      <charset val="129"/>
    </font>
    <font>
      <b/>
      <sz val="10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9"/>
      <name val="맑은 고딕"/>
      <family val="2"/>
      <charset val="129"/>
    </font>
    <font>
      <b/>
      <sz val="9"/>
      <color rgb="FFC0392B"/>
      <name val="맑은 고딕"/>
      <family val="2"/>
      <charset val="129"/>
    </font>
    <font>
      <b/>
      <sz val="9"/>
      <color rgb="FFE67E22"/>
      <name val="맑은 고딕"/>
      <family val="2"/>
      <charset val="129"/>
    </font>
    <font>
      <b/>
      <sz val="9"/>
      <color rgb="FF27AE6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2"/>
      <name val="맑은 고딕"/>
      <family val="2"/>
      <charset val="129"/>
    </font>
    <font>
      <b/>
      <sz val="9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E8DAEF"/>
      </patternFill>
    </fill>
    <fill>
      <patternFill patternType="solid">
        <fgColor rgb="FFFDFBD4"/>
      </patternFill>
    </fill>
    <fill>
      <patternFill patternType="solid">
        <fgColor rgb="FFD1F2EB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EAF2F8"/>
      </patternFill>
    </fill>
    <fill>
      <patternFill patternType="solid">
        <fgColor rgb="FFF0F3F4"/>
      </patternFill>
    </fill>
    <fill>
      <patternFill patternType="solid">
        <fgColor rgb="FF16A34A"/>
        <bgColor rgb="FF16A34A"/>
      </patternFill>
    </fill>
    <fill>
      <patternFill patternType="solid">
        <fgColor rgb="FF7C3AED"/>
        <bgColor rgb="FF7C3AED"/>
      </patternFill>
    </fill>
    <fill>
      <patternFill patternType="solid">
        <fgColor rgb="FFD97706"/>
        <bgColor rgb="FFD97706"/>
      </patternFill>
    </fill>
    <fill>
      <patternFill patternType="solid">
        <fgColor rgb="FFFDFBD4"/>
        <bgColor rgb="FFFDFBD4"/>
      </patternFill>
    </fill>
    <fill>
      <patternFill patternType="solid">
        <fgColor rgb="FFD1F2EB"/>
        <bgColor rgb="FFD1F2EB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  <fill>
      <patternFill patternType="solid">
        <fgColor rgb="FFFCF3CF"/>
        <bgColor rgb="FFFCF3CF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F2F3F4"/>
        <bgColor rgb="FFF2F3F4"/>
      </patternFill>
    </fill>
    <fill>
      <patternFill patternType="solid">
        <fgColor rgb="FFEAF2F8"/>
        <bgColor rgb="FFEAF2F8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D9E1F2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0" xfId="0" applyFont="1"/>
    <xf numFmtId="0" fontId="2" fillId="3" borderId="0" xfId="0" applyFont="1" applyFill="1"/>
    <xf numFmtId="0" fontId="0" fillId="3" borderId="0" xfId="0" applyFill="1"/>
    <xf numFmtId="0" fontId="4" fillId="4" borderId="1" xfId="0" applyFont="1" applyFill="1" applyBorder="1"/>
    <xf numFmtId="0" fontId="0" fillId="0" borderId="1" xfId="0" applyBorder="1"/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6" fillId="7" borderId="2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center" vertical="top"/>
    </xf>
    <xf numFmtId="0" fontId="6" fillId="10" borderId="2" xfId="0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center" vertical="top"/>
    </xf>
    <xf numFmtId="0" fontId="6" fillId="13" borderId="2" xfId="0" applyFont="1" applyFill="1" applyBorder="1" applyAlignment="1">
      <alignment horizontal="center" vertical="top"/>
    </xf>
    <xf numFmtId="0" fontId="6" fillId="14" borderId="2" xfId="0" applyFont="1" applyFill="1" applyBorder="1" applyAlignment="1">
      <alignment horizontal="center" vertical="top"/>
    </xf>
    <xf numFmtId="0" fontId="6" fillId="15" borderId="2" xfId="0" applyFont="1" applyFill="1" applyBorder="1" applyAlignment="1">
      <alignment horizontal="center" vertical="top"/>
    </xf>
    <xf numFmtId="0" fontId="6" fillId="16" borderId="2" xfId="0" applyFont="1" applyFill="1" applyBorder="1" applyAlignment="1">
      <alignment horizontal="center" vertical="top"/>
    </xf>
    <xf numFmtId="0" fontId="10" fillId="17" borderId="3" xfId="0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0" fillId="19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20" borderId="2" xfId="0" applyFont="1" applyFill="1" applyBorder="1" applyAlignment="1">
      <alignment horizontal="center" vertical="top"/>
    </xf>
    <xf numFmtId="0" fontId="6" fillId="20" borderId="2" xfId="0" applyFont="1" applyFill="1" applyBorder="1" applyAlignment="1">
      <alignment horizontal="left" vertical="top" wrapText="1"/>
    </xf>
    <xf numFmtId="0" fontId="6" fillId="20" borderId="2" xfId="0" applyFont="1" applyFill="1" applyBorder="1" applyAlignment="1">
      <alignment vertical="top" wrapText="1"/>
    </xf>
    <xf numFmtId="0" fontId="7" fillId="20" borderId="2" xfId="0" applyFont="1" applyFill="1" applyBorder="1" applyAlignment="1">
      <alignment horizontal="center" vertical="top"/>
    </xf>
    <xf numFmtId="0" fontId="6" fillId="21" borderId="2" xfId="0" applyFont="1" applyFill="1" applyBorder="1" applyAlignment="1">
      <alignment horizontal="center" vertical="top"/>
    </xf>
    <xf numFmtId="0" fontId="6" fillId="21" borderId="2" xfId="0" applyFont="1" applyFill="1" applyBorder="1" applyAlignment="1">
      <alignment horizontal="left" vertical="top" wrapText="1"/>
    </xf>
    <xf numFmtId="0" fontId="6" fillId="21" borderId="2" xfId="0" applyFont="1" applyFill="1" applyBorder="1" applyAlignment="1">
      <alignment vertical="top" wrapText="1"/>
    </xf>
    <xf numFmtId="0" fontId="7" fillId="21" borderId="2" xfId="0" applyFont="1" applyFill="1" applyBorder="1" applyAlignment="1">
      <alignment horizontal="center" vertical="top"/>
    </xf>
    <xf numFmtId="0" fontId="6" fillId="22" borderId="2" xfId="0" applyFont="1" applyFill="1" applyBorder="1" applyAlignment="1">
      <alignment horizontal="center" vertical="top"/>
    </xf>
    <xf numFmtId="0" fontId="6" fillId="22" borderId="2" xfId="0" applyFont="1" applyFill="1" applyBorder="1" applyAlignment="1">
      <alignment horizontal="left" vertical="top" wrapText="1"/>
    </xf>
    <xf numFmtId="0" fontId="6" fillId="22" borderId="2" xfId="0" applyFont="1" applyFill="1" applyBorder="1" applyAlignment="1">
      <alignment vertical="top" wrapText="1"/>
    </xf>
    <xf numFmtId="0" fontId="7" fillId="22" borderId="2" xfId="0" applyFont="1" applyFill="1" applyBorder="1" applyAlignment="1">
      <alignment horizontal="center" vertical="top"/>
    </xf>
    <xf numFmtId="0" fontId="6" fillId="23" borderId="2" xfId="0" applyFont="1" applyFill="1" applyBorder="1" applyAlignment="1">
      <alignment horizontal="center" vertical="top"/>
    </xf>
    <xf numFmtId="0" fontId="6" fillId="23" borderId="2" xfId="0" applyFont="1" applyFill="1" applyBorder="1" applyAlignment="1">
      <alignment horizontal="left" vertical="top" wrapText="1"/>
    </xf>
    <xf numFmtId="0" fontId="6" fillId="23" borderId="2" xfId="0" applyFont="1" applyFill="1" applyBorder="1" applyAlignment="1">
      <alignment vertical="top" wrapText="1"/>
    </xf>
    <xf numFmtId="0" fontId="7" fillId="23" borderId="2" xfId="0" applyFont="1" applyFill="1" applyBorder="1" applyAlignment="1">
      <alignment horizontal="center" vertical="top"/>
    </xf>
    <xf numFmtId="0" fontId="6" fillId="24" borderId="2" xfId="0" applyFont="1" applyFill="1" applyBorder="1" applyAlignment="1">
      <alignment horizontal="center" vertical="top"/>
    </xf>
    <xf numFmtId="0" fontId="6" fillId="24" borderId="2" xfId="0" applyFont="1" applyFill="1" applyBorder="1" applyAlignment="1">
      <alignment horizontal="left" vertical="top" wrapText="1"/>
    </xf>
    <xf numFmtId="0" fontId="6" fillId="24" borderId="2" xfId="0" applyFont="1" applyFill="1" applyBorder="1" applyAlignment="1">
      <alignment vertical="top" wrapText="1"/>
    </xf>
    <xf numFmtId="0" fontId="7" fillId="24" borderId="2" xfId="0" applyFont="1" applyFill="1" applyBorder="1" applyAlignment="1">
      <alignment horizontal="center" vertical="top"/>
    </xf>
    <xf numFmtId="0" fontId="6" fillId="25" borderId="2" xfId="0" applyFont="1" applyFill="1" applyBorder="1" applyAlignment="1">
      <alignment horizontal="center" vertical="top"/>
    </xf>
    <xf numFmtId="0" fontId="6" fillId="25" borderId="2" xfId="0" applyFont="1" applyFill="1" applyBorder="1" applyAlignment="1">
      <alignment horizontal="left" vertical="top" wrapText="1"/>
    </xf>
    <xf numFmtId="0" fontId="6" fillId="25" borderId="2" xfId="0" applyFont="1" applyFill="1" applyBorder="1" applyAlignment="1">
      <alignment vertical="top" wrapText="1"/>
    </xf>
    <xf numFmtId="0" fontId="7" fillId="25" borderId="2" xfId="0" applyFont="1" applyFill="1" applyBorder="1" applyAlignment="1">
      <alignment horizontal="center" vertical="top"/>
    </xf>
    <xf numFmtId="0" fontId="6" fillId="26" borderId="2" xfId="0" applyFont="1" applyFill="1" applyBorder="1" applyAlignment="1">
      <alignment horizontal="center" vertical="top"/>
    </xf>
    <xf numFmtId="0" fontId="6" fillId="26" borderId="2" xfId="0" applyFont="1" applyFill="1" applyBorder="1" applyAlignment="1">
      <alignment horizontal="left" vertical="top" wrapText="1"/>
    </xf>
    <xf numFmtId="0" fontId="6" fillId="26" borderId="2" xfId="0" applyFont="1" applyFill="1" applyBorder="1" applyAlignment="1">
      <alignment vertical="top" wrapText="1"/>
    </xf>
    <xf numFmtId="0" fontId="7" fillId="26" borderId="2" xfId="0" applyFont="1" applyFill="1" applyBorder="1" applyAlignment="1">
      <alignment horizontal="center" vertical="top"/>
    </xf>
    <xf numFmtId="0" fontId="6" fillId="27" borderId="2" xfId="0" applyFont="1" applyFill="1" applyBorder="1" applyAlignment="1">
      <alignment horizontal="center" vertical="top"/>
    </xf>
    <xf numFmtId="0" fontId="6" fillId="27" borderId="2" xfId="0" applyFont="1" applyFill="1" applyBorder="1" applyAlignment="1">
      <alignment horizontal="left" vertical="top" wrapText="1"/>
    </xf>
    <xf numFmtId="0" fontId="6" fillId="27" borderId="2" xfId="0" applyFont="1" applyFill="1" applyBorder="1" applyAlignment="1">
      <alignment vertical="top" wrapText="1"/>
    </xf>
    <xf numFmtId="0" fontId="7" fillId="27" borderId="2" xfId="0" applyFont="1" applyFill="1" applyBorder="1" applyAlignment="1">
      <alignment horizontal="center" vertical="top"/>
    </xf>
    <xf numFmtId="0" fontId="6" fillId="28" borderId="2" xfId="0" applyFont="1" applyFill="1" applyBorder="1" applyAlignment="1">
      <alignment horizontal="center" vertical="top"/>
    </xf>
    <xf numFmtId="0" fontId="6" fillId="28" borderId="2" xfId="0" applyFont="1" applyFill="1" applyBorder="1" applyAlignment="1">
      <alignment horizontal="left" vertical="top" wrapText="1"/>
    </xf>
    <xf numFmtId="0" fontId="6" fillId="28" borderId="2" xfId="0" applyFont="1" applyFill="1" applyBorder="1" applyAlignment="1">
      <alignment vertical="top" wrapText="1"/>
    </xf>
    <xf numFmtId="0" fontId="7" fillId="28" borderId="2" xfId="0" applyFont="1" applyFill="1" applyBorder="1" applyAlignment="1">
      <alignment horizontal="center" vertical="top"/>
    </xf>
    <xf numFmtId="0" fontId="6" fillId="29" borderId="3" xfId="0" applyFont="1" applyFill="1" applyBorder="1" applyAlignment="1">
      <alignment horizontal="center" vertical="top" wrapText="1"/>
    </xf>
    <xf numFmtId="0" fontId="6" fillId="29" borderId="3" xfId="0" applyFont="1" applyFill="1" applyBorder="1" applyAlignment="1">
      <alignment horizontal="left" vertical="top" wrapText="1"/>
    </xf>
    <xf numFmtId="0" fontId="6" fillId="30" borderId="3" xfId="0" applyFont="1" applyFill="1" applyBorder="1" applyAlignment="1">
      <alignment vertical="center" wrapText="1"/>
    </xf>
    <xf numFmtId="0" fontId="6" fillId="31" borderId="3" xfId="0" applyFont="1" applyFill="1" applyBorder="1" applyAlignment="1">
      <alignment vertical="center" wrapText="1"/>
    </xf>
    <xf numFmtId="0" fontId="6" fillId="32" borderId="3" xfId="0" applyFont="1" applyFill="1" applyBorder="1" applyAlignment="1">
      <alignment vertical="center" wrapText="1"/>
    </xf>
    <xf numFmtId="0" fontId="6" fillId="33" borderId="3" xfId="0" applyFont="1" applyFill="1" applyBorder="1" applyAlignment="1">
      <alignment vertical="center" wrapText="1"/>
    </xf>
    <xf numFmtId="0" fontId="6" fillId="34" borderId="3" xfId="0" applyFont="1" applyFill="1" applyBorder="1" applyAlignment="1">
      <alignment vertical="center" wrapText="1"/>
    </xf>
    <xf numFmtId="0" fontId="6" fillId="35" borderId="3" xfId="0" applyFont="1" applyFill="1" applyBorder="1" applyAlignment="1">
      <alignment vertical="center" wrapText="1"/>
    </xf>
    <xf numFmtId="0" fontId="12" fillId="36" borderId="3" xfId="0" applyFont="1" applyFill="1" applyBorder="1" applyAlignment="1">
      <alignment vertical="center" wrapText="1"/>
    </xf>
    <xf numFmtId="0" fontId="6" fillId="37" borderId="3" xfId="0" applyFont="1" applyFill="1" applyBorder="1" applyAlignment="1">
      <alignment vertical="center" wrapText="1"/>
    </xf>
    <xf numFmtId="0" fontId="13" fillId="5" borderId="0" xfId="0" applyFont="1" applyFill="1"/>
    <xf numFmtId="0" fontId="0" fillId="5" borderId="0" xfId="0" applyFill="1"/>
    <xf numFmtId="0" fontId="12" fillId="6" borderId="3" xfId="0" applyFont="1" applyFill="1" applyBorder="1"/>
    <xf numFmtId="0" fontId="6" fillId="38" borderId="3" xfId="0" applyFont="1" applyFill="1" applyBorder="1" applyAlignment="1">
      <alignment vertical="center" wrapText="1"/>
    </xf>
    <xf numFmtId="0" fontId="12" fillId="36" borderId="3" xfId="0" applyFont="1" applyFill="1" applyBorder="1"/>
    <xf numFmtId="0" fontId="14" fillId="39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workbookViewId="0"/>
  </sheetViews>
  <sheetFormatPr baseColWidth="10" defaultColWidth="8.83203125" defaultRowHeight="17"/>
  <cols>
    <col min="1" max="1" width="14" customWidth="1"/>
    <col min="2" max="2" width="16" customWidth="1"/>
    <col min="3" max="3" width="14" customWidth="1"/>
    <col min="4" max="4" width="12" customWidth="1"/>
    <col min="5" max="5" width="18" customWidth="1"/>
    <col min="6" max="6" width="14" customWidth="1"/>
    <col min="7" max="7" width="22" customWidth="1"/>
    <col min="8" max="8" width="10" customWidth="1"/>
    <col min="9" max="9" width="12" customWidth="1"/>
    <col min="10" max="10" width="30" customWidth="1"/>
    <col min="11" max="11" width="10" customWidth="1"/>
    <col min="12" max="12" width="2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>
      <c r="A2" s="30" t="s">
        <v>12</v>
      </c>
      <c r="B2" s="30" t="s">
        <v>13</v>
      </c>
      <c r="C2" s="30"/>
      <c r="D2" s="31" t="s">
        <v>14</v>
      </c>
      <c r="E2" s="31" t="s">
        <v>13</v>
      </c>
      <c r="F2" s="31" t="s">
        <v>15</v>
      </c>
      <c r="G2" s="31" t="s">
        <v>16</v>
      </c>
      <c r="H2" s="31" t="s">
        <v>17</v>
      </c>
      <c r="I2" s="31" t="s">
        <v>18</v>
      </c>
      <c r="J2" s="31" t="s">
        <v>19</v>
      </c>
      <c r="K2" s="31" t="s">
        <v>20</v>
      </c>
      <c r="L2" s="31" t="s">
        <v>21</v>
      </c>
    </row>
    <row r="3" spans="1:12" ht="45">
      <c r="A3" s="30" t="s">
        <v>22</v>
      </c>
      <c r="B3" s="30" t="s">
        <v>23</v>
      </c>
      <c r="C3" s="30"/>
      <c r="D3" s="31" t="s">
        <v>24</v>
      </c>
      <c r="E3" s="31" t="s">
        <v>22</v>
      </c>
      <c r="F3" s="31" t="s">
        <v>15</v>
      </c>
      <c r="G3" s="31" t="s">
        <v>25</v>
      </c>
      <c r="H3" s="31" t="s">
        <v>26</v>
      </c>
      <c r="I3" s="31" t="s">
        <v>27</v>
      </c>
      <c r="J3" s="31" t="s">
        <v>28</v>
      </c>
      <c r="K3" s="31" t="s">
        <v>20</v>
      </c>
      <c r="L3" s="31" t="s">
        <v>29</v>
      </c>
    </row>
    <row r="4" spans="1:12" ht="45">
      <c r="A4" s="30" t="s">
        <v>30</v>
      </c>
      <c r="B4" s="30" t="s">
        <v>31</v>
      </c>
      <c r="C4" s="30"/>
      <c r="D4" s="31" t="s">
        <v>32</v>
      </c>
      <c r="E4" s="31" t="s">
        <v>33</v>
      </c>
      <c r="F4" s="31" t="s">
        <v>15</v>
      </c>
      <c r="G4" s="31" t="s">
        <v>34</v>
      </c>
      <c r="H4" s="31" t="s">
        <v>26</v>
      </c>
      <c r="I4" s="31" t="s">
        <v>35</v>
      </c>
      <c r="J4" s="31" t="s">
        <v>36</v>
      </c>
      <c r="K4" s="31" t="s">
        <v>20</v>
      </c>
      <c r="L4" s="31" t="s">
        <v>37</v>
      </c>
    </row>
    <row r="5" spans="1:12" ht="30">
      <c r="A5" s="30" t="s">
        <v>30</v>
      </c>
      <c r="B5" s="30" t="s">
        <v>31</v>
      </c>
      <c r="C5" s="30"/>
      <c r="D5" s="31" t="s">
        <v>38</v>
      </c>
      <c r="E5" s="31" t="s">
        <v>39</v>
      </c>
      <c r="F5" s="31" t="s">
        <v>15</v>
      </c>
      <c r="G5" s="31" t="s">
        <v>40</v>
      </c>
      <c r="H5" s="31" t="s">
        <v>26</v>
      </c>
      <c r="I5" s="31" t="s">
        <v>35</v>
      </c>
      <c r="J5" s="31" t="s">
        <v>41</v>
      </c>
      <c r="K5" s="31" t="s">
        <v>20</v>
      </c>
      <c r="L5" s="31" t="s">
        <v>42</v>
      </c>
    </row>
    <row r="6" spans="1:12">
      <c r="A6" s="30" t="s">
        <v>30</v>
      </c>
      <c r="B6" s="30" t="s">
        <v>31</v>
      </c>
      <c r="C6" s="30"/>
      <c r="D6" s="31" t="s">
        <v>43</v>
      </c>
      <c r="E6" s="31" t="s">
        <v>44</v>
      </c>
      <c r="F6" s="31" t="s">
        <v>15</v>
      </c>
      <c r="G6" s="31" t="s">
        <v>45</v>
      </c>
      <c r="H6" s="31" t="s">
        <v>26</v>
      </c>
      <c r="I6" s="31" t="s">
        <v>35</v>
      </c>
      <c r="J6" s="31" t="s">
        <v>46</v>
      </c>
      <c r="K6" s="31" t="s">
        <v>20</v>
      </c>
      <c r="L6" s="31"/>
    </row>
    <row r="7" spans="1:12">
      <c r="A7" s="30" t="s">
        <v>30</v>
      </c>
      <c r="B7" s="30" t="s">
        <v>31</v>
      </c>
      <c r="C7" s="30"/>
      <c r="D7" s="31" t="s">
        <v>47</v>
      </c>
      <c r="E7" s="31" t="s">
        <v>48</v>
      </c>
      <c r="F7" s="31" t="s">
        <v>15</v>
      </c>
      <c r="G7" s="31" t="s">
        <v>49</v>
      </c>
      <c r="H7" s="31" t="s">
        <v>26</v>
      </c>
      <c r="I7" s="31" t="s">
        <v>35</v>
      </c>
      <c r="J7" s="31" t="s">
        <v>50</v>
      </c>
      <c r="K7" s="31" t="s">
        <v>20</v>
      </c>
      <c r="L7" s="31"/>
    </row>
    <row r="8" spans="1:12" ht="30">
      <c r="A8" s="30" t="s">
        <v>30</v>
      </c>
      <c r="B8" s="30" t="s">
        <v>51</v>
      </c>
      <c r="C8" s="30"/>
      <c r="D8" s="31" t="s">
        <v>52</v>
      </c>
      <c r="E8" s="31" t="s">
        <v>53</v>
      </c>
      <c r="F8" s="31" t="s">
        <v>15</v>
      </c>
      <c r="G8" s="31" t="s">
        <v>54</v>
      </c>
      <c r="H8" s="31" t="s">
        <v>26</v>
      </c>
      <c r="I8" s="31" t="s">
        <v>55</v>
      </c>
      <c r="J8" s="31" t="s">
        <v>56</v>
      </c>
      <c r="K8" s="31" t="s">
        <v>20</v>
      </c>
      <c r="L8" s="31" t="s">
        <v>57</v>
      </c>
    </row>
    <row r="9" spans="1:12" ht="45">
      <c r="A9" s="30" t="s">
        <v>58</v>
      </c>
      <c r="B9" s="30" t="s">
        <v>59</v>
      </c>
      <c r="C9" s="30"/>
      <c r="D9" s="31" t="s">
        <v>60</v>
      </c>
      <c r="E9" s="31" t="s">
        <v>61</v>
      </c>
      <c r="F9" s="31" t="s">
        <v>15</v>
      </c>
      <c r="G9" s="31" t="s">
        <v>62</v>
      </c>
      <c r="H9" s="31" t="s">
        <v>26</v>
      </c>
      <c r="I9" s="31" t="s">
        <v>63</v>
      </c>
      <c r="J9" s="31" t="s">
        <v>64</v>
      </c>
      <c r="K9" s="31" t="s">
        <v>20</v>
      </c>
      <c r="L9" s="31" t="s">
        <v>65</v>
      </c>
    </row>
    <row r="10" spans="1:12" ht="30">
      <c r="A10" s="30" t="s">
        <v>58</v>
      </c>
      <c r="B10" s="30" t="s">
        <v>66</v>
      </c>
      <c r="C10" s="30"/>
      <c r="D10" s="31" t="s">
        <v>67</v>
      </c>
      <c r="E10" s="31" t="s">
        <v>68</v>
      </c>
      <c r="F10" s="31" t="s">
        <v>15</v>
      </c>
      <c r="G10" s="31" t="s">
        <v>69</v>
      </c>
      <c r="H10" s="31" t="s">
        <v>26</v>
      </c>
      <c r="I10" s="31" t="s">
        <v>63</v>
      </c>
      <c r="J10" s="31" t="s">
        <v>70</v>
      </c>
      <c r="K10" s="31" t="s">
        <v>20</v>
      </c>
      <c r="L10" s="31" t="s">
        <v>71</v>
      </c>
    </row>
    <row r="11" spans="1:12" ht="45">
      <c r="A11" s="30" t="s">
        <v>72</v>
      </c>
      <c r="B11" s="30" t="s">
        <v>73</v>
      </c>
      <c r="C11" s="30"/>
      <c r="D11" s="31" t="s">
        <v>74</v>
      </c>
      <c r="E11" s="31" t="s">
        <v>75</v>
      </c>
      <c r="F11" s="31" t="s">
        <v>15</v>
      </c>
      <c r="G11" s="31" t="s">
        <v>76</v>
      </c>
      <c r="H11" s="31" t="s">
        <v>26</v>
      </c>
      <c r="I11" s="31" t="s">
        <v>35</v>
      </c>
      <c r="J11" s="31" t="s">
        <v>77</v>
      </c>
      <c r="K11" s="31" t="s">
        <v>20</v>
      </c>
      <c r="L11" s="31" t="s">
        <v>78</v>
      </c>
    </row>
    <row r="12" spans="1:12" ht="30">
      <c r="A12" s="30" t="s">
        <v>72</v>
      </c>
      <c r="B12" s="30" t="s">
        <v>79</v>
      </c>
      <c r="C12" s="30"/>
      <c r="D12" s="31" t="s">
        <v>80</v>
      </c>
      <c r="E12" s="31" t="s">
        <v>79</v>
      </c>
      <c r="F12" s="31" t="s">
        <v>15</v>
      </c>
      <c r="G12" s="31" t="s">
        <v>81</v>
      </c>
      <c r="H12" s="31" t="s">
        <v>26</v>
      </c>
      <c r="I12" s="31" t="s">
        <v>63</v>
      </c>
      <c r="J12" s="31" t="s">
        <v>82</v>
      </c>
      <c r="K12" s="31" t="s">
        <v>20</v>
      </c>
      <c r="L12" s="31" t="s">
        <v>83</v>
      </c>
    </row>
    <row r="13" spans="1:12" ht="45">
      <c r="A13" s="30" t="s">
        <v>72</v>
      </c>
      <c r="B13" s="30" t="s">
        <v>79</v>
      </c>
      <c r="C13" s="30"/>
      <c r="D13" s="31" t="s">
        <v>84</v>
      </c>
      <c r="E13" s="31" t="s">
        <v>85</v>
      </c>
      <c r="F13" s="31" t="s">
        <v>15</v>
      </c>
      <c r="G13" s="31" t="s">
        <v>86</v>
      </c>
      <c r="H13" s="31" t="s">
        <v>26</v>
      </c>
      <c r="I13" s="31" t="s">
        <v>63</v>
      </c>
      <c r="J13" s="31" t="s">
        <v>87</v>
      </c>
      <c r="K13" s="31" t="s">
        <v>20</v>
      </c>
      <c r="L13" s="31" t="s">
        <v>88</v>
      </c>
    </row>
    <row r="14" spans="1:12">
      <c r="A14" s="30" t="s">
        <v>89</v>
      </c>
      <c r="B14" s="30" t="s">
        <v>90</v>
      </c>
      <c r="C14" s="30"/>
      <c r="D14" s="31" t="s">
        <v>91</v>
      </c>
      <c r="E14" s="31" t="s">
        <v>92</v>
      </c>
      <c r="F14" s="31" t="s">
        <v>15</v>
      </c>
      <c r="G14" s="31" t="s">
        <v>93</v>
      </c>
      <c r="H14" s="31" t="s">
        <v>26</v>
      </c>
      <c r="I14" s="31" t="s">
        <v>35</v>
      </c>
      <c r="J14" s="31" t="s">
        <v>94</v>
      </c>
      <c r="K14" s="31" t="s">
        <v>20</v>
      </c>
      <c r="L14" s="31"/>
    </row>
    <row r="15" spans="1:12">
      <c r="A15" s="30" t="s">
        <v>89</v>
      </c>
      <c r="B15" s="30" t="s">
        <v>90</v>
      </c>
      <c r="C15" s="30"/>
      <c r="D15" s="31" t="s">
        <v>95</v>
      </c>
      <c r="E15" s="31" t="s">
        <v>96</v>
      </c>
      <c r="F15" s="31" t="s">
        <v>15</v>
      </c>
      <c r="G15" s="31" t="s">
        <v>97</v>
      </c>
      <c r="H15" s="31" t="s">
        <v>26</v>
      </c>
      <c r="I15" s="31" t="s">
        <v>98</v>
      </c>
      <c r="J15" s="31" t="s">
        <v>99</v>
      </c>
      <c r="K15" s="31" t="s">
        <v>20</v>
      </c>
      <c r="L15" s="31"/>
    </row>
    <row r="16" spans="1:12" ht="30">
      <c r="A16" s="30" t="s">
        <v>100</v>
      </c>
      <c r="B16" s="30" t="s">
        <v>101</v>
      </c>
      <c r="C16" s="30"/>
      <c r="D16" s="31" t="s">
        <v>102</v>
      </c>
      <c r="E16" s="31" t="s">
        <v>103</v>
      </c>
      <c r="F16" s="31" t="s">
        <v>15</v>
      </c>
      <c r="G16" s="31" t="s">
        <v>104</v>
      </c>
      <c r="H16" s="31" t="s">
        <v>26</v>
      </c>
      <c r="I16" s="31" t="s">
        <v>63</v>
      </c>
      <c r="J16" s="31" t="s">
        <v>105</v>
      </c>
      <c r="K16" s="31" t="s">
        <v>20</v>
      </c>
      <c r="L16" s="31" t="s">
        <v>106</v>
      </c>
    </row>
    <row r="17" spans="1:12" ht="30">
      <c r="A17" s="30" t="s">
        <v>100</v>
      </c>
      <c r="B17" s="30" t="s">
        <v>101</v>
      </c>
      <c r="C17" s="30"/>
      <c r="D17" s="31" t="s">
        <v>107</v>
      </c>
      <c r="E17" s="31" t="s">
        <v>108</v>
      </c>
      <c r="F17" s="31" t="s">
        <v>15</v>
      </c>
      <c r="G17" s="31" t="s">
        <v>109</v>
      </c>
      <c r="H17" s="31" t="s">
        <v>26</v>
      </c>
      <c r="I17" s="31" t="s">
        <v>35</v>
      </c>
      <c r="J17" s="31" t="s">
        <v>110</v>
      </c>
      <c r="K17" s="31" t="s">
        <v>20</v>
      </c>
      <c r="L17" s="31" t="s">
        <v>111</v>
      </c>
    </row>
    <row r="18" spans="1:12" ht="30">
      <c r="A18" s="30" t="s">
        <v>100</v>
      </c>
      <c r="B18" s="30" t="s">
        <v>112</v>
      </c>
      <c r="C18" s="30"/>
      <c r="D18" s="31" t="s">
        <v>113</v>
      </c>
      <c r="E18" s="31" t="s">
        <v>114</v>
      </c>
      <c r="F18" s="31" t="s">
        <v>15</v>
      </c>
      <c r="G18" s="31" t="s">
        <v>115</v>
      </c>
      <c r="H18" s="31" t="s">
        <v>26</v>
      </c>
      <c r="I18" s="31" t="s">
        <v>35</v>
      </c>
      <c r="J18" s="31" t="s">
        <v>116</v>
      </c>
      <c r="K18" s="31" t="s">
        <v>20</v>
      </c>
      <c r="L18" s="31" t="s">
        <v>117</v>
      </c>
    </row>
    <row r="19" spans="1:12">
      <c r="A19" s="30" t="s">
        <v>100</v>
      </c>
      <c r="B19" s="30" t="s">
        <v>118</v>
      </c>
      <c r="C19" s="30"/>
      <c r="D19" s="31" t="s">
        <v>119</v>
      </c>
      <c r="E19" s="31" t="s">
        <v>120</v>
      </c>
      <c r="F19" s="31" t="s">
        <v>15</v>
      </c>
      <c r="G19" s="31" t="s">
        <v>121</v>
      </c>
      <c r="H19" s="31" t="s">
        <v>26</v>
      </c>
      <c r="I19" s="31" t="s">
        <v>35</v>
      </c>
      <c r="J19" s="31" t="s">
        <v>122</v>
      </c>
      <c r="K19" s="31" t="s">
        <v>20</v>
      </c>
      <c r="L19" s="31"/>
    </row>
    <row r="20" spans="1:12" ht="45">
      <c r="A20" s="30" t="s">
        <v>123</v>
      </c>
      <c r="B20" s="30" t="s">
        <v>124</v>
      </c>
      <c r="C20" s="30"/>
      <c r="D20" s="31" t="s">
        <v>125</v>
      </c>
      <c r="E20" s="31" t="s">
        <v>126</v>
      </c>
      <c r="F20" s="31" t="s">
        <v>15</v>
      </c>
      <c r="G20" s="31" t="s">
        <v>127</v>
      </c>
      <c r="H20" s="31" t="s">
        <v>26</v>
      </c>
      <c r="I20" s="31" t="s">
        <v>98</v>
      </c>
      <c r="J20" s="31" t="s">
        <v>128</v>
      </c>
      <c r="K20" s="31" t="s">
        <v>20</v>
      </c>
      <c r="L20" s="31" t="s">
        <v>129</v>
      </c>
    </row>
    <row r="21" spans="1:12">
      <c r="A21" s="30" t="s">
        <v>123</v>
      </c>
      <c r="B21" s="30" t="s">
        <v>124</v>
      </c>
      <c r="C21" s="30"/>
      <c r="D21" s="31" t="s">
        <v>130</v>
      </c>
      <c r="E21" s="31" t="s">
        <v>131</v>
      </c>
      <c r="F21" s="31" t="s">
        <v>15</v>
      </c>
      <c r="G21" s="31" t="s">
        <v>132</v>
      </c>
      <c r="H21" s="31" t="s">
        <v>26</v>
      </c>
      <c r="I21" s="31" t="s">
        <v>98</v>
      </c>
      <c r="J21" s="31" t="s">
        <v>133</v>
      </c>
      <c r="K21" s="31" t="s">
        <v>20</v>
      </c>
      <c r="L21" s="31"/>
    </row>
    <row r="22" spans="1:12" ht="45">
      <c r="A22" s="30" t="s">
        <v>123</v>
      </c>
      <c r="B22" s="30" t="s">
        <v>134</v>
      </c>
      <c r="C22" s="30"/>
      <c r="D22" s="31" t="s">
        <v>135</v>
      </c>
      <c r="E22" s="31" t="s">
        <v>136</v>
      </c>
      <c r="F22" s="31" t="s">
        <v>15</v>
      </c>
      <c r="G22" s="31" t="s">
        <v>137</v>
      </c>
      <c r="H22" s="31" t="s">
        <v>26</v>
      </c>
      <c r="I22" s="31" t="s">
        <v>98</v>
      </c>
      <c r="J22" s="31" t="s">
        <v>138</v>
      </c>
      <c r="K22" s="31" t="s">
        <v>20</v>
      </c>
      <c r="L22" s="31" t="s">
        <v>139</v>
      </c>
    </row>
    <row r="23" spans="1:12">
      <c r="A23" s="30" t="s">
        <v>123</v>
      </c>
      <c r="B23" s="30" t="s">
        <v>134</v>
      </c>
      <c r="C23" s="30"/>
      <c r="D23" s="31" t="s">
        <v>140</v>
      </c>
      <c r="E23" s="31" t="s">
        <v>141</v>
      </c>
      <c r="F23" s="31" t="s">
        <v>15</v>
      </c>
      <c r="G23" s="31" t="s">
        <v>142</v>
      </c>
      <c r="H23" s="31" t="s">
        <v>26</v>
      </c>
      <c r="I23" s="31" t="s">
        <v>98</v>
      </c>
      <c r="J23" s="31" t="s">
        <v>143</v>
      </c>
      <c r="K23" s="31" t="s">
        <v>20</v>
      </c>
      <c r="L23" s="31"/>
    </row>
    <row r="24" spans="1:12" ht="30">
      <c r="A24" s="30" t="s">
        <v>144</v>
      </c>
      <c r="B24" s="30" t="s">
        <v>145</v>
      </c>
      <c r="C24" s="30"/>
      <c r="D24" s="31" t="s">
        <v>146</v>
      </c>
      <c r="E24" s="31" t="s">
        <v>147</v>
      </c>
      <c r="F24" s="31" t="s">
        <v>15</v>
      </c>
      <c r="G24" s="31" t="s">
        <v>148</v>
      </c>
      <c r="H24" s="31" t="s">
        <v>26</v>
      </c>
      <c r="I24" s="31" t="s">
        <v>35</v>
      </c>
      <c r="J24" s="31" t="s">
        <v>149</v>
      </c>
      <c r="K24" s="31" t="s">
        <v>20</v>
      </c>
      <c r="L24" s="31" t="s">
        <v>150</v>
      </c>
    </row>
    <row r="25" spans="1:12" ht="30">
      <c r="A25" s="30" t="s">
        <v>144</v>
      </c>
      <c r="B25" s="30" t="s">
        <v>151</v>
      </c>
      <c r="C25" s="30"/>
      <c r="D25" s="31" t="s">
        <v>152</v>
      </c>
      <c r="E25" s="31" t="s">
        <v>153</v>
      </c>
      <c r="F25" s="31" t="s">
        <v>15</v>
      </c>
      <c r="G25" s="31" t="s">
        <v>154</v>
      </c>
      <c r="H25" s="31" t="s">
        <v>26</v>
      </c>
      <c r="I25" s="31" t="s">
        <v>35</v>
      </c>
      <c r="J25" s="31" t="s">
        <v>155</v>
      </c>
      <c r="K25" s="31" t="s">
        <v>20</v>
      </c>
      <c r="L25" s="31" t="s">
        <v>156</v>
      </c>
    </row>
    <row r="26" spans="1:12" ht="30">
      <c r="A26" s="30" t="s">
        <v>144</v>
      </c>
      <c r="B26" s="30" t="s">
        <v>157</v>
      </c>
      <c r="C26" s="30"/>
      <c r="D26" s="31" t="s">
        <v>158</v>
      </c>
      <c r="E26" s="31" t="s">
        <v>159</v>
      </c>
      <c r="F26" s="31" t="s">
        <v>15</v>
      </c>
      <c r="G26" s="31" t="s">
        <v>160</v>
      </c>
      <c r="H26" s="31" t="s">
        <v>26</v>
      </c>
      <c r="I26" s="31" t="s">
        <v>35</v>
      </c>
      <c r="J26" s="31" t="s">
        <v>161</v>
      </c>
      <c r="K26" s="31" t="s">
        <v>20</v>
      </c>
      <c r="L26" s="31" t="s">
        <v>162</v>
      </c>
    </row>
    <row r="27" spans="1:12" ht="30">
      <c r="A27" s="30" t="s">
        <v>144</v>
      </c>
      <c r="B27" s="30" t="s">
        <v>163</v>
      </c>
      <c r="C27" s="30"/>
      <c r="D27" s="31" t="s">
        <v>164</v>
      </c>
      <c r="E27" s="31" t="s">
        <v>165</v>
      </c>
      <c r="F27" s="31" t="s">
        <v>15</v>
      </c>
      <c r="G27" s="31" t="s">
        <v>166</v>
      </c>
      <c r="H27" s="31" t="s">
        <v>26</v>
      </c>
      <c r="I27" s="31" t="s">
        <v>35</v>
      </c>
      <c r="J27" s="31" t="s">
        <v>167</v>
      </c>
      <c r="K27" s="31" t="s">
        <v>20</v>
      </c>
      <c r="L27" s="31" t="s">
        <v>168</v>
      </c>
    </row>
    <row r="28" spans="1:12" ht="30">
      <c r="A28" s="30" t="s">
        <v>169</v>
      </c>
      <c r="B28" s="30" t="s">
        <v>170</v>
      </c>
      <c r="C28" s="30"/>
      <c r="D28" s="31" t="s">
        <v>171</v>
      </c>
      <c r="E28" s="31" t="s">
        <v>172</v>
      </c>
      <c r="F28" s="31" t="s">
        <v>15</v>
      </c>
      <c r="G28" s="31" t="s">
        <v>173</v>
      </c>
      <c r="H28" s="31" t="s">
        <v>26</v>
      </c>
      <c r="I28" s="31" t="s">
        <v>35</v>
      </c>
      <c r="J28" s="31" t="s">
        <v>174</v>
      </c>
      <c r="K28" s="31" t="s">
        <v>20</v>
      </c>
      <c r="L28" s="31" t="s">
        <v>175</v>
      </c>
    </row>
    <row r="29" spans="1:12" ht="30">
      <c r="A29" s="30" t="s">
        <v>169</v>
      </c>
      <c r="B29" s="30" t="s">
        <v>176</v>
      </c>
      <c r="C29" s="30"/>
      <c r="D29" s="31" t="s">
        <v>177</v>
      </c>
      <c r="E29" s="31" t="s">
        <v>178</v>
      </c>
      <c r="F29" s="31" t="s">
        <v>15</v>
      </c>
      <c r="G29" s="31" t="s">
        <v>179</v>
      </c>
      <c r="H29" s="31" t="s">
        <v>26</v>
      </c>
      <c r="I29" s="31" t="s">
        <v>98</v>
      </c>
      <c r="J29" s="31" t="s">
        <v>180</v>
      </c>
      <c r="K29" s="31" t="s">
        <v>20</v>
      </c>
      <c r="L29" s="31" t="s">
        <v>181</v>
      </c>
    </row>
    <row r="30" spans="1:12" ht="30">
      <c r="A30" s="30" t="s">
        <v>182</v>
      </c>
      <c r="B30" s="30" t="s">
        <v>182</v>
      </c>
      <c r="C30" s="30"/>
      <c r="D30" s="31" t="s">
        <v>183</v>
      </c>
      <c r="E30" s="31" t="s">
        <v>182</v>
      </c>
      <c r="F30" s="31" t="s">
        <v>15</v>
      </c>
      <c r="G30" s="31" t="s">
        <v>184</v>
      </c>
      <c r="H30" s="31" t="s">
        <v>26</v>
      </c>
      <c r="I30" s="31" t="s">
        <v>98</v>
      </c>
      <c r="J30" s="31" t="s">
        <v>185</v>
      </c>
      <c r="K30" s="31" t="s">
        <v>20</v>
      </c>
      <c r="L30" s="31" t="s">
        <v>186</v>
      </c>
    </row>
    <row r="31" spans="1:12" ht="30">
      <c r="A31" s="30" t="s">
        <v>182</v>
      </c>
      <c r="B31" s="30" t="s">
        <v>8</v>
      </c>
      <c r="C31" s="30"/>
      <c r="D31" s="31" t="s">
        <v>187</v>
      </c>
      <c r="E31" s="31" t="s">
        <v>188</v>
      </c>
      <c r="F31" s="31" t="s">
        <v>15</v>
      </c>
      <c r="G31" s="31" t="s">
        <v>189</v>
      </c>
      <c r="H31" s="31" t="s">
        <v>26</v>
      </c>
      <c r="I31" s="31" t="s">
        <v>190</v>
      </c>
      <c r="J31" s="31" t="s">
        <v>191</v>
      </c>
      <c r="K31" s="31" t="s">
        <v>20</v>
      </c>
      <c r="L31" s="31" t="s">
        <v>192</v>
      </c>
    </row>
    <row r="32" spans="1:12" ht="30">
      <c r="A32" s="30" t="s">
        <v>182</v>
      </c>
      <c r="B32" s="30" t="s">
        <v>193</v>
      </c>
      <c r="C32" s="30"/>
      <c r="D32" s="31" t="s">
        <v>194</v>
      </c>
      <c r="E32" s="31" t="s">
        <v>195</v>
      </c>
      <c r="F32" s="31" t="s">
        <v>15</v>
      </c>
      <c r="G32" s="31" t="s">
        <v>196</v>
      </c>
      <c r="H32" s="31" t="s">
        <v>26</v>
      </c>
      <c r="I32" s="31" t="s">
        <v>98</v>
      </c>
      <c r="J32" s="31" t="s">
        <v>197</v>
      </c>
      <c r="K32" s="31" t="s">
        <v>20</v>
      </c>
      <c r="L32" s="31" t="s">
        <v>198</v>
      </c>
    </row>
    <row r="33" spans="1:12" ht="30">
      <c r="A33" s="30" t="s">
        <v>182</v>
      </c>
      <c r="B33" s="30" t="s">
        <v>199</v>
      </c>
      <c r="C33" s="30"/>
      <c r="D33" s="31" t="s">
        <v>200</v>
      </c>
      <c r="E33" s="31" t="s">
        <v>201</v>
      </c>
      <c r="F33" s="31" t="s">
        <v>15</v>
      </c>
      <c r="G33" s="31" t="s">
        <v>202</v>
      </c>
      <c r="H33" s="31" t="s">
        <v>26</v>
      </c>
      <c r="I33" s="31" t="s">
        <v>98</v>
      </c>
      <c r="J33" s="31" t="s">
        <v>203</v>
      </c>
      <c r="K33" s="31" t="s">
        <v>20</v>
      </c>
      <c r="L33" s="31" t="s">
        <v>204</v>
      </c>
    </row>
    <row r="34" spans="1:12" ht="30">
      <c r="A34" s="30" t="s">
        <v>182</v>
      </c>
      <c r="B34" s="30" t="s">
        <v>205</v>
      </c>
      <c r="C34" s="30"/>
      <c r="D34" s="31" t="s">
        <v>206</v>
      </c>
      <c r="E34" s="31" t="s">
        <v>207</v>
      </c>
      <c r="F34" s="31" t="s">
        <v>15</v>
      </c>
      <c r="G34" s="31" t="s">
        <v>208</v>
      </c>
      <c r="H34" s="31" t="s">
        <v>26</v>
      </c>
      <c r="I34" s="31" t="s">
        <v>190</v>
      </c>
      <c r="J34" s="31" t="s">
        <v>209</v>
      </c>
      <c r="K34" s="31" t="s">
        <v>20</v>
      </c>
      <c r="L34" s="31" t="s">
        <v>210</v>
      </c>
    </row>
    <row r="35" spans="1:12" ht="30">
      <c r="A35" s="30" t="s">
        <v>58</v>
      </c>
      <c r="B35" s="30" t="s">
        <v>211</v>
      </c>
      <c r="C35" s="30"/>
      <c r="D35" s="31" t="s">
        <v>212</v>
      </c>
      <c r="E35" s="31" t="s">
        <v>213</v>
      </c>
      <c r="F35" s="31" t="s">
        <v>15</v>
      </c>
      <c r="G35" s="31" t="s">
        <v>214</v>
      </c>
      <c r="H35" s="31" t="s">
        <v>26</v>
      </c>
      <c r="I35" s="31" t="s">
        <v>35</v>
      </c>
      <c r="J35" s="31" t="s">
        <v>215</v>
      </c>
      <c r="K35" s="31" t="s">
        <v>216</v>
      </c>
      <c r="L35" s="31" t="s">
        <v>217</v>
      </c>
    </row>
    <row r="36" spans="1:12" ht="30">
      <c r="A36" s="30" t="s">
        <v>58</v>
      </c>
      <c r="B36" s="30" t="s">
        <v>218</v>
      </c>
      <c r="C36" s="30"/>
      <c r="D36" s="31" t="s">
        <v>219</v>
      </c>
      <c r="E36" s="31" t="s">
        <v>220</v>
      </c>
      <c r="F36" s="31" t="s">
        <v>15</v>
      </c>
      <c r="G36" s="31" t="s">
        <v>221</v>
      </c>
      <c r="H36" s="31" t="s">
        <v>26</v>
      </c>
      <c r="I36" s="31" t="s">
        <v>35</v>
      </c>
      <c r="J36" s="31" t="s">
        <v>222</v>
      </c>
      <c r="K36" s="31" t="s">
        <v>216</v>
      </c>
      <c r="L36" s="31" t="s">
        <v>223</v>
      </c>
    </row>
    <row r="37" spans="1:12" ht="30">
      <c r="A37" s="30" t="s">
        <v>58</v>
      </c>
      <c r="B37" s="30" t="s">
        <v>224</v>
      </c>
      <c r="C37" s="30"/>
      <c r="D37" s="31" t="s">
        <v>225</v>
      </c>
      <c r="E37" s="31" t="s">
        <v>226</v>
      </c>
      <c r="F37" s="31" t="s">
        <v>15</v>
      </c>
      <c r="G37" s="31" t="s">
        <v>227</v>
      </c>
      <c r="H37" s="31" t="s">
        <v>26</v>
      </c>
      <c r="I37" s="31" t="s">
        <v>228</v>
      </c>
      <c r="J37" s="31" t="s">
        <v>229</v>
      </c>
      <c r="K37" s="31" t="s">
        <v>216</v>
      </c>
      <c r="L37" s="31" t="s">
        <v>230</v>
      </c>
    </row>
    <row r="38" spans="1:12" ht="30">
      <c r="A38" s="30" t="s">
        <v>100</v>
      </c>
      <c r="B38" s="30" t="s">
        <v>231</v>
      </c>
      <c r="C38" s="30"/>
      <c r="D38" s="31" t="s">
        <v>232</v>
      </c>
      <c r="E38" s="31" t="s">
        <v>233</v>
      </c>
      <c r="F38" s="31" t="s">
        <v>15</v>
      </c>
      <c r="G38" s="31" t="s">
        <v>234</v>
      </c>
      <c r="H38" s="31" t="s">
        <v>26</v>
      </c>
      <c r="I38" s="31" t="s">
        <v>35</v>
      </c>
      <c r="J38" s="31" t="s">
        <v>235</v>
      </c>
      <c r="K38" s="31" t="s">
        <v>216</v>
      </c>
      <c r="L38" s="31" t="s">
        <v>236</v>
      </c>
    </row>
    <row r="39" spans="1:12" ht="30">
      <c r="A39" s="30" t="s">
        <v>100</v>
      </c>
      <c r="B39" s="30" t="s">
        <v>237</v>
      </c>
      <c r="C39" s="30"/>
      <c r="D39" s="31" t="s">
        <v>238</v>
      </c>
      <c r="E39" s="31" t="s">
        <v>239</v>
      </c>
      <c r="F39" s="31" t="s">
        <v>15</v>
      </c>
      <c r="G39" s="31" t="s">
        <v>240</v>
      </c>
      <c r="H39" s="31" t="s">
        <v>26</v>
      </c>
      <c r="I39" s="31" t="s">
        <v>35</v>
      </c>
      <c r="J39" s="31" t="s">
        <v>241</v>
      </c>
      <c r="K39" s="31" t="s">
        <v>216</v>
      </c>
      <c r="L39" s="31" t="s">
        <v>242</v>
      </c>
    </row>
    <row r="40" spans="1:12" ht="30">
      <c r="A40" s="30" t="s">
        <v>100</v>
      </c>
      <c r="B40" s="30" t="s">
        <v>243</v>
      </c>
      <c r="C40" s="30"/>
      <c r="D40" s="31" t="s">
        <v>244</v>
      </c>
      <c r="E40" s="31" t="s">
        <v>245</v>
      </c>
      <c r="F40" s="31" t="s">
        <v>15</v>
      </c>
      <c r="G40" s="31" t="s">
        <v>246</v>
      </c>
      <c r="H40" s="31" t="s">
        <v>26</v>
      </c>
      <c r="I40" s="31" t="s">
        <v>63</v>
      </c>
      <c r="J40" s="31" t="s">
        <v>247</v>
      </c>
      <c r="K40" s="31" t="s">
        <v>216</v>
      </c>
      <c r="L40" s="31" t="s">
        <v>248</v>
      </c>
    </row>
    <row r="41" spans="1:12" ht="30">
      <c r="A41" s="30" t="s">
        <v>30</v>
      </c>
      <c r="B41" s="30" t="s">
        <v>249</v>
      </c>
      <c r="C41" s="30"/>
      <c r="D41" s="31" t="s">
        <v>250</v>
      </c>
      <c r="E41" s="31" t="s">
        <v>251</v>
      </c>
      <c r="F41" s="31" t="s">
        <v>15</v>
      </c>
      <c r="G41" s="31" t="s">
        <v>252</v>
      </c>
      <c r="H41" s="31" t="s">
        <v>26</v>
      </c>
      <c r="I41" s="31" t="s">
        <v>55</v>
      </c>
      <c r="J41" s="31" t="s">
        <v>253</v>
      </c>
      <c r="K41" s="31" t="s">
        <v>216</v>
      </c>
      <c r="L41" s="31" t="s">
        <v>254</v>
      </c>
    </row>
    <row r="42" spans="1:12" ht="30">
      <c r="A42" s="30" t="s">
        <v>182</v>
      </c>
      <c r="B42" s="30" t="s">
        <v>255</v>
      </c>
      <c r="C42" s="30"/>
      <c r="D42" s="31" t="s">
        <v>256</v>
      </c>
      <c r="E42" s="31" t="s">
        <v>257</v>
      </c>
      <c r="F42" s="31" t="s">
        <v>15</v>
      </c>
      <c r="G42" s="31" t="s">
        <v>258</v>
      </c>
      <c r="H42" s="31" t="s">
        <v>26</v>
      </c>
      <c r="I42" s="31" t="s">
        <v>98</v>
      </c>
      <c r="J42" s="31" t="s">
        <v>259</v>
      </c>
      <c r="K42" s="31" t="s">
        <v>216</v>
      </c>
      <c r="L42" s="31" t="s">
        <v>260</v>
      </c>
    </row>
    <row r="43" spans="1:12" ht="30">
      <c r="A43" s="30" t="s">
        <v>182</v>
      </c>
      <c r="B43" s="30" t="s">
        <v>261</v>
      </c>
      <c r="C43" s="30"/>
      <c r="D43" s="31" t="s">
        <v>262</v>
      </c>
      <c r="E43" s="31" t="s">
        <v>263</v>
      </c>
      <c r="F43" s="31" t="s">
        <v>15</v>
      </c>
      <c r="G43" s="31" t="s">
        <v>264</v>
      </c>
      <c r="H43" s="31" t="s">
        <v>26</v>
      </c>
      <c r="I43" s="31" t="s">
        <v>98</v>
      </c>
      <c r="J43" s="31" t="s">
        <v>265</v>
      </c>
      <c r="K43" s="31" t="s">
        <v>216</v>
      </c>
      <c r="L43" s="31" t="s">
        <v>266</v>
      </c>
    </row>
    <row r="44" spans="1:12" ht="30">
      <c r="A44" s="30" t="s">
        <v>72</v>
      </c>
      <c r="B44" s="30" t="s">
        <v>267</v>
      </c>
      <c r="C44" s="30"/>
      <c r="D44" s="31" t="s">
        <v>268</v>
      </c>
      <c r="E44" s="31" t="s">
        <v>269</v>
      </c>
      <c r="F44" s="31" t="s">
        <v>15</v>
      </c>
      <c r="G44" s="31" t="s">
        <v>270</v>
      </c>
      <c r="H44" s="31" t="s">
        <v>26</v>
      </c>
      <c r="I44" s="31" t="s">
        <v>35</v>
      </c>
      <c r="J44" s="31" t="s">
        <v>271</v>
      </c>
      <c r="K44" s="31" t="s">
        <v>216</v>
      </c>
      <c r="L44" s="31" t="s">
        <v>272</v>
      </c>
    </row>
    <row r="45" spans="1:12" ht="30">
      <c r="A45" s="30" t="s">
        <v>193</v>
      </c>
      <c r="B45" s="30" t="s">
        <v>273</v>
      </c>
      <c r="C45" s="30"/>
      <c r="D45" s="31" t="s">
        <v>274</v>
      </c>
      <c r="E45" s="31" t="s">
        <v>275</v>
      </c>
      <c r="F45" s="31" t="s">
        <v>276</v>
      </c>
      <c r="G45" s="31" t="s">
        <v>277</v>
      </c>
      <c r="H45" s="31" t="s">
        <v>17</v>
      </c>
      <c r="I45" s="31" t="s">
        <v>18</v>
      </c>
      <c r="J45" s="31" t="s">
        <v>278</v>
      </c>
      <c r="K45" s="31" t="s">
        <v>216</v>
      </c>
      <c r="L45" s="31" t="s">
        <v>279</v>
      </c>
    </row>
    <row r="46" spans="1:12" ht="30">
      <c r="A46" s="30" t="s">
        <v>193</v>
      </c>
      <c r="B46" s="30" t="s">
        <v>280</v>
      </c>
      <c r="C46" s="30"/>
      <c r="D46" s="31" t="s">
        <v>281</v>
      </c>
      <c r="E46" s="31" t="s">
        <v>282</v>
      </c>
      <c r="F46" s="31" t="s">
        <v>276</v>
      </c>
      <c r="G46" s="31" t="s">
        <v>283</v>
      </c>
      <c r="H46" s="31" t="s">
        <v>17</v>
      </c>
      <c r="I46" s="31" t="s">
        <v>18</v>
      </c>
      <c r="J46" s="31" t="s">
        <v>284</v>
      </c>
      <c r="K46" s="31" t="s">
        <v>216</v>
      </c>
      <c r="L46" s="31" t="s">
        <v>285</v>
      </c>
    </row>
    <row r="47" spans="1:12" ht="30">
      <c r="A47" s="30" t="s">
        <v>193</v>
      </c>
      <c r="B47" s="30" t="s">
        <v>286</v>
      </c>
      <c r="C47" s="30"/>
      <c r="D47" s="31" t="s">
        <v>287</v>
      </c>
      <c r="E47" s="31" t="s">
        <v>288</v>
      </c>
      <c r="F47" s="31" t="s">
        <v>276</v>
      </c>
      <c r="G47" s="31" t="s">
        <v>289</v>
      </c>
      <c r="H47" s="31" t="s">
        <v>17</v>
      </c>
      <c r="I47" s="31" t="s">
        <v>31</v>
      </c>
      <c r="J47" s="31" t="s">
        <v>290</v>
      </c>
      <c r="K47" s="31" t="s">
        <v>216</v>
      </c>
      <c r="L47" s="31" t="s">
        <v>291</v>
      </c>
    </row>
    <row r="48" spans="1:12" ht="30">
      <c r="A48" s="30" t="s">
        <v>193</v>
      </c>
      <c r="B48" s="30" t="s">
        <v>292</v>
      </c>
      <c r="C48" s="30"/>
      <c r="D48" s="31" t="s">
        <v>293</v>
      </c>
      <c r="E48" s="31" t="s">
        <v>294</v>
      </c>
      <c r="F48" s="31" t="s">
        <v>276</v>
      </c>
      <c r="G48" s="31" t="s">
        <v>295</v>
      </c>
      <c r="H48" s="31" t="s">
        <v>17</v>
      </c>
      <c r="I48" s="31" t="s">
        <v>31</v>
      </c>
      <c r="J48" s="31" t="s">
        <v>296</v>
      </c>
      <c r="K48" s="31" t="s">
        <v>216</v>
      </c>
      <c r="L48" s="31" t="s">
        <v>297</v>
      </c>
    </row>
    <row r="49" spans="1:12" ht="30">
      <c r="A49" s="30" t="s">
        <v>193</v>
      </c>
      <c r="B49" s="30" t="s">
        <v>298</v>
      </c>
      <c r="C49" s="30"/>
      <c r="D49" s="31" t="s">
        <v>299</v>
      </c>
      <c r="E49" s="31" t="s">
        <v>300</v>
      </c>
      <c r="F49" s="31" t="s">
        <v>276</v>
      </c>
      <c r="G49" s="31" t="s">
        <v>301</v>
      </c>
      <c r="H49" s="31" t="s">
        <v>17</v>
      </c>
      <c r="I49" s="31" t="s">
        <v>18</v>
      </c>
      <c r="J49" s="31" t="s">
        <v>302</v>
      </c>
      <c r="K49" s="31" t="s">
        <v>216</v>
      </c>
      <c r="L49" s="31" t="s">
        <v>303</v>
      </c>
    </row>
    <row r="50" spans="1:12" ht="30">
      <c r="A50" s="30" t="s">
        <v>193</v>
      </c>
      <c r="B50" s="30" t="s">
        <v>211</v>
      </c>
      <c r="C50" s="30"/>
      <c r="D50" s="31" t="s">
        <v>304</v>
      </c>
      <c r="E50" s="31" t="s">
        <v>305</v>
      </c>
      <c r="F50" s="31" t="s">
        <v>276</v>
      </c>
      <c r="G50" s="31" t="s">
        <v>306</v>
      </c>
      <c r="H50" s="31" t="s">
        <v>17</v>
      </c>
      <c r="I50" s="31" t="s">
        <v>31</v>
      </c>
      <c r="J50" s="31" t="s">
        <v>307</v>
      </c>
      <c r="K50" s="31" t="s">
        <v>216</v>
      </c>
      <c r="L50" s="31" t="s">
        <v>285</v>
      </c>
    </row>
    <row r="51" spans="1:12" ht="30">
      <c r="A51" s="30" t="s">
        <v>193</v>
      </c>
      <c r="B51" s="30" t="s">
        <v>308</v>
      </c>
      <c r="C51" s="30"/>
      <c r="D51" s="31" t="s">
        <v>309</v>
      </c>
      <c r="E51" s="31" t="s">
        <v>310</v>
      </c>
      <c r="F51" s="31" t="s">
        <v>276</v>
      </c>
      <c r="G51" s="31" t="s">
        <v>311</v>
      </c>
      <c r="H51" s="31" t="s">
        <v>17</v>
      </c>
      <c r="I51" s="31" t="s">
        <v>31</v>
      </c>
      <c r="J51" s="31" t="s">
        <v>312</v>
      </c>
      <c r="K51" s="31" t="s">
        <v>216</v>
      </c>
      <c r="L51" s="31" t="s">
        <v>291</v>
      </c>
    </row>
    <row r="52" spans="1:12" ht="30">
      <c r="A52" s="30" t="s">
        <v>313</v>
      </c>
      <c r="B52" s="30" t="s">
        <v>314</v>
      </c>
      <c r="C52" s="30"/>
      <c r="D52" s="31" t="s">
        <v>315</v>
      </c>
      <c r="E52" s="31" t="s">
        <v>316</v>
      </c>
      <c r="F52" s="31" t="s">
        <v>317</v>
      </c>
      <c r="G52" s="31" t="s">
        <v>318</v>
      </c>
      <c r="H52" s="31" t="s">
        <v>26</v>
      </c>
      <c r="I52" s="31" t="s">
        <v>31</v>
      </c>
      <c r="J52" s="31" t="s">
        <v>319</v>
      </c>
      <c r="K52" s="31" t="s">
        <v>216</v>
      </c>
      <c r="L52" s="31"/>
    </row>
    <row r="53" spans="1:12" ht="30">
      <c r="A53" s="30" t="s">
        <v>313</v>
      </c>
      <c r="B53" s="30" t="s">
        <v>320</v>
      </c>
      <c r="C53" s="30"/>
      <c r="D53" s="31" t="s">
        <v>321</v>
      </c>
      <c r="E53" s="31" t="s">
        <v>322</v>
      </c>
      <c r="F53" s="31" t="s">
        <v>317</v>
      </c>
      <c r="G53" s="31" t="s">
        <v>323</v>
      </c>
      <c r="H53" s="31" t="s">
        <v>26</v>
      </c>
      <c r="I53" s="31" t="s">
        <v>31</v>
      </c>
      <c r="J53" s="31" t="s">
        <v>324</v>
      </c>
      <c r="K53" s="31" t="s">
        <v>216</v>
      </c>
      <c r="L53" s="31"/>
    </row>
    <row r="54" spans="1:12" ht="30">
      <c r="A54" s="30" t="s">
        <v>313</v>
      </c>
      <c r="B54" s="30" t="s">
        <v>211</v>
      </c>
      <c r="C54" s="30"/>
      <c r="D54" s="31" t="s">
        <v>325</v>
      </c>
      <c r="E54" s="31" t="s">
        <v>326</v>
      </c>
      <c r="F54" s="31" t="s">
        <v>317</v>
      </c>
      <c r="G54" s="31" t="s">
        <v>327</v>
      </c>
      <c r="H54" s="31" t="s">
        <v>26</v>
      </c>
      <c r="I54" s="31" t="s">
        <v>31</v>
      </c>
      <c r="J54" s="31" t="s">
        <v>328</v>
      </c>
      <c r="K54" s="31" t="s">
        <v>216</v>
      </c>
      <c r="L54" s="31" t="s">
        <v>329</v>
      </c>
    </row>
    <row r="55" spans="1:12" ht="30">
      <c r="A55" s="30" t="s">
        <v>313</v>
      </c>
      <c r="B55" s="30" t="s">
        <v>286</v>
      </c>
      <c r="C55" s="30"/>
      <c r="D55" s="31" t="s">
        <v>330</v>
      </c>
      <c r="E55" s="31" t="s">
        <v>331</v>
      </c>
      <c r="F55" s="31" t="s">
        <v>317</v>
      </c>
      <c r="G55" s="31" t="s">
        <v>332</v>
      </c>
      <c r="H55" s="31" t="s">
        <v>26</v>
      </c>
      <c r="I55" s="31" t="s">
        <v>31</v>
      </c>
      <c r="J55" s="31" t="s">
        <v>333</v>
      </c>
      <c r="K55" s="31" t="s">
        <v>216</v>
      </c>
      <c r="L55" s="31" t="s">
        <v>334</v>
      </c>
    </row>
    <row r="56" spans="1:12" ht="30">
      <c r="A56" s="30" t="s">
        <v>313</v>
      </c>
      <c r="B56" s="30" t="s">
        <v>335</v>
      </c>
      <c r="C56" s="30"/>
      <c r="D56" s="31" t="s">
        <v>336</v>
      </c>
      <c r="E56" s="31" t="s">
        <v>337</v>
      </c>
      <c r="F56" s="31" t="s">
        <v>317</v>
      </c>
      <c r="G56" s="31" t="s">
        <v>338</v>
      </c>
      <c r="H56" s="31" t="s">
        <v>26</v>
      </c>
      <c r="I56" s="31" t="s">
        <v>31</v>
      </c>
      <c r="J56" s="31" t="s">
        <v>339</v>
      </c>
      <c r="K56" s="31" t="s">
        <v>216</v>
      </c>
      <c r="L56" s="31" t="s">
        <v>334</v>
      </c>
    </row>
    <row r="57" spans="1:12" ht="30">
      <c r="A57" s="30" t="s">
        <v>313</v>
      </c>
      <c r="B57" s="30" t="s">
        <v>340</v>
      </c>
      <c r="C57" s="30"/>
      <c r="D57" s="31" t="s">
        <v>341</v>
      </c>
      <c r="E57" s="31" t="s">
        <v>342</v>
      </c>
      <c r="F57" s="31" t="s">
        <v>317</v>
      </c>
      <c r="G57" s="31" t="s">
        <v>343</v>
      </c>
      <c r="H57" s="31" t="s">
        <v>26</v>
      </c>
      <c r="I57" s="31" t="s">
        <v>31</v>
      </c>
      <c r="J57" s="31" t="s">
        <v>344</v>
      </c>
      <c r="K57" s="31" t="s">
        <v>216</v>
      </c>
      <c r="L57" s="31"/>
    </row>
    <row r="58" spans="1:12" ht="30">
      <c r="A58" s="30" t="s">
        <v>313</v>
      </c>
      <c r="B58" s="30" t="s">
        <v>345</v>
      </c>
      <c r="C58" s="30"/>
      <c r="D58" s="31" t="s">
        <v>346</v>
      </c>
      <c r="E58" s="31" t="s">
        <v>347</v>
      </c>
      <c r="F58" s="31" t="s">
        <v>317</v>
      </c>
      <c r="G58" s="31" t="s">
        <v>348</v>
      </c>
      <c r="H58" s="31" t="s">
        <v>26</v>
      </c>
      <c r="I58" s="31" t="s">
        <v>31</v>
      </c>
      <c r="J58" s="31" t="s">
        <v>349</v>
      </c>
      <c r="K58" s="31" t="s">
        <v>216</v>
      </c>
      <c r="L58" s="31"/>
    </row>
    <row r="59" spans="1:12" ht="30">
      <c r="A59" s="30" t="s">
        <v>350</v>
      </c>
      <c r="B59" s="30" t="s">
        <v>314</v>
      </c>
      <c r="C59" s="30"/>
      <c r="D59" s="31" t="s">
        <v>351</v>
      </c>
      <c r="E59" s="31" t="s">
        <v>352</v>
      </c>
      <c r="F59" s="31" t="s">
        <v>317</v>
      </c>
      <c r="G59" s="31" t="s">
        <v>353</v>
      </c>
      <c r="H59" s="31" t="s">
        <v>26</v>
      </c>
      <c r="I59" s="31" t="s">
        <v>354</v>
      </c>
      <c r="J59" s="31" t="s">
        <v>355</v>
      </c>
      <c r="K59" s="31" t="s">
        <v>216</v>
      </c>
      <c r="L59" s="31" t="s">
        <v>334</v>
      </c>
    </row>
    <row r="60" spans="1:12" ht="30">
      <c r="A60" s="30" t="s">
        <v>350</v>
      </c>
      <c r="B60" s="30" t="s">
        <v>356</v>
      </c>
      <c r="C60" s="30"/>
      <c r="D60" s="31" t="s">
        <v>357</v>
      </c>
      <c r="E60" s="31" t="s">
        <v>358</v>
      </c>
      <c r="F60" s="31" t="s">
        <v>317</v>
      </c>
      <c r="G60" s="31" t="s">
        <v>359</v>
      </c>
      <c r="H60" s="31" t="s">
        <v>26</v>
      </c>
      <c r="I60" s="31" t="s">
        <v>354</v>
      </c>
      <c r="J60" s="31" t="s">
        <v>360</v>
      </c>
      <c r="K60" s="31" t="s">
        <v>216</v>
      </c>
      <c r="L60" s="31" t="s">
        <v>334</v>
      </c>
    </row>
    <row r="61" spans="1:12" ht="30">
      <c r="A61" s="30" t="s">
        <v>350</v>
      </c>
      <c r="B61" s="30" t="s">
        <v>361</v>
      </c>
      <c r="C61" s="30"/>
      <c r="D61" s="31" t="s">
        <v>362</v>
      </c>
      <c r="E61" s="31" t="s">
        <v>363</v>
      </c>
      <c r="F61" s="31" t="s">
        <v>317</v>
      </c>
      <c r="G61" s="31" t="s">
        <v>364</v>
      </c>
      <c r="H61" s="31" t="s">
        <v>26</v>
      </c>
      <c r="I61" s="31" t="s">
        <v>354</v>
      </c>
      <c r="J61" s="31" t="s">
        <v>365</v>
      </c>
      <c r="K61" s="31" t="s">
        <v>216</v>
      </c>
      <c r="L61" s="31" t="s">
        <v>334</v>
      </c>
    </row>
    <row r="62" spans="1:12" ht="30">
      <c r="A62" s="30" t="s">
        <v>350</v>
      </c>
      <c r="B62" s="30" t="s">
        <v>366</v>
      </c>
      <c r="C62" s="30"/>
      <c r="D62" s="31" t="s">
        <v>367</v>
      </c>
      <c r="E62" s="31" t="s">
        <v>368</v>
      </c>
      <c r="F62" s="31" t="s">
        <v>317</v>
      </c>
      <c r="G62" s="31" t="s">
        <v>369</v>
      </c>
      <c r="H62" s="31" t="s">
        <v>26</v>
      </c>
      <c r="I62" s="31" t="s">
        <v>354</v>
      </c>
      <c r="J62" s="31" t="s">
        <v>370</v>
      </c>
      <c r="K62" s="31" t="s">
        <v>216</v>
      </c>
      <c r="L62" s="31" t="s">
        <v>334</v>
      </c>
    </row>
    <row r="63" spans="1:12" ht="30">
      <c r="A63" s="30" t="s">
        <v>371</v>
      </c>
      <c r="B63" s="30" t="s">
        <v>314</v>
      </c>
      <c r="C63" s="30"/>
      <c r="D63" s="31" t="s">
        <v>372</v>
      </c>
      <c r="E63" s="31" t="s">
        <v>373</v>
      </c>
      <c r="F63" s="31" t="s">
        <v>317</v>
      </c>
      <c r="G63" s="31" t="s">
        <v>374</v>
      </c>
      <c r="H63" s="31" t="s">
        <v>26</v>
      </c>
      <c r="I63" s="31" t="s">
        <v>375</v>
      </c>
      <c r="J63" s="31" t="s">
        <v>376</v>
      </c>
      <c r="K63" s="31" t="s">
        <v>216</v>
      </c>
      <c r="L63" s="31" t="s">
        <v>377</v>
      </c>
    </row>
    <row r="64" spans="1:12" ht="30">
      <c r="A64" s="30" t="s">
        <v>371</v>
      </c>
      <c r="B64" s="30" t="s">
        <v>378</v>
      </c>
      <c r="C64" s="30"/>
      <c r="D64" s="31" t="s">
        <v>379</v>
      </c>
      <c r="E64" s="31" t="s">
        <v>380</v>
      </c>
      <c r="F64" s="31" t="s">
        <v>317</v>
      </c>
      <c r="G64" s="31" t="s">
        <v>381</v>
      </c>
      <c r="H64" s="31" t="s">
        <v>26</v>
      </c>
      <c r="I64" s="31" t="s">
        <v>375</v>
      </c>
      <c r="J64" s="31" t="s">
        <v>382</v>
      </c>
      <c r="K64" s="31" t="s">
        <v>216</v>
      </c>
      <c r="L64" s="31" t="s">
        <v>383</v>
      </c>
    </row>
    <row r="65" spans="1:12" ht="30">
      <c r="A65" s="30" t="s">
        <v>371</v>
      </c>
      <c r="B65" s="30" t="s">
        <v>384</v>
      </c>
      <c r="C65" s="30"/>
      <c r="D65" s="31" t="s">
        <v>385</v>
      </c>
      <c r="E65" s="31" t="s">
        <v>386</v>
      </c>
      <c r="F65" s="31" t="s">
        <v>317</v>
      </c>
      <c r="G65" s="31" t="s">
        <v>387</v>
      </c>
      <c r="H65" s="31" t="s">
        <v>26</v>
      </c>
      <c r="I65" s="31" t="s">
        <v>375</v>
      </c>
      <c r="J65" s="31" t="s">
        <v>388</v>
      </c>
      <c r="K65" s="31" t="s">
        <v>216</v>
      </c>
      <c r="L65" s="31" t="s">
        <v>389</v>
      </c>
    </row>
    <row r="66" spans="1:12" ht="30">
      <c r="A66" s="30" t="s">
        <v>371</v>
      </c>
      <c r="B66" s="30" t="s">
        <v>73</v>
      </c>
      <c r="C66" s="30"/>
      <c r="D66" s="31" t="s">
        <v>390</v>
      </c>
      <c r="E66" s="31" t="s">
        <v>391</v>
      </c>
      <c r="F66" s="31" t="s">
        <v>317</v>
      </c>
      <c r="G66" s="31" t="s">
        <v>392</v>
      </c>
      <c r="H66" s="31" t="s">
        <v>26</v>
      </c>
      <c r="I66" s="31" t="s">
        <v>375</v>
      </c>
      <c r="J66" s="31" t="s">
        <v>393</v>
      </c>
      <c r="K66" s="31" t="s">
        <v>216</v>
      </c>
      <c r="L66" s="31" t="s">
        <v>389</v>
      </c>
    </row>
    <row r="67" spans="1:12">
      <c r="A67" t="s">
        <v>394</v>
      </c>
      <c r="B67" t="s">
        <v>395</v>
      </c>
      <c r="C67" t="s">
        <v>396</v>
      </c>
      <c r="D67" t="s">
        <v>146</v>
      </c>
      <c r="E67" t="s">
        <v>396</v>
      </c>
      <c r="F67" t="s">
        <v>15</v>
      </c>
      <c r="G67" t="s">
        <v>397</v>
      </c>
      <c r="H67" t="s">
        <v>26</v>
      </c>
      <c r="I67" t="s">
        <v>35</v>
      </c>
      <c r="J67" t="s">
        <v>398</v>
      </c>
      <c r="K67" t="s">
        <v>20</v>
      </c>
      <c r="L67" t="s">
        <v>399</v>
      </c>
    </row>
    <row r="68" spans="1:12">
      <c r="A68" t="s">
        <v>394</v>
      </c>
      <c r="B68" t="s">
        <v>395</v>
      </c>
      <c r="C68" t="s">
        <v>400</v>
      </c>
      <c r="D68" t="s">
        <v>152</v>
      </c>
      <c r="E68" t="s">
        <v>400</v>
      </c>
      <c r="F68" t="s">
        <v>15</v>
      </c>
      <c r="G68" t="s">
        <v>401</v>
      </c>
      <c r="H68" t="s">
        <v>26</v>
      </c>
      <c r="I68" t="s">
        <v>35</v>
      </c>
      <c r="J68" t="s">
        <v>402</v>
      </c>
      <c r="K68" t="s">
        <v>20</v>
      </c>
      <c r="L68" t="s">
        <v>403</v>
      </c>
    </row>
    <row r="69" spans="1:12">
      <c r="A69" t="s">
        <v>394</v>
      </c>
      <c r="B69" t="s">
        <v>395</v>
      </c>
      <c r="C69" t="s">
        <v>404</v>
      </c>
      <c r="D69" t="s">
        <v>158</v>
      </c>
      <c r="E69" t="s">
        <v>404</v>
      </c>
      <c r="F69" t="s">
        <v>15</v>
      </c>
      <c r="G69" t="s">
        <v>405</v>
      </c>
      <c r="H69" t="s">
        <v>26</v>
      </c>
      <c r="I69" t="s">
        <v>35</v>
      </c>
      <c r="J69" t="s">
        <v>406</v>
      </c>
      <c r="K69" t="s">
        <v>20</v>
      </c>
      <c r="L69" t="s">
        <v>403</v>
      </c>
    </row>
    <row r="70" spans="1:12">
      <c r="A70" t="s">
        <v>407</v>
      </c>
      <c r="B70" t="s">
        <v>73</v>
      </c>
      <c r="C70" t="s">
        <v>408</v>
      </c>
      <c r="D70" t="s">
        <v>164</v>
      </c>
      <c r="E70" t="s">
        <v>408</v>
      </c>
      <c r="F70" t="s">
        <v>15</v>
      </c>
      <c r="G70" t="s">
        <v>409</v>
      </c>
      <c r="H70" t="s">
        <v>26</v>
      </c>
      <c r="I70" t="s">
        <v>410</v>
      </c>
      <c r="J70" t="s">
        <v>411</v>
      </c>
      <c r="K70" t="s">
        <v>20</v>
      </c>
      <c r="L70" t="s">
        <v>403</v>
      </c>
    </row>
    <row r="71" spans="1:12">
      <c r="A71" t="s">
        <v>407</v>
      </c>
      <c r="B71" t="s">
        <v>73</v>
      </c>
      <c r="C71" t="s">
        <v>412</v>
      </c>
      <c r="D71" t="s">
        <v>413</v>
      </c>
      <c r="E71" t="s">
        <v>412</v>
      </c>
      <c r="F71" t="s">
        <v>15</v>
      </c>
      <c r="G71" t="s">
        <v>414</v>
      </c>
      <c r="H71" t="s">
        <v>26</v>
      </c>
      <c r="I71" t="s">
        <v>35</v>
      </c>
      <c r="J71" t="s">
        <v>415</v>
      </c>
      <c r="K71" t="s">
        <v>20</v>
      </c>
      <c r="L71" t="s">
        <v>403</v>
      </c>
    </row>
    <row r="72" spans="1:12">
      <c r="A72" t="s">
        <v>407</v>
      </c>
      <c r="B72" t="s">
        <v>73</v>
      </c>
      <c r="C72" t="s">
        <v>416</v>
      </c>
      <c r="D72" t="s">
        <v>417</v>
      </c>
      <c r="E72" t="s">
        <v>416</v>
      </c>
      <c r="F72" t="s">
        <v>15</v>
      </c>
      <c r="G72" t="s">
        <v>418</v>
      </c>
      <c r="H72" t="s">
        <v>26</v>
      </c>
      <c r="I72" t="s">
        <v>35</v>
      </c>
      <c r="J72" t="s">
        <v>419</v>
      </c>
      <c r="K72" t="s">
        <v>20</v>
      </c>
      <c r="L72" t="s">
        <v>403</v>
      </c>
    </row>
    <row r="73" spans="1:12">
      <c r="A73" t="s">
        <v>100</v>
      </c>
      <c r="B73" t="s">
        <v>420</v>
      </c>
      <c r="C73" t="s">
        <v>421</v>
      </c>
      <c r="D73" t="s">
        <v>422</v>
      </c>
      <c r="E73" t="s">
        <v>421</v>
      </c>
      <c r="F73" t="s">
        <v>15</v>
      </c>
      <c r="G73" t="s">
        <v>423</v>
      </c>
      <c r="H73" t="s">
        <v>26</v>
      </c>
      <c r="I73" t="s">
        <v>63</v>
      </c>
      <c r="J73" t="s">
        <v>424</v>
      </c>
      <c r="K73" t="s">
        <v>20</v>
      </c>
      <c r="L73" t="s">
        <v>403</v>
      </c>
    </row>
  </sheetData>
  <autoFilter ref="A1:L1" xr:uid="{00000000-0009-0000-0000-000000000000}"/>
  <phoneticPr fontId="15" type="noConversion"/>
  <dataValidations count="3">
    <dataValidation type="list" allowBlank="1" sqref="F2:F200" xr:uid="{00000000-0002-0000-0000-000000000000}">
      <formula1>"Web,App (iOS),App (Android),Web + App,공통"</formula1>
    </dataValidation>
    <dataValidation type="list" allowBlank="1" sqref="H2:H200" xr:uid="{00000000-0002-0000-0000-000001000000}">
      <formula1>"Y,N"</formula1>
    </dataValidation>
    <dataValidation type="list" allowBlank="1" sqref="K2:K200" xr:uid="{00000000-0002-0000-0000-000002000000}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workbookViewId="0"/>
  </sheetViews>
  <sheetFormatPr baseColWidth="10" defaultColWidth="8.83203125" defaultRowHeight="17"/>
  <cols>
    <col min="1" max="1" width="12" customWidth="1"/>
    <col min="2" max="2" width="14" customWidth="1"/>
    <col min="3" max="3" width="12" customWidth="1"/>
    <col min="4" max="4" width="40" customWidth="1"/>
    <col min="5" max="5" width="35" customWidth="1"/>
    <col min="6" max="6" width="12" customWidth="1"/>
    <col min="7" max="7" width="10" customWidth="1"/>
    <col min="8" max="8" width="8" customWidth="1"/>
    <col min="9" max="10" width="12" customWidth="1"/>
    <col min="11" max="11" width="18" customWidth="1"/>
    <col min="12" max="12" width="12" customWidth="1"/>
    <col min="13" max="13" width="20" customWidth="1"/>
  </cols>
  <sheetData>
    <row r="1" spans="1:13">
      <c r="A1" s="1" t="s">
        <v>425</v>
      </c>
      <c r="B1" s="1" t="s">
        <v>426</v>
      </c>
      <c r="C1" s="1" t="s">
        <v>427</v>
      </c>
      <c r="D1" s="1" t="s">
        <v>428</v>
      </c>
      <c r="E1" s="1" t="s">
        <v>429</v>
      </c>
      <c r="F1" s="1" t="s">
        <v>3</v>
      </c>
      <c r="G1" s="1" t="s">
        <v>430</v>
      </c>
      <c r="H1" s="1" t="s">
        <v>431</v>
      </c>
      <c r="I1" s="1" t="s">
        <v>432</v>
      </c>
      <c r="J1" s="1" t="s">
        <v>10</v>
      </c>
      <c r="K1" s="1" t="s">
        <v>433</v>
      </c>
      <c r="L1" s="1" t="s">
        <v>434</v>
      </c>
      <c r="M1" s="1" t="s">
        <v>11</v>
      </c>
    </row>
    <row r="2" spans="1:13" ht="60">
      <c r="A2" s="30" t="s">
        <v>435</v>
      </c>
      <c r="B2" s="30" t="s">
        <v>12</v>
      </c>
      <c r="C2" s="30" t="s">
        <v>18</v>
      </c>
      <c r="D2" s="31" t="s">
        <v>436</v>
      </c>
      <c r="E2" s="31" t="s">
        <v>437</v>
      </c>
      <c r="F2" s="31" t="s">
        <v>14</v>
      </c>
      <c r="G2" s="31" t="s">
        <v>438</v>
      </c>
      <c r="H2" s="31" t="s">
        <v>439</v>
      </c>
      <c r="I2" s="31" t="s">
        <v>440</v>
      </c>
      <c r="J2" s="31" t="s">
        <v>441</v>
      </c>
      <c r="K2" s="31" t="s">
        <v>13</v>
      </c>
      <c r="L2" s="31">
        <v>1</v>
      </c>
      <c r="M2" s="31"/>
    </row>
    <row r="3" spans="1:13" ht="60">
      <c r="A3" s="30" t="s">
        <v>442</v>
      </c>
      <c r="B3" s="30" t="s">
        <v>22</v>
      </c>
      <c r="C3" s="30" t="s">
        <v>443</v>
      </c>
      <c r="D3" s="31" t="s">
        <v>444</v>
      </c>
      <c r="E3" s="31" t="s">
        <v>445</v>
      </c>
      <c r="F3" s="31" t="s">
        <v>24</v>
      </c>
      <c r="G3" s="31" t="s">
        <v>438</v>
      </c>
      <c r="H3" s="31" t="s">
        <v>446</v>
      </c>
      <c r="I3" s="31" t="s">
        <v>440</v>
      </c>
      <c r="J3" s="31" t="s">
        <v>441</v>
      </c>
      <c r="K3" s="31" t="s">
        <v>22</v>
      </c>
      <c r="L3" s="31">
        <v>1</v>
      </c>
      <c r="M3" s="31"/>
    </row>
    <row r="4" spans="1:13" ht="45">
      <c r="A4" s="30" t="s">
        <v>447</v>
      </c>
      <c r="B4" s="30" t="s">
        <v>30</v>
      </c>
      <c r="C4" s="30" t="s">
        <v>448</v>
      </c>
      <c r="D4" s="31" t="s">
        <v>449</v>
      </c>
      <c r="E4" s="31" t="s">
        <v>450</v>
      </c>
      <c r="F4" s="31" t="s">
        <v>32</v>
      </c>
      <c r="G4" s="31" t="s">
        <v>438</v>
      </c>
      <c r="H4" s="31" t="s">
        <v>446</v>
      </c>
      <c r="I4" s="31" t="s">
        <v>440</v>
      </c>
      <c r="J4" s="31" t="s">
        <v>441</v>
      </c>
      <c r="K4" s="31" t="s">
        <v>33</v>
      </c>
      <c r="L4" s="31">
        <v>2</v>
      </c>
      <c r="M4" s="31"/>
    </row>
    <row r="5" spans="1:13" ht="45">
      <c r="A5" s="30" t="s">
        <v>451</v>
      </c>
      <c r="B5" s="30" t="s">
        <v>30</v>
      </c>
      <c r="C5" s="30" t="s">
        <v>448</v>
      </c>
      <c r="D5" s="31" t="s">
        <v>452</v>
      </c>
      <c r="E5" s="31" t="s">
        <v>453</v>
      </c>
      <c r="F5" s="31" t="s">
        <v>43</v>
      </c>
      <c r="G5" s="31" t="s">
        <v>438</v>
      </c>
      <c r="H5" s="31" t="s">
        <v>446</v>
      </c>
      <c r="I5" s="31" t="s">
        <v>440</v>
      </c>
      <c r="J5" s="31" t="s">
        <v>441</v>
      </c>
      <c r="K5" s="31" t="s">
        <v>44</v>
      </c>
      <c r="L5" s="31">
        <v>0</v>
      </c>
      <c r="M5" s="31"/>
    </row>
    <row r="6" spans="1:13" ht="45">
      <c r="A6" s="30" t="s">
        <v>454</v>
      </c>
      <c r="B6" s="30" t="s">
        <v>30</v>
      </c>
      <c r="C6" s="30" t="s">
        <v>448</v>
      </c>
      <c r="D6" s="31" t="s">
        <v>455</v>
      </c>
      <c r="E6" s="31" t="s">
        <v>456</v>
      </c>
      <c r="F6" s="31" t="s">
        <v>38</v>
      </c>
      <c r="G6" s="31" t="s">
        <v>457</v>
      </c>
      <c r="H6" s="31" t="s">
        <v>458</v>
      </c>
      <c r="I6" s="31" t="s">
        <v>440</v>
      </c>
      <c r="J6" s="31" t="s">
        <v>441</v>
      </c>
      <c r="K6" s="31" t="s">
        <v>39</v>
      </c>
      <c r="L6" s="31">
        <v>2</v>
      </c>
      <c r="M6" s="31"/>
    </row>
    <row r="7" spans="1:13" ht="45">
      <c r="A7" s="30" t="s">
        <v>459</v>
      </c>
      <c r="B7" s="30" t="s">
        <v>30</v>
      </c>
      <c r="C7" s="30" t="s">
        <v>448</v>
      </c>
      <c r="D7" s="31" t="s">
        <v>460</v>
      </c>
      <c r="E7" s="31" t="s">
        <v>461</v>
      </c>
      <c r="F7" s="31" t="s">
        <v>47</v>
      </c>
      <c r="G7" s="31" t="s">
        <v>457</v>
      </c>
      <c r="H7" s="31" t="s">
        <v>439</v>
      </c>
      <c r="I7" s="31" t="s">
        <v>440</v>
      </c>
      <c r="J7" s="31" t="s">
        <v>441</v>
      </c>
      <c r="K7" s="31" t="s">
        <v>48</v>
      </c>
      <c r="L7" s="31">
        <v>0</v>
      </c>
      <c r="M7" s="31"/>
    </row>
    <row r="8" spans="1:13" ht="45">
      <c r="A8" s="30" t="s">
        <v>462</v>
      </c>
      <c r="B8" s="30" t="s">
        <v>30</v>
      </c>
      <c r="C8" s="30" t="s">
        <v>375</v>
      </c>
      <c r="D8" s="31" t="s">
        <v>463</v>
      </c>
      <c r="E8" s="31" t="s">
        <v>464</v>
      </c>
      <c r="F8" s="31" t="s">
        <v>52</v>
      </c>
      <c r="G8" s="31" t="s">
        <v>457</v>
      </c>
      <c r="H8" s="31" t="s">
        <v>446</v>
      </c>
      <c r="I8" s="31" t="s">
        <v>465</v>
      </c>
      <c r="J8" s="31" t="s">
        <v>441</v>
      </c>
      <c r="K8" s="31" t="s">
        <v>53</v>
      </c>
      <c r="L8" s="31">
        <v>1</v>
      </c>
      <c r="M8" s="31"/>
    </row>
    <row r="9" spans="1:13" ht="45">
      <c r="A9" s="30" t="s">
        <v>466</v>
      </c>
      <c r="B9" s="30" t="s">
        <v>467</v>
      </c>
      <c r="C9" s="30" t="s">
        <v>468</v>
      </c>
      <c r="D9" s="31" t="s">
        <v>469</v>
      </c>
      <c r="E9" s="31" t="s">
        <v>470</v>
      </c>
      <c r="F9" s="31" t="s">
        <v>60</v>
      </c>
      <c r="G9" s="31" t="s">
        <v>457</v>
      </c>
      <c r="H9" s="31" t="s">
        <v>446</v>
      </c>
      <c r="I9" s="31" t="s">
        <v>465</v>
      </c>
      <c r="J9" s="31" t="s">
        <v>441</v>
      </c>
      <c r="K9" s="31" t="s">
        <v>61</v>
      </c>
      <c r="L9" s="31">
        <v>1</v>
      </c>
      <c r="M9" s="31"/>
    </row>
    <row r="10" spans="1:13" ht="45">
      <c r="A10" s="30" t="s">
        <v>471</v>
      </c>
      <c r="B10" s="30" t="s">
        <v>467</v>
      </c>
      <c r="C10" s="30" t="s">
        <v>468</v>
      </c>
      <c r="D10" s="31" t="s">
        <v>472</v>
      </c>
      <c r="E10" s="31" t="s">
        <v>473</v>
      </c>
      <c r="F10" s="31" t="s">
        <v>67</v>
      </c>
      <c r="G10" s="31" t="s">
        <v>457</v>
      </c>
      <c r="H10" s="31" t="s">
        <v>458</v>
      </c>
      <c r="I10" s="31" t="s">
        <v>465</v>
      </c>
      <c r="J10" s="31" t="s">
        <v>441</v>
      </c>
      <c r="K10" s="31" t="s">
        <v>68</v>
      </c>
      <c r="L10" s="31">
        <v>1</v>
      </c>
      <c r="M10" s="31"/>
    </row>
    <row r="11" spans="1:13" ht="60">
      <c r="A11" s="30" t="s">
        <v>474</v>
      </c>
      <c r="B11" s="30" t="s">
        <v>407</v>
      </c>
      <c r="C11" s="30" t="s">
        <v>448</v>
      </c>
      <c r="D11" s="31" t="s">
        <v>475</v>
      </c>
      <c r="E11" s="31" t="s">
        <v>476</v>
      </c>
      <c r="F11" s="31" t="s">
        <v>74</v>
      </c>
      <c r="G11" s="31" t="s">
        <v>438</v>
      </c>
      <c r="H11" s="31" t="s">
        <v>458</v>
      </c>
      <c r="I11" s="31" t="s">
        <v>440</v>
      </c>
      <c r="J11" s="31" t="s">
        <v>441</v>
      </c>
      <c r="K11" s="31" t="s">
        <v>75</v>
      </c>
      <c r="L11" s="31">
        <v>2</v>
      </c>
      <c r="M11" s="31"/>
    </row>
    <row r="12" spans="1:13" ht="60">
      <c r="A12" s="30" t="s">
        <v>477</v>
      </c>
      <c r="B12" s="30" t="s">
        <v>407</v>
      </c>
      <c r="C12" s="30" t="s">
        <v>468</v>
      </c>
      <c r="D12" s="31" t="s">
        <v>478</v>
      </c>
      <c r="E12" s="31" t="s">
        <v>479</v>
      </c>
      <c r="F12" s="31" t="s">
        <v>80</v>
      </c>
      <c r="G12" s="31" t="s">
        <v>438</v>
      </c>
      <c r="H12" s="31" t="s">
        <v>480</v>
      </c>
      <c r="I12" s="31" t="s">
        <v>440</v>
      </c>
      <c r="J12" s="31" t="s">
        <v>441</v>
      </c>
      <c r="K12" s="31" t="s">
        <v>79</v>
      </c>
      <c r="L12" s="31">
        <v>0</v>
      </c>
      <c r="M12" s="31"/>
    </row>
    <row r="13" spans="1:13" ht="45">
      <c r="A13" s="30" t="s">
        <v>481</v>
      </c>
      <c r="B13" s="30" t="s">
        <v>89</v>
      </c>
      <c r="C13" s="30" t="s">
        <v>448</v>
      </c>
      <c r="D13" s="31" t="s">
        <v>482</v>
      </c>
      <c r="E13" s="31" t="s">
        <v>483</v>
      </c>
      <c r="F13" s="31" t="s">
        <v>91</v>
      </c>
      <c r="G13" s="31" t="s">
        <v>457</v>
      </c>
      <c r="H13" s="31" t="s">
        <v>446</v>
      </c>
      <c r="I13" s="31" t="s">
        <v>465</v>
      </c>
      <c r="J13" s="31" t="s">
        <v>441</v>
      </c>
      <c r="K13" s="31" t="s">
        <v>92</v>
      </c>
      <c r="L13" s="31">
        <v>2</v>
      </c>
      <c r="M13" s="31"/>
    </row>
    <row r="14" spans="1:13" ht="45">
      <c r="A14" s="30" t="s">
        <v>484</v>
      </c>
      <c r="B14" s="30" t="s">
        <v>89</v>
      </c>
      <c r="C14" s="30" t="s">
        <v>443</v>
      </c>
      <c r="D14" s="31" t="s">
        <v>485</v>
      </c>
      <c r="E14" s="31" t="s">
        <v>486</v>
      </c>
      <c r="F14" s="31" t="s">
        <v>95</v>
      </c>
      <c r="G14" s="31" t="s">
        <v>457</v>
      </c>
      <c r="H14" s="31" t="s">
        <v>446</v>
      </c>
      <c r="I14" s="31" t="s">
        <v>465</v>
      </c>
      <c r="J14" s="31" t="s">
        <v>441</v>
      </c>
      <c r="K14" s="31" t="s">
        <v>96</v>
      </c>
      <c r="L14" s="31">
        <v>2</v>
      </c>
      <c r="M14" s="31"/>
    </row>
    <row r="15" spans="1:13" ht="45">
      <c r="A15" s="30" t="s">
        <v>487</v>
      </c>
      <c r="B15" s="30" t="s">
        <v>100</v>
      </c>
      <c r="C15" s="30" t="s">
        <v>468</v>
      </c>
      <c r="D15" s="31" t="s">
        <v>488</v>
      </c>
      <c r="E15" s="31" t="s">
        <v>489</v>
      </c>
      <c r="F15" s="31" t="s">
        <v>102</v>
      </c>
      <c r="G15" s="31" t="s">
        <v>457</v>
      </c>
      <c r="H15" s="31" t="s">
        <v>446</v>
      </c>
      <c r="I15" s="31" t="s">
        <v>465</v>
      </c>
      <c r="J15" s="31" t="s">
        <v>441</v>
      </c>
      <c r="K15" s="31" t="s">
        <v>103</v>
      </c>
      <c r="L15" s="31">
        <v>2</v>
      </c>
      <c r="M15" s="31"/>
    </row>
    <row r="16" spans="1:13" ht="45">
      <c r="A16" s="30" t="s">
        <v>490</v>
      </c>
      <c r="B16" s="30" t="s">
        <v>100</v>
      </c>
      <c r="C16" s="30" t="s">
        <v>448</v>
      </c>
      <c r="D16" s="31" t="s">
        <v>491</v>
      </c>
      <c r="E16" s="31" t="s">
        <v>492</v>
      </c>
      <c r="F16" s="31" t="s">
        <v>107</v>
      </c>
      <c r="G16" s="31" t="s">
        <v>457</v>
      </c>
      <c r="H16" s="31" t="s">
        <v>446</v>
      </c>
      <c r="I16" s="31" t="s">
        <v>465</v>
      </c>
      <c r="J16" s="31" t="s">
        <v>441</v>
      </c>
      <c r="K16" s="31" t="s">
        <v>108</v>
      </c>
      <c r="L16" s="31">
        <v>0</v>
      </c>
      <c r="M16" s="31"/>
    </row>
    <row r="17" spans="1:13" ht="45">
      <c r="A17" s="30" t="s">
        <v>493</v>
      </c>
      <c r="B17" s="30" t="s">
        <v>100</v>
      </c>
      <c r="C17" s="30" t="s">
        <v>448</v>
      </c>
      <c r="D17" s="31" t="s">
        <v>494</v>
      </c>
      <c r="E17" s="31" t="s">
        <v>495</v>
      </c>
      <c r="F17" s="31" t="s">
        <v>113</v>
      </c>
      <c r="G17" s="31" t="s">
        <v>496</v>
      </c>
      <c r="H17" s="31" t="s">
        <v>439</v>
      </c>
      <c r="I17" s="31" t="s">
        <v>465</v>
      </c>
      <c r="J17" s="31" t="s">
        <v>441</v>
      </c>
      <c r="K17" s="31" t="s">
        <v>114</v>
      </c>
      <c r="L17" s="31">
        <v>1</v>
      </c>
      <c r="M17" s="31"/>
    </row>
    <row r="18" spans="1:13" ht="45">
      <c r="A18" s="30" t="s">
        <v>497</v>
      </c>
      <c r="B18" s="30" t="s">
        <v>100</v>
      </c>
      <c r="C18" s="30" t="s">
        <v>448</v>
      </c>
      <c r="D18" s="31" t="s">
        <v>498</v>
      </c>
      <c r="E18" s="31" t="s">
        <v>499</v>
      </c>
      <c r="F18" s="31" t="s">
        <v>119</v>
      </c>
      <c r="G18" s="31" t="s">
        <v>496</v>
      </c>
      <c r="H18" s="31" t="s">
        <v>439</v>
      </c>
      <c r="I18" s="31" t="s">
        <v>465</v>
      </c>
      <c r="J18" s="31" t="s">
        <v>441</v>
      </c>
      <c r="K18" s="31" t="s">
        <v>120</v>
      </c>
      <c r="L18" s="31">
        <v>1</v>
      </c>
      <c r="M18" s="31"/>
    </row>
    <row r="19" spans="1:13" ht="45">
      <c r="A19" s="30" t="s">
        <v>500</v>
      </c>
      <c r="B19" s="30" t="s">
        <v>123</v>
      </c>
      <c r="C19" s="30" t="s">
        <v>443</v>
      </c>
      <c r="D19" s="31" t="s">
        <v>501</v>
      </c>
      <c r="E19" s="31" t="s">
        <v>502</v>
      </c>
      <c r="F19" s="31" t="s">
        <v>125</v>
      </c>
      <c r="G19" s="31" t="s">
        <v>457</v>
      </c>
      <c r="H19" s="31" t="s">
        <v>446</v>
      </c>
      <c r="I19" s="31" t="s">
        <v>440</v>
      </c>
      <c r="J19" s="31" t="s">
        <v>441</v>
      </c>
      <c r="K19" s="31" t="s">
        <v>126</v>
      </c>
      <c r="L19" s="31">
        <v>2</v>
      </c>
      <c r="M19" s="31"/>
    </row>
    <row r="20" spans="1:13" ht="45">
      <c r="A20" s="30" t="s">
        <v>503</v>
      </c>
      <c r="B20" s="30" t="s">
        <v>123</v>
      </c>
      <c r="C20" s="30" t="s">
        <v>443</v>
      </c>
      <c r="D20" s="31" t="s">
        <v>504</v>
      </c>
      <c r="E20" s="31" t="s">
        <v>505</v>
      </c>
      <c r="F20" s="31" t="s">
        <v>130</v>
      </c>
      <c r="G20" s="31" t="s">
        <v>457</v>
      </c>
      <c r="H20" s="31" t="s">
        <v>446</v>
      </c>
      <c r="I20" s="31" t="s">
        <v>440</v>
      </c>
      <c r="J20" s="31" t="s">
        <v>441</v>
      </c>
      <c r="K20" s="31" t="s">
        <v>131</v>
      </c>
      <c r="L20" s="31">
        <v>0</v>
      </c>
      <c r="M20" s="31"/>
    </row>
    <row r="21" spans="1:13" ht="45">
      <c r="A21" s="30" t="s">
        <v>506</v>
      </c>
      <c r="B21" s="30" t="s">
        <v>123</v>
      </c>
      <c r="C21" s="30" t="s">
        <v>443</v>
      </c>
      <c r="D21" s="31" t="s">
        <v>507</v>
      </c>
      <c r="E21" s="31" t="s">
        <v>508</v>
      </c>
      <c r="F21" s="31" t="s">
        <v>135</v>
      </c>
      <c r="G21" s="31" t="s">
        <v>457</v>
      </c>
      <c r="H21" s="31" t="s">
        <v>458</v>
      </c>
      <c r="I21" s="31" t="s">
        <v>440</v>
      </c>
      <c r="J21" s="31" t="s">
        <v>441</v>
      </c>
      <c r="K21" s="31" t="s">
        <v>136</v>
      </c>
      <c r="L21" s="31">
        <v>2</v>
      </c>
      <c r="M21" s="31"/>
    </row>
    <row r="22" spans="1:13" ht="45">
      <c r="A22" s="30" t="s">
        <v>509</v>
      </c>
      <c r="B22" s="30" t="s">
        <v>123</v>
      </c>
      <c r="C22" s="30" t="s">
        <v>443</v>
      </c>
      <c r="D22" s="31" t="s">
        <v>510</v>
      </c>
      <c r="E22" s="31" t="s">
        <v>511</v>
      </c>
      <c r="F22" s="31" t="s">
        <v>140</v>
      </c>
      <c r="G22" s="31" t="s">
        <v>496</v>
      </c>
      <c r="H22" s="31" t="s">
        <v>446</v>
      </c>
      <c r="I22" s="31" t="s">
        <v>440</v>
      </c>
      <c r="J22" s="31" t="s">
        <v>441</v>
      </c>
      <c r="K22" s="31" t="s">
        <v>141</v>
      </c>
      <c r="L22" s="31">
        <v>0</v>
      </c>
      <c r="M22" s="31"/>
    </row>
    <row r="23" spans="1:13" ht="45">
      <c r="A23" s="30" t="s">
        <v>512</v>
      </c>
      <c r="B23" s="30" t="s">
        <v>144</v>
      </c>
      <c r="C23" s="30" t="s">
        <v>448</v>
      </c>
      <c r="D23" s="31" t="s">
        <v>513</v>
      </c>
      <c r="E23" s="31" t="s">
        <v>514</v>
      </c>
      <c r="F23" s="31" t="s">
        <v>146</v>
      </c>
      <c r="G23" s="31" t="s">
        <v>457</v>
      </c>
      <c r="H23" s="31" t="s">
        <v>458</v>
      </c>
      <c r="I23" s="31" t="s">
        <v>465</v>
      </c>
      <c r="J23" s="31" t="s">
        <v>441</v>
      </c>
      <c r="K23" s="31" t="s">
        <v>147</v>
      </c>
      <c r="L23" s="31">
        <v>2</v>
      </c>
      <c r="M23" s="31"/>
    </row>
    <row r="24" spans="1:13" ht="45">
      <c r="A24" s="30" t="s">
        <v>515</v>
      </c>
      <c r="B24" s="30" t="s">
        <v>144</v>
      </c>
      <c r="C24" s="30" t="s">
        <v>448</v>
      </c>
      <c r="D24" s="31" t="s">
        <v>516</v>
      </c>
      <c r="E24" s="31" t="s">
        <v>517</v>
      </c>
      <c r="F24" s="31" t="s">
        <v>152</v>
      </c>
      <c r="G24" s="31" t="s">
        <v>496</v>
      </c>
      <c r="H24" s="31" t="s">
        <v>446</v>
      </c>
      <c r="I24" s="31" t="s">
        <v>465</v>
      </c>
      <c r="J24" s="31" t="s">
        <v>441</v>
      </c>
      <c r="K24" s="31" t="s">
        <v>153</v>
      </c>
      <c r="L24" s="31">
        <v>0</v>
      </c>
      <c r="M24" s="31"/>
    </row>
    <row r="25" spans="1:13" ht="45">
      <c r="A25" s="30" t="s">
        <v>518</v>
      </c>
      <c r="B25" s="30" t="s">
        <v>144</v>
      </c>
      <c r="C25" s="30" t="s">
        <v>448</v>
      </c>
      <c r="D25" s="31" t="s">
        <v>519</v>
      </c>
      <c r="E25" s="31" t="s">
        <v>520</v>
      </c>
      <c r="F25" s="31" t="s">
        <v>158</v>
      </c>
      <c r="G25" s="31" t="s">
        <v>496</v>
      </c>
      <c r="H25" s="31" t="s">
        <v>446</v>
      </c>
      <c r="I25" s="31" t="s">
        <v>465</v>
      </c>
      <c r="J25" s="31" t="s">
        <v>441</v>
      </c>
      <c r="K25" s="31" t="s">
        <v>159</v>
      </c>
      <c r="L25" s="31">
        <v>2</v>
      </c>
      <c r="M25" s="31"/>
    </row>
    <row r="26" spans="1:13" ht="45">
      <c r="A26" s="30" t="s">
        <v>521</v>
      </c>
      <c r="B26" s="30" t="s">
        <v>144</v>
      </c>
      <c r="C26" s="30" t="s">
        <v>448</v>
      </c>
      <c r="D26" s="31" t="s">
        <v>522</v>
      </c>
      <c r="E26" s="31" t="s">
        <v>523</v>
      </c>
      <c r="F26" s="31" t="s">
        <v>164</v>
      </c>
      <c r="G26" s="31" t="s">
        <v>496</v>
      </c>
      <c r="H26" s="31" t="s">
        <v>439</v>
      </c>
      <c r="I26" s="31" t="s">
        <v>465</v>
      </c>
      <c r="J26" s="31" t="s">
        <v>441</v>
      </c>
      <c r="K26" s="31" t="s">
        <v>165</v>
      </c>
      <c r="L26" s="31">
        <v>0</v>
      </c>
      <c r="M26" s="31"/>
    </row>
    <row r="27" spans="1:13" ht="45">
      <c r="A27" s="30" t="s">
        <v>524</v>
      </c>
      <c r="B27" s="30" t="s">
        <v>169</v>
      </c>
      <c r="C27" s="30" t="s">
        <v>448</v>
      </c>
      <c r="D27" s="31" t="s">
        <v>525</v>
      </c>
      <c r="E27" s="31" t="s">
        <v>526</v>
      </c>
      <c r="F27" s="31" t="s">
        <v>171</v>
      </c>
      <c r="G27" s="31" t="s">
        <v>438</v>
      </c>
      <c r="H27" s="31" t="s">
        <v>480</v>
      </c>
      <c r="I27" s="31" t="s">
        <v>440</v>
      </c>
      <c r="J27" s="31" t="s">
        <v>441</v>
      </c>
      <c r="K27" s="31" t="s">
        <v>172</v>
      </c>
      <c r="L27" s="31">
        <v>2</v>
      </c>
      <c r="M27" s="31"/>
    </row>
    <row r="28" spans="1:13" ht="45">
      <c r="A28" s="30" t="s">
        <v>527</v>
      </c>
      <c r="B28" s="30" t="s">
        <v>169</v>
      </c>
      <c r="C28" s="30" t="s">
        <v>443</v>
      </c>
      <c r="D28" s="31" t="s">
        <v>528</v>
      </c>
      <c r="E28" s="31" t="s">
        <v>529</v>
      </c>
      <c r="F28" s="31" t="s">
        <v>177</v>
      </c>
      <c r="G28" s="31" t="s">
        <v>496</v>
      </c>
      <c r="H28" s="31" t="s">
        <v>458</v>
      </c>
      <c r="I28" s="31" t="s">
        <v>440</v>
      </c>
      <c r="J28" s="31" t="s">
        <v>441</v>
      </c>
      <c r="K28" s="31" t="s">
        <v>178</v>
      </c>
      <c r="L28" s="31">
        <v>0</v>
      </c>
      <c r="M28" s="31"/>
    </row>
    <row r="29" spans="1:13" ht="45">
      <c r="A29" s="30" t="s">
        <v>530</v>
      </c>
      <c r="B29" s="30" t="s">
        <v>531</v>
      </c>
      <c r="C29" s="30" t="s">
        <v>443</v>
      </c>
      <c r="D29" s="31" t="s">
        <v>532</v>
      </c>
      <c r="E29" s="31" t="s">
        <v>533</v>
      </c>
      <c r="F29" s="31" t="s">
        <v>183</v>
      </c>
      <c r="G29" s="31" t="s">
        <v>496</v>
      </c>
      <c r="H29" s="31" t="s">
        <v>446</v>
      </c>
      <c r="I29" s="31" t="s">
        <v>440</v>
      </c>
      <c r="J29" s="31" t="s">
        <v>441</v>
      </c>
      <c r="K29" s="31" t="s">
        <v>182</v>
      </c>
      <c r="L29" s="31">
        <v>5</v>
      </c>
      <c r="M29" s="31"/>
    </row>
    <row r="30" spans="1:13" ht="45">
      <c r="A30" s="30" t="s">
        <v>534</v>
      </c>
      <c r="B30" s="30" t="s">
        <v>531</v>
      </c>
      <c r="C30" s="30" t="s">
        <v>190</v>
      </c>
      <c r="D30" s="31" t="s">
        <v>535</v>
      </c>
      <c r="E30" s="31" t="s">
        <v>536</v>
      </c>
      <c r="F30" s="31" t="s">
        <v>187</v>
      </c>
      <c r="G30" s="31" t="s">
        <v>438</v>
      </c>
      <c r="H30" s="31" t="s">
        <v>458</v>
      </c>
      <c r="I30" s="31" t="s">
        <v>440</v>
      </c>
      <c r="J30" s="31" t="s">
        <v>441</v>
      </c>
      <c r="K30" s="31" t="s">
        <v>188</v>
      </c>
      <c r="L30" s="31">
        <v>0</v>
      </c>
      <c r="M30" s="31"/>
    </row>
    <row r="31" spans="1:13" ht="45">
      <c r="A31" s="30" t="s">
        <v>537</v>
      </c>
      <c r="B31" s="30" t="s">
        <v>531</v>
      </c>
      <c r="C31" s="30" t="s">
        <v>190</v>
      </c>
      <c r="D31" s="31" t="s">
        <v>538</v>
      </c>
      <c r="E31" s="31" t="s">
        <v>539</v>
      </c>
      <c r="F31" s="31" t="s">
        <v>206</v>
      </c>
      <c r="G31" s="31" t="s">
        <v>438</v>
      </c>
      <c r="H31" s="31" t="s">
        <v>458</v>
      </c>
      <c r="I31" s="31" t="s">
        <v>440</v>
      </c>
      <c r="J31" s="31" t="s">
        <v>441</v>
      </c>
      <c r="K31" s="31" t="s">
        <v>207</v>
      </c>
      <c r="L31" s="31">
        <v>0</v>
      </c>
      <c r="M31" s="31"/>
    </row>
    <row r="32" spans="1:13" ht="60">
      <c r="A32" s="30" t="s">
        <v>540</v>
      </c>
      <c r="B32" s="30" t="s">
        <v>467</v>
      </c>
      <c r="C32" s="30" t="s">
        <v>448</v>
      </c>
      <c r="D32" s="31" t="s">
        <v>541</v>
      </c>
      <c r="E32" s="31" t="s">
        <v>542</v>
      </c>
      <c r="F32" s="31" t="s">
        <v>212</v>
      </c>
      <c r="G32" s="31" t="s">
        <v>438</v>
      </c>
      <c r="H32" s="31" t="s">
        <v>458</v>
      </c>
      <c r="I32" s="31"/>
      <c r="J32" s="31" t="s">
        <v>543</v>
      </c>
      <c r="K32" s="31" t="s">
        <v>213</v>
      </c>
      <c r="L32" s="31">
        <v>3</v>
      </c>
      <c r="M32" s="31"/>
    </row>
    <row r="33" spans="1:13" ht="60">
      <c r="A33" s="30" t="s">
        <v>544</v>
      </c>
      <c r="B33" s="30" t="s">
        <v>467</v>
      </c>
      <c r="C33" s="30" t="s">
        <v>448</v>
      </c>
      <c r="D33" s="31" t="s">
        <v>545</v>
      </c>
      <c r="E33" s="31" t="s">
        <v>546</v>
      </c>
      <c r="F33" s="31" t="s">
        <v>212</v>
      </c>
      <c r="G33" s="31" t="s">
        <v>438</v>
      </c>
      <c r="H33" s="31" t="s">
        <v>458</v>
      </c>
      <c r="I33" s="31"/>
      <c r="J33" s="31" t="s">
        <v>543</v>
      </c>
      <c r="K33" s="31" t="s">
        <v>213</v>
      </c>
      <c r="L33" s="31">
        <v>3</v>
      </c>
      <c r="M33" s="31"/>
    </row>
    <row r="34" spans="1:13" ht="45">
      <c r="A34" s="30" t="s">
        <v>547</v>
      </c>
      <c r="B34" s="30" t="s">
        <v>467</v>
      </c>
      <c r="C34" s="30" t="s">
        <v>31</v>
      </c>
      <c r="D34" s="31" t="s">
        <v>548</v>
      </c>
      <c r="E34" s="31" t="s">
        <v>549</v>
      </c>
      <c r="F34" s="31" t="s">
        <v>219</v>
      </c>
      <c r="G34" s="31" t="s">
        <v>457</v>
      </c>
      <c r="H34" s="31" t="s">
        <v>446</v>
      </c>
      <c r="I34" s="31"/>
      <c r="J34" s="31" t="s">
        <v>543</v>
      </c>
      <c r="K34" s="31" t="s">
        <v>220</v>
      </c>
      <c r="L34" s="31">
        <v>2</v>
      </c>
      <c r="M34" s="31"/>
    </row>
    <row r="35" spans="1:13" ht="60">
      <c r="A35" s="30" t="s">
        <v>550</v>
      </c>
      <c r="B35" s="30" t="s">
        <v>467</v>
      </c>
      <c r="C35" s="30" t="s">
        <v>354</v>
      </c>
      <c r="D35" s="31" t="s">
        <v>551</v>
      </c>
      <c r="E35" s="31" t="s">
        <v>552</v>
      </c>
      <c r="F35" s="31" t="s">
        <v>225</v>
      </c>
      <c r="G35" s="31" t="s">
        <v>457</v>
      </c>
      <c r="H35" s="31" t="s">
        <v>446</v>
      </c>
      <c r="I35" s="31"/>
      <c r="J35" s="31" t="s">
        <v>543</v>
      </c>
      <c r="K35" s="31" t="s">
        <v>226</v>
      </c>
      <c r="L35" s="31">
        <v>2</v>
      </c>
      <c r="M35" s="31"/>
    </row>
    <row r="36" spans="1:13" ht="60">
      <c r="A36" s="30" t="s">
        <v>553</v>
      </c>
      <c r="B36" s="30" t="s">
        <v>100</v>
      </c>
      <c r="C36" s="30" t="s">
        <v>443</v>
      </c>
      <c r="D36" s="31" t="s">
        <v>554</v>
      </c>
      <c r="E36" s="31" t="s">
        <v>555</v>
      </c>
      <c r="F36" s="31" t="s">
        <v>238</v>
      </c>
      <c r="G36" s="31" t="s">
        <v>438</v>
      </c>
      <c r="H36" s="31" t="s">
        <v>458</v>
      </c>
      <c r="I36" s="31"/>
      <c r="J36" s="31" t="s">
        <v>543</v>
      </c>
      <c r="K36" s="31" t="s">
        <v>239</v>
      </c>
      <c r="L36" s="31">
        <v>1</v>
      </c>
      <c r="M36" s="31"/>
    </row>
    <row r="37" spans="1:13" ht="60">
      <c r="A37" s="30" t="s">
        <v>556</v>
      </c>
      <c r="B37" s="30" t="s">
        <v>100</v>
      </c>
      <c r="C37" s="30" t="s">
        <v>448</v>
      </c>
      <c r="D37" s="31" t="s">
        <v>557</v>
      </c>
      <c r="E37" s="31" t="s">
        <v>558</v>
      </c>
      <c r="F37" s="31" t="s">
        <v>244</v>
      </c>
      <c r="G37" s="31" t="s">
        <v>457</v>
      </c>
      <c r="H37" s="31" t="s">
        <v>446</v>
      </c>
      <c r="I37" s="31"/>
      <c r="J37" s="31" t="s">
        <v>543</v>
      </c>
      <c r="K37" s="31" t="s">
        <v>245</v>
      </c>
      <c r="L37" s="31">
        <v>1</v>
      </c>
      <c r="M37" s="31"/>
    </row>
    <row r="38" spans="1:13" ht="60">
      <c r="A38" s="30" t="s">
        <v>559</v>
      </c>
      <c r="B38" s="30" t="s">
        <v>30</v>
      </c>
      <c r="C38" s="30" t="s">
        <v>375</v>
      </c>
      <c r="D38" s="31" t="s">
        <v>560</v>
      </c>
      <c r="E38" s="31" t="s">
        <v>561</v>
      </c>
      <c r="F38" s="31" t="s">
        <v>250</v>
      </c>
      <c r="G38" s="31" t="s">
        <v>438</v>
      </c>
      <c r="H38" s="31" t="s">
        <v>446</v>
      </c>
      <c r="I38" s="31"/>
      <c r="J38" s="31" t="s">
        <v>441</v>
      </c>
      <c r="K38" s="31" t="s">
        <v>251</v>
      </c>
      <c r="L38" s="31">
        <v>1</v>
      </c>
      <c r="M38" s="31"/>
    </row>
    <row r="39" spans="1:13" ht="60">
      <c r="A39" s="30" t="s">
        <v>562</v>
      </c>
      <c r="B39" s="30" t="s">
        <v>89</v>
      </c>
      <c r="C39" s="30" t="s">
        <v>448</v>
      </c>
      <c r="D39" s="31" t="s">
        <v>563</v>
      </c>
      <c r="E39" s="31" t="s">
        <v>564</v>
      </c>
      <c r="F39" s="31" t="s">
        <v>95</v>
      </c>
      <c r="G39" s="31" t="s">
        <v>438</v>
      </c>
      <c r="H39" s="31" t="s">
        <v>458</v>
      </c>
      <c r="I39" s="31"/>
      <c r="J39" s="31" t="s">
        <v>543</v>
      </c>
      <c r="K39" s="31" t="s">
        <v>96</v>
      </c>
      <c r="L39" s="31">
        <v>2</v>
      </c>
      <c r="M39" s="31"/>
    </row>
    <row r="40" spans="1:13" ht="45">
      <c r="A40" s="30" t="s">
        <v>565</v>
      </c>
      <c r="B40" s="30" t="s">
        <v>182</v>
      </c>
      <c r="C40" s="30" t="s">
        <v>443</v>
      </c>
      <c r="D40" s="31" t="s">
        <v>566</v>
      </c>
      <c r="E40" s="31" t="s">
        <v>567</v>
      </c>
      <c r="F40" s="31" t="s">
        <v>256</v>
      </c>
      <c r="G40" s="31" t="s">
        <v>457</v>
      </c>
      <c r="H40" s="31" t="s">
        <v>446</v>
      </c>
      <c r="I40" s="31"/>
      <c r="J40" s="31" t="s">
        <v>441</v>
      </c>
      <c r="K40" s="31" t="s">
        <v>257</v>
      </c>
      <c r="L40" s="31">
        <v>1</v>
      </c>
      <c r="M40" s="31"/>
    </row>
    <row r="41" spans="1:13" ht="60">
      <c r="A41" s="30" t="s">
        <v>568</v>
      </c>
      <c r="B41" s="30" t="s">
        <v>182</v>
      </c>
      <c r="C41" s="30" t="s">
        <v>443</v>
      </c>
      <c r="D41" s="31" t="s">
        <v>569</v>
      </c>
      <c r="E41" s="31" t="s">
        <v>570</v>
      </c>
      <c r="F41" s="31" t="s">
        <v>262</v>
      </c>
      <c r="G41" s="31" t="s">
        <v>438</v>
      </c>
      <c r="H41" s="31" t="s">
        <v>480</v>
      </c>
      <c r="I41" s="31"/>
      <c r="J41" s="31" t="s">
        <v>441</v>
      </c>
      <c r="K41" s="31" t="s">
        <v>263</v>
      </c>
      <c r="L41" s="31">
        <v>1</v>
      </c>
      <c r="M41" s="31"/>
    </row>
    <row r="42" spans="1:13" ht="60">
      <c r="A42" s="30" t="s">
        <v>571</v>
      </c>
      <c r="B42" s="30" t="s">
        <v>100</v>
      </c>
      <c r="C42" s="30" t="s">
        <v>448</v>
      </c>
      <c r="D42" s="31" t="s">
        <v>572</v>
      </c>
      <c r="E42" s="31" t="s">
        <v>573</v>
      </c>
      <c r="F42" s="31" t="s">
        <v>102</v>
      </c>
      <c r="G42" s="31" t="s">
        <v>457</v>
      </c>
      <c r="H42" s="31" t="s">
        <v>439</v>
      </c>
      <c r="I42" s="31"/>
      <c r="J42" s="31" t="s">
        <v>543</v>
      </c>
      <c r="K42" s="31" t="s">
        <v>103</v>
      </c>
      <c r="L42" s="31">
        <v>3</v>
      </c>
      <c r="M42" s="31"/>
    </row>
    <row r="43" spans="1:13" ht="60">
      <c r="A43" s="30" t="s">
        <v>574</v>
      </c>
      <c r="B43" s="30" t="s">
        <v>407</v>
      </c>
      <c r="C43" s="30" t="s">
        <v>375</v>
      </c>
      <c r="D43" s="31" t="s">
        <v>575</v>
      </c>
      <c r="E43" s="31" t="s">
        <v>576</v>
      </c>
      <c r="F43" s="31" t="s">
        <v>74</v>
      </c>
      <c r="G43" s="31" t="s">
        <v>457</v>
      </c>
      <c r="H43" s="31" t="s">
        <v>446</v>
      </c>
      <c r="I43" s="31"/>
      <c r="J43" s="31" t="s">
        <v>543</v>
      </c>
      <c r="K43" s="31" t="s">
        <v>75</v>
      </c>
      <c r="L43" s="31">
        <v>3</v>
      </c>
      <c r="M43" s="31"/>
    </row>
    <row r="44" spans="1:13" ht="60">
      <c r="A44" s="30" t="s">
        <v>577</v>
      </c>
      <c r="B44" s="30" t="s">
        <v>407</v>
      </c>
      <c r="C44" s="30" t="s">
        <v>448</v>
      </c>
      <c r="D44" s="31" t="s">
        <v>578</v>
      </c>
      <c r="E44" s="31" t="s">
        <v>579</v>
      </c>
      <c r="F44" s="31" t="s">
        <v>268</v>
      </c>
      <c r="G44" s="31" t="s">
        <v>457</v>
      </c>
      <c r="H44" s="31" t="s">
        <v>446</v>
      </c>
      <c r="I44" s="31"/>
      <c r="J44" s="31" t="s">
        <v>441</v>
      </c>
      <c r="K44" s="31" t="s">
        <v>269</v>
      </c>
      <c r="L44" s="31">
        <v>1</v>
      </c>
      <c r="M44" s="31"/>
    </row>
    <row r="45" spans="1:13" ht="75">
      <c r="A45" s="30" t="s">
        <v>580</v>
      </c>
      <c r="B45" s="30" t="s">
        <v>100</v>
      </c>
      <c r="C45" s="30" t="s">
        <v>448</v>
      </c>
      <c r="D45" s="31" t="s">
        <v>581</v>
      </c>
      <c r="E45" s="31" t="s">
        <v>582</v>
      </c>
      <c r="F45" s="31" t="s">
        <v>232</v>
      </c>
      <c r="G45" s="31" t="s">
        <v>457</v>
      </c>
      <c r="H45" s="31" t="s">
        <v>458</v>
      </c>
      <c r="I45" s="31"/>
      <c r="J45" s="31" t="s">
        <v>543</v>
      </c>
      <c r="K45" s="31" t="s">
        <v>233</v>
      </c>
      <c r="L45" s="31">
        <v>2</v>
      </c>
      <c r="M45" s="31"/>
    </row>
    <row r="46" spans="1:13" ht="60">
      <c r="A46" s="30" t="s">
        <v>583</v>
      </c>
      <c r="B46" s="30" t="s">
        <v>89</v>
      </c>
      <c r="C46" s="30" t="s">
        <v>443</v>
      </c>
      <c r="D46" s="31" t="s">
        <v>584</v>
      </c>
      <c r="E46" s="31" t="s">
        <v>585</v>
      </c>
      <c r="F46" s="31" t="s">
        <v>95</v>
      </c>
      <c r="G46" s="31" t="s">
        <v>457</v>
      </c>
      <c r="H46" s="31" t="s">
        <v>446</v>
      </c>
      <c r="I46" s="31"/>
      <c r="J46" s="31" t="s">
        <v>543</v>
      </c>
      <c r="K46" s="31" t="s">
        <v>96</v>
      </c>
      <c r="L46" s="31">
        <v>2</v>
      </c>
      <c r="M46" s="31"/>
    </row>
    <row r="47" spans="1:13" ht="45">
      <c r="A47" s="30" t="s">
        <v>586</v>
      </c>
      <c r="B47" s="30" t="s">
        <v>193</v>
      </c>
      <c r="C47" s="30" t="s">
        <v>31</v>
      </c>
      <c r="D47" s="31" t="s">
        <v>587</v>
      </c>
      <c r="E47" s="31" t="s">
        <v>588</v>
      </c>
      <c r="F47" s="31" t="s">
        <v>589</v>
      </c>
      <c r="G47" s="31" t="s">
        <v>438</v>
      </c>
      <c r="H47" s="31" t="s">
        <v>458</v>
      </c>
      <c r="I47" s="31"/>
      <c r="J47" s="31" t="s">
        <v>543</v>
      </c>
      <c r="K47" s="31" t="s">
        <v>590</v>
      </c>
      <c r="L47" s="31">
        <v>2</v>
      </c>
      <c r="M47" s="31"/>
    </row>
    <row r="48" spans="1:13" ht="45">
      <c r="A48" s="30" t="s">
        <v>591</v>
      </c>
      <c r="B48" s="30" t="s">
        <v>193</v>
      </c>
      <c r="C48" s="30" t="s">
        <v>18</v>
      </c>
      <c r="D48" s="31" t="s">
        <v>592</v>
      </c>
      <c r="E48" s="31" t="s">
        <v>593</v>
      </c>
      <c r="F48" s="31" t="s">
        <v>299</v>
      </c>
      <c r="G48" s="31" t="s">
        <v>457</v>
      </c>
      <c r="H48" s="31" t="s">
        <v>446</v>
      </c>
      <c r="I48" s="31"/>
      <c r="J48" s="31" t="s">
        <v>543</v>
      </c>
      <c r="K48" s="31" t="s">
        <v>300</v>
      </c>
      <c r="L48" s="31">
        <v>1</v>
      </c>
      <c r="M48" s="31"/>
    </row>
    <row r="49" spans="1:13" ht="45">
      <c r="A49" s="30" t="s">
        <v>594</v>
      </c>
      <c r="B49" s="30" t="s">
        <v>193</v>
      </c>
      <c r="C49" s="30" t="s">
        <v>31</v>
      </c>
      <c r="D49" s="31" t="s">
        <v>595</v>
      </c>
      <c r="E49" s="31" t="s">
        <v>596</v>
      </c>
      <c r="F49" s="31" t="s">
        <v>597</v>
      </c>
      <c r="G49" s="31" t="s">
        <v>457</v>
      </c>
      <c r="H49" s="31" t="s">
        <v>439</v>
      </c>
      <c r="I49" s="31"/>
      <c r="J49" s="31" t="s">
        <v>543</v>
      </c>
      <c r="K49" s="31" t="s">
        <v>598</v>
      </c>
      <c r="L49" s="31">
        <v>2</v>
      </c>
      <c r="M49" s="31"/>
    </row>
    <row r="50" spans="1:13" ht="45">
      <c r="A50" s="30" t="s">
        <v>599</v>
      </c>
      <c r="B50" s="30" t="s">
        <v>313</v>
      </c>
      <c r="C50" s="30" t="s">
        <v>31</v>
      </c>
      <c r="D50" s="31" t="s">
        <v>600</v>
      </c>
      <c r="E50" s="31" t="s">
        <v>601</v>
      </c>
      <c r="F50" s="31" t="s">
        <v>321</v>
      </c>
      <c r="G50" s="31" t="s">
        <v>438</v>
      </c>
      <c r="H50" s="31" t="s">
        <v>446</v>
      </c>
      <c r="I50" s="31"/>
      <c r="J50" s="31" t="s">
        <v>543</v>
      </c>
      <c r="K50" s="31" t="s">
        <v>322</v>
      </c>
      <c r="L50" s="31">
        <v>1</v>
      </c>
      <c r="M50" s="31"/>
    </row>
    <row r="51" spans="1:13" ht="45">
      <c r="A51" s="30" t="s">
        <v>602</v>
      </c>
      <c r="B51" s="30" t="s">
        <v>313</v>
      </c>
      <c r="C51" s="30" t="s">
        <v>31</v>
      </c>
      <c r="D51" s="31" t="s">
        <v>603</v>
      </c>
      <c r="E51" s="31" t="s">
        <v>604</v>
      </c>
      <c r="F51" s="31" t="s">
        <v>325</v>
      </c>
      <c r="G51" s="31" t="s">
        <v>438</v>
      </c>
      <c r="H51" s="31" t="s">
        <v>458</v>
      </c>
      <c r="I51" s="31"/>
      <c r="J51" s="31" t="s">
        <v>543</v>
      </c>
      <c r="K51" s="31" t="s">
        <v>326</v>
      </c>
      <c r="L51" s="31">
        <v>1</v>
      </c>
      <c r="M51" s="31"/>
    </row>
    <row r="52" spans="1:13" ht="45">
      <c r="A52" s="30" t="s">
        <v>605</v>
      </c>
      <c r="B52" s="30" t="s">
        <v>313</v>
      </c>
      <c r="C52" s="30" t="s">
        <v>31</v>
      </c>
      <c r="D52" s="31" t="s">
        <v>606</v>
      </c>
      <c r="E52" s="31" t="s">
        <v>607</v>
      </c>
      <c r="F52" s="31" t="s">
        <v>330</v>
      </c>
      <c r="G52" s="31" t="s">
        <v>457</v>
      </c>
      <c r="H52" s="31" t="s">
        <v>446</v>
      </c>
      <c r="I52" s="31"/>
      <c r="J52" s="31" t="s">
        <v>543</v>
      </c>
      <c r="K52" s="31" t="s">
        <v>331</v>
      </c>
      <c r="L52" s="31">
        <v>1</v>
      </c>
      <c r="M52" s="31"/>
    </row>
    <row r="53" spans="1:13" ht="45">
      <c r="A53" s="30" t="s">
        <v>608</v>
      </c>
      <c r="B53" s="30" t="s">
        <v>313</v>
      </c>
      <c r="C53" s="30" t="s">
        <v>31</v>
      </c>
      <c r="D53" s="31" t="s">
        <v>609</v>
      </c>
      <c r="E53" s="31" t="s">
        <v>610</v>
      </c>
      <c r="F53" s="31" t="s">
        <v>336</v>
      </c>
      <c r="G53" s="31" t="s">
        <v>457</v>
      </c>
      <c r="H53" s="31" t="s">
        <v>446</v>
      </c>
      <c r="I53" s="31"/>
      <c r="J53" s="31" t="s">
        <v>543</v>
      </c>
      <c r="K53" s="31" t="s">
        <v>337</v>
      </c>
      <c r="L53" s="31">
        <v>1</v>
      </c>
      <c r="M53" s="31"/>
    </row>
    <row r="54" spans="1:13" ht="60">
      <c r="A54" s="30" t="s">
        <v>611</v>
      </c>
      <c r="B54" s="30" t="s">
        <v>350</v>
      </c>
      <c r="C54" s="30" t="s">
        <v>354</v>
      </c>
      <c r="D54" s="31" t="s">
        <v>612</v>
      </c>
      <c r="E54" s="31" t="s">
        <v>613</v>
      </c>
      <c r="F54" s="31" t="s">
        <v>614</v>
      </c>
      <c r="G54" s="31" t="s">
        <v>457</v>
      </c>
      <c r="H54" s="31" t="s">
        <v>458</v>
      </c>
      <c r="I54" s="31"/>
      <c r="J54" s="31" t="s">
        <v>543</v>
      </c>
      <c r="K54" s="31" t="s">
        <v>615</v>
      </c>
      <c r="L54" s="31">
        <v>2</v>
      </c>
      <c r="M54" s="31"/>
    </row>
    <row r="55" spans="1:13" ht="45">
      <c r="A55" s="30" t="s">
        <v>616</v>
      </c>
      <c r="B55" s="30" t="s">
        <v>350</v>
      </c>
      <c r="C55" s="30" t="s">
        <v>354</v>
      </c>
      <c r="D55" s="31" t="s">
        <v>617</v>
      </c>
      <c r="E55" s="31" t="s">
        <v>618</v>
      </c>
      <c r="F55" s="31" t="s">
        <v>357</v>
      </c>
      <c r="G55" s="31" t="s">
        <v>457</v>
      </c>
      <c r="H55" s="31" t="s">
        <v>446</v>
      </c>
      <c r="I55" s="31"/>
      <c r="J55" s="31" t="s">
        <v>543</v>
      </c>
      <c r="K55" s="31" t="s">
        <v>358</v>
      </c>
      <c r="L55" s="31">
        <v>1</v>
      </c>
      <c r="M55" s="31"/>
    </row>
    <row r="56" spans="1:13" ht="60">
      <c r="A56" s="30" t="s">
        <v>619</v>
      </c>
      <c r="B56" s="30" t="s">
        <v>371</v>
      </c>
      <c r="C56" s="30" t="s">
        <v>375</v>
      </c>
      <c r="D56" s="31" t="s">
        <v>620</v>
      </c>
      <c r="E56" s="31" t="s">
        <v>621</v>
      </c>
      <c r="F56" s="31" t="s">
        <v>622</v>
      </c>
      <c r="G56" s="31" t="s">
        <v>438</v>
      </c>
      <c r="H56" s="31" t="s">
        <v>458</v>
      </c>
      <c r="I56" s="31"/>
      <c r="J56" s="31" t="s">
        <v>543</v>
      </c>
      <c r="K56" s="31" t="s">
        <v>623</v>
      </c>
      <c r="L56" s="31">
        <v>2</v>
      </c>
      <c r="M56" s="31"/>
    </row>
    <row r="57" spans="1:13" ht="60">
      <c r="A57" s="30" t="s">
        <v>624</v>
      </c>
      <c r="B57" s="30" t="s">
        <v>371</v>
      </c>
      <c r="C57" s="30" t="s">
        <v>375</v>
      </c>
      <c r="D57" s="31" t="s">
        <v>625</v>
      </c>
      <c r="E57" s="31" t="s">
        <v>626</v>
      </c>
      <c r="F57" s="31" t="s">
        <v>385</v>
      </c>
      <c r="G57" s="31" t="s">
        <v>457</v>
      </c>
      <c r="H57" s="31" t="s">
        <v>446</v>
      </c>
      <c r="I57" s="31"/>
      <c r="J57" s="31" t="s">
        <v>543</v>
      </c>
      <c r="K57" s="31" t="s">
        <v>386</v>
      </c>
      <c r="L57" s="31">
        <v>1</v>
      </c>
      <c r="M57" s="31"/>
    </row>
    <row r="58" spans="1:13">
      <c r="A58" t="s">
        <v>580</v>
      </c>
      <c r="B58" t="s">
        <v>100</v>
      </c>
      <c r="C58" t="s">
        <v>627</v>
      </c>
      <c r="D58" t="s">
        <v>628</v>
      </c>
      <c r="E58" t="s">
        <v>629</v>
      </c>
      <c r="F58" t="s">
        <v>113</v>
      </c>
      <c r="G58" t="s">
        <v>630</v>
      </c>
      <c r="H58" t="s">
        <v>446</v>
      </c>
      <c r="J58" t="s">
        <v>543</v>
      </c>
      <c r="M58" t="s">
        <v>631</v>
      </c>
    </row>
    <row r="59" spans="1:13">
      <c r="A59" t="s">
        <v>583</v>
      </c>
      <c r="B59" t="s">
        <v>100</v>
      </c>
      <c r="C59" t="s">
        <v>627</v>
      </c>
      <c r="D59" t="s">
        <v>632</v>
      </c>
      <c r="E59" t="s">
        <v>633</v>
      </c>
      <c r="F59" t="s">
        <v>113</v>
      </c>
      <c r="G59" t="s">
        <v>630</v>
      </c>
      <c r="H59" t="s">
        <v>439</v>
      </c>
      <c r="J59" t="s">
        <v>543</v>
      </c>
    </row>
    <row r="60" spans="1:13">
      <c r="A60" t="s">
        <v>586</v>
      </c>
      <c r="B60" t="s">
        <v>182</v>
      </c>
      <c r="C60" t="s">
        <v>627</v>
      </c>
      <c r="D60" t="s">
        <v>634</v>
      </c>
      <c r="E60" t="s">
        <v>635</v>
      </c>
      <c r="F60" t="s">
        <v>200</v>
      </c>
      <c r="G60" t="s">
        <v>636</v>
      </c>
      <c r="H60" t="s">
        <v>458</v>
      </c>
      <c r="J60" t="s">
        <v>543</v>
      </c>
      <c r="M60" t="s">
        <v>631</v>
      </c>
    </row>
    <row r="61" spans="1:13">
      <c r="A61" t="s">
        <v>591</v>
      </c>
      <c r="B61" t="s">
        <v>637</v>
      </c>
      <c r="C61" t="s">
        <v>627</v>
      </c>
      <c r="D61" t="s">
        <v>638</v>
      </c>
      <c r="E61" t="s">
        <v>639</v>
      </c>
      <c r="F61" t="s">
        <v>200</v>
      </c>
      <c r="G61" t="s">
        <v>636</v>
      </c>
      <c r="H61" t="s">
        <v>446</v>
      </c>
      <c r="J61" t="s">
        <v>543</v>
      </c>
    </row>
  </sheetData>
  <autoFilter ref="A1:M1" xr:uid="{00000000-0009-0000-0000-000001000000}"/>
  <phoneticPr fontId="15" type="noConversion"/>
  <dataValidations count="5">
    <dataValidation type="list" allowBlank="1" sqref="F2:F200" xr:uid="{00000000-0002-0000-0100-000000000000}">
      <formula1>_xlfn._LONGTEXT("SCR-001,SCR-002,SCR-010,SCR-011,SCR-012,SCR-013,SCR-014,SCR-020,SCR-021,SCR-030,SCR-031,SCR-032,SCR-040,SCR-041,SCR-050,SCR-051,SCR-052,SCR-053,SCR-060,SCR-061,SCR-062,SCR-063,SCR-070,SCR-071,SCR-072,SCR-073,SCR-080,SCR-081,SCR-090,SCR-091,SCR-092,SCR-093",",SCR-094")</formula1>
    </dataValidation>
    <dataValidation type="list" allowBlank="1" sqref="G2:G200" xr:uid="{00000000-0002-0000-0100-000001000000}">
      <formula1>"Critical,High,Medium,Low"</formula1>
    </dataValidation>
    <dataValidation type="list" allowBlank="1" sqref="H2:H200" xr:uid="{00000000-0002-0000-0100-000002000000}">
      <formula1>"XS,S,M,L,XL"</formula1>
    </dataValidation>
    <dataValidation type="list" allowBlank="1" sqref="I2:I200" xr:uid="{00000000-0002-0000-0100-000003000000}">
      <formula1>"기획자1,기획자2,디자이너1,개발자1,개발자2,QA담당자1,QA담당자2"</formula1>
    </dataValidation>
    <dataValidation type="list" allowBlank="1" sqref="J2:J200" xr:uid="{00000000-0002-0000-0100-000004000000}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49"/>
  <sheetViews>
    <sheetView workbookViewId="0"/>
  </sheetViews>
  <sheetFormatPr baseColWidth="10" defaultColWidth="8.83203125" defaultRowHeight="17"/>
  <cols>
    <col min="1" max="1" width="12" customWidth="1"/>
    <col min="2" max="2" width="16" customWidth="1"/>
    <col min="3" max="3" width="14" customWidth="1"/>
    <col min="4" max="4" width="20" customWidth="1"/>
    <col min="5" max="5" width="30" customWidth="1"/>
    <col min="6" max="6" width="35" customWidth="1"/>
    <col min="7" max="7" width="30" customWidth="1"/>
    <col min="8" max="8" width="25" customWidth="1"/>
    <col min="9" max="11" width="20" customWidth="1"/>
    <col min="12" max="12" width="25" customWidth="1"/>
    <col min="13" max="13" width="20" customWidth="1"/>
    <col min="14" max="14" width="18" customWidth="1"/>
    <col min="15" max="15" width="14" customWidth="1"/>
    <col min="16" max="16" width="20" customWidth="1"/>
    <col min="17" max="17" width="10" customWidth="1"/>
    <col min="18" max="18" width="12" customWidth="1"/>
    <col min="19" max="21" width="14" customWidth="1"/>
    <col min="22" max="22" width="20" customWidth="1"/>
    <col min="23" max="23" width="14" customWidth="1"/>
    <col min="24" max="31" width="40" customWidth="1"/>
  </cols>
  <sheetData>
    <row r="1" spans="1:31" ht="32">
      <c r="A1" s="1" t="s">
        <v>3</v>
      </c>
      <c r="B1" s="1" t="s">
        <v>4</v>
      </c>
      <c r="C1" s="1" t="s">
        <v>5</v>
      </c>
      <c r="D1" s="1" t="s">
        <v>640</v>
      </c>
      <c r="E1" s="1" t="s">
        <v>641</v>
      </c>
      <c r="F1" s="1" t="s">
        <v>642</v>
      </c>
      <c r="G1" s="1" t="s">
        <v>643</v>
      </c>
      <c r="H1" s="1" t="s">
        <v>644</v>
      </c>
      <c r="I1" s="1" t="s">
        <v>645</v>
      </c>
      <c r="J1" s="1" t="s">
        <v>646</v>
      </c>
      <c r="K1" s="1" t="s">
        <v>647</v>
      </c>
      <c r="L1" s="1" t="s">
        <v>648</v>
      </c>
      <c r="M1" s="1" t="s">
        <v>649</v>
      </c>
      <c r="N1" s="1" t="s">
        <v>650</v>
      </c>
      <c r="O1" s="1" t="s">
        <v>651</v>
      </c>
      <c r="P1" s="1" t="s">
        <v>652</v>
      </c>
      <c r="Q1" s="1" t="s">
        <v>10</v>
      </c>
      <c r="R1" s="1" t="s">
        <v>432</v>
      </c>
      <c r="S1" s="1" t="s">
        <v>653</v>
      </c>
      <c r="T1" s="1" t="s">
        <v>654</v>
      </c>
      <c r="U1" s="1" t="s">
        <v>655</v>
      </c>
      <c r="V1" s="1" t="s">
        <v>11</v>
      </c>
      <c r="W1" s="1" t="s">
        <v>656</v>
      </c>
      <c r="X1" s="26" t="s">
        <v>657</v>
      </c>
      <c r="Y1" s="26" t="s">
        <v>658</v>
      </c>
      <c r="Z1" s="26" t="s">
        <v>659</v>
      </c>
      <c r="AA1" s="26" t="s">
        <v>660</v>
      </c>
      <c r="AB1" s="26" t="s">
        <v>661</v>
      </c>
      <c r="AC1" s="26" t="s">
        <v>662</v>
      </c>
      <c r="AD1" s="26" t="s">
        <v>663</v>
      </c>
      <c r="AE1" s="26" t="s">
        <v>664</v>
      </c>
    </row>
    <row r="2" spans="1:31" ht="150">
      <c r="A2" s="30" t="s">
        <v>14</v>
      </c>
      <c r="B2" s="30" t="s">
        <v>13</v>
      </c>
      <c r="C2" s="30" t="s">
        <v>15</v>
      </c>
      <c r="D2" s="31" t="s">
        <v>16</v>
      </c>
      <c r="E2" s="31" t="s">
        <v>665</v>
      </c>
      <c r="F2" s="31" t="s">
        <v>666</v>
      </c>
      <c r="G2" s="31" t="s">
        <v>667</v>
      </c>
      <c r="H2" s="31" t="s">
        <v>668</v>
      </c>
      <c r="I2" s="31"/>
      <c r="J2" s="31" t="s">
        <v>669</v>
      </c>
      <c r="K2" s="31" t="s">
        <v>670</v>
      </c>
      <c r="L2" s="31" t="s">
        <v>671</v>
      </c>
      <c r="M2" s="31" t="s">
        <v>672</v>
      </c>
      <c r="N2" s="31" t="s">
        <v>673</v>
      </c>
      <c r="O2" s="31"/>
      <c r="P2" s="31"/>
      <c r="Q2" s="31" t="s">
        <v>674</v>
      </c>
      <c r="R2" s="31" t="s">
        <v>675</v>
      </c>
      <c r="S2" s="31">
        <v>1</v>
      </c>
      <c r="T2" s="31">
        <v>6</v>
      </c>
      <c r="U2" s="31">
        <v>1</v>
      </c>
      <c r="V2" s="31" t="s">
        <v>676</v>
      </c>
      <c r="W2" s="31">
        <v>5</v>
      </c>
      <c r="X2" s="31" t="s">
        <v>677</v>
      </c>
      <c r="Y2" s="31" t="s">
        <v>678</v>
      </c>
      <c r="Z2" s="31" t="s">
        <v>679</v>
      </c>
      <c r="AA2" s="31" t="s">
        <v>680</v>
      </c>
      <c r="AB2" s="31" t="s">
        <v>681</v>
      </c>
      <c r="AC2" s="31" t="s">
        <v>682</v>
      </c>
      <c r="AD2" s="31" t="s">
        <v>683</v>
      </c>
      <c r="AE2" s="31" t="s">
        <v>684</v>
      </c>
    </row>
    <row r="3" spans="1:31" ht="120">
      <c r="A3" s="30" t="s">
        <v>24</v>
      </c>
      <c r="B3" s="30" t="s">
        <v>22</v>
      </c>
      <c r="C3" s="30" t="s">
        <v>15</v>
      </c>
      <c r="D3" s="31" t="s">
        <v>25</v>
      </c>
      <c r="E3" s="31" t="s">
        <v>685</v>
      </c>
      <c r="F3" s="31" t="s">
        <v>686</v>
      </c>
      <c r="G3" s="31" t="s">
        <v>687</v>
      </c>
      <c r="H3" s="31" t="s">
        <v>688</v>
      </c>
      <c r="I3" s="31"/>
      <c r="J3" s="31" t="s">
        <v>689</v>
      </c>
      <c r="K3" s="31" t="s">
        <v>690</v>
      </c>
      <c r="L3" s="31" t="s">
        <v>691</v>
      </c>
      <c r="M3" s="31" t="s">
        <v>692</v>
      </c>
      <c r="N3" s="31" t="s">
        <v>693</v>
      </c>
      <c r="O3" s="31"/>
      <c r="P3" s="31"/>
      <c r="Q3" s="31" t="s">
        <v>674</v>
      </c>
      <c r="R3" s="31" t="s">
        <v>675</v>
      </c>
      <c r="S3" s="31">
        <v>1</v>
      </c>
      <c r="T3" s="31">
        <v>3</v>
      </c>
      <c r="U3" s="31">
        <v>5</v>
      </c>
      <c r="V3" s="31" t="s">
        <v>694</v>
      </c>
      <c r="W3" s="31">
        <v>8</v>
      </c>
      <c r="X3" s="31" t="s">
        <v>695</v>
      </c>
      <c r="Y3" s="31" t="s">
        <v>696</v>
      </c>
      <c r="Z3" s="31" t="s">
        <v>697</v>
      </c>
      <c r="AA3" s="31" t="s">
        <v>698</v>
      </c>
      <c r="AB3" s="31" t="s">
        <v>699</v>
      </c>
      <c r="AC3" s="31" t="s">
        <v>700</v>
      </c>
      <c r="AD3" s="31" t="s">
        <v>701</v>
      </c>
      <c r="AE3" s="31" t="s">
        <v>702</v>
      </c>
    </row>
    <row r="4" spans="1:31" ht="135">
      <c r="A4" s="30" t="s">
        <v>32</v>
      </c>
      <c r="B4" s="30" t="s">
        <v>33</v>
      </c>
      <c r="C4" s="30" t="s">
        <v>15</v>
      </c>
      <c r="D4" s="31" t="s">
        <v>34</v>
      </c>
      <c r="E4" s="31" t="s">
        <v>703</v>
      </c>
      <c r="F4" s="31" t="s">
        <v>704</v>
      </c>
      <c r="G4" s="31" t="s">
        <v>705</v>
      </c>
      <c r="H4" s="31" t="s">
        <v>706</v>
      </c>
      <c r="I4" s="31"/>
      <c r="J4" s="31" t="s">
        <v>707</v>
      </c>
      <c r="K4" s="31" t="s">
        <v>708</v>
      </c>
      <c r="L4" s="31" t="s">
        <v>709</v>
      </c>
      <c r="M4" s="31" t="s">
        <v>710</v>
      </c>
      <c r="N4" s="31" t="s">
        <v>711</v>
      </c>
      <c r="O4" s="31"/>
      <c r="P4" s="31"/>
      <c r="Q4" s="31" t="s">
        <v>674</v>
      </c>
      <c r="R4" s="31" t="s">
        <v>675</v>
      </c>
      <c r="S4" s="31">
        <v>2</v>
      </c>
      <c r="T4" s="31">
        <v>4</v>
      </c>
      <c r="U4" s="31">
        <v>2</v>
      </c>
      <c r="V4" s="31" t="s">
        <v>712</v>
      </c>
      <c r="W4" s="31">
        <v>8</v>
      </c>
      <c r="X4" s="31" t="s">
        <v>713</v>
      </c>
      <c r="Y4" s="31" t="s">
        <v>714</v>
      </c>
      <c r="Z4" s="31" t="s">
        <v>697</v>
      </c>
      <c r="AA4" s="31" t="s">
        <v>715</v>
      </c>
      <c r="AB4" s="31" t="s">
        <v>716</v>
      </c>
      <c r="AC4" s="31" t="s">
        <v>717</v>
      </c>
      <c r="AD4" s="31" t="s">
        <v>718</v>
      </c>
      <c r="AE4" s="31" t="s">
        <v>719</v>
      </c>
    </row>
    <row r="5" spans="1:31" ht="90">
      <c r="A5" s="30" t="s">
        <v>38</v>
      </c>
      <c r="B5" s="30" t="s">
        <v>39</v>
      </c>
      <c r="C5" s="30" t="s">
        <v>15</v>
      </c>
      <c r="D5" s="31" t="s">
        <v>40</v>
      </c>
      <c r="E5" s="31" t="s">
        <v>720</v>
      </c>
      <c r="F5" s="31" t="s">
        <v>721</v>
      </c>
      <c r="G5" s="31" t="s">
        <v>722</v>
      </c>
      <c r="H5" s="31" t="s">
        <v>723</v>
      </c>
      <c r="I5" s="31"/>
      <c r="J5" s="31" t="s">
        <v>724</v>
      </c>
      <c r="K5" s="31" t="s">
        <v>725</v>
      </c>
      <c r="L5" s="31" t="s">
        <v>726</v>
      </c>
      <c r="M5" s="31" t="s">
        <v>727</v>
      </c>
      <c r="N5" s="31" t="s">
        <v>728</v>
      </c>
      <c r="O5" s="31"/>
      <c r="P5" s="31"/>
      <c r="Q5" s="31" t="s">
        <v>674</v>
      </c>
      <c r="R5" s="31" t="s">
        <v>675</v>
      </c>
      <c r="S5" s="31">
        <v>2</v>
      </c>
      <c r="T5" s="31">
        <v>1</v>
      </c>
      <c r="U5" s="31">
        <v>2</v>
      </c>
      <c r="V5" s="31" t="s">
        <v>729</v>
      </c>
      <c r="W5" s="31">
        <v>6</v>
      </c>
      <c r="X5" s="31" t="s">
        <v>730</v>
      </c>
      <c r="Y5" s="31" t="s">
        <v>731</v>
      </c>
      <c r="Z5" s="31" t="s">
        <v>697</v>
      </c>
      <c r="AA5" s="31" t="s">
        <v>732</v>
      </c>
      <c r="AB5" s="31" t="s">
        <v>733</v>
      </c>
      <c r="AC5" s="31" t="s">
        <v>734</v>
      </c>
      <c r="AD5" s="31" t="s">
        <v>735</v>
      </c>
      <c r="AE5" s="31" t="s">
        <v>736</v>
      </c>
    </row>
    <row r="6" spans="1:31" ht="210">
      <c r="A6" s="30" t="s">
        <v>43</v>
      </c>
      <c r="B6" s="30" t="s">
        <v>44</v>
      </c>
      <c r="C6" s="30" t="s">
        <v>15</v>
      </c>
      <c r="D6" s="31" t="s">
        <v>45</v>
      </c>
      <c r="E6" s="31" t="s">
        <v>737</v>
      </c>
      <c r="F6" s="31" t="s">
        <v>738</v>
      </c>
      <c r="G6" s="31" t="s">
        <v>739</v>
      </c>
      <c r="H6" s="31" t="s">
        <v>740</v>
      </c>
      <c r="I6" s="31"/>
      <c r="J6" s="31" t="s">
        <v>741</v>
      </c>
      <c r="K6" s="31" t="s">
        <v>742</v>
      </c>
      <c r="L6" s="31" t="s">
        <v>743</v>
      </c>
      <c r="M6" s="31" t="s">
        <v>744</v>
      </c>
      <c r="N6" s="31" t="s">
        <v>745</v>
      </c>
      <c r="O6" s="31"/>
      <c r="P6" s="31"/>
      <c r="Q6" s="31" t="s">
        <v>674</v>
      </c>
      <c r="R6" s="31" t="s">
        <v>675</v>
      </c>
      <c r="S6" s="31">
        <v>0</v>
      </c>
      <c r="T6" s="31">
        <v>4</v>
      </c>
      <c r="U6" s="31">
        <v>1</v>
      </c>
      <c r="V6" s="31" t="s">
        <v>746</v>
      </c>
      <c r="W6" s="31">
        <v>10</v>
      </c>
      <c r="X6" s="31" t="s">
        <v>747</v>
      </c>
      <c r="Y6" s="31" t="s">
        <v>748</v>
      </c>
      <c r="Z6" s="31" t="s">
        <v>749</v>
      </c>
      <c r="AA6" s="31" t="s">
        <v>750</v>
      </c>
      <c r="AB6" s="31" t="s">
        <v>751</v>
      </c>
      <c r="AC6" s="31" t="s">
        <v>752</v>
      </c>
      <c r="AD6" s="31" t="s">
        <v>753</v>
      </c>
      <c r="AE6" s="31" t="s">
        <v>754</v>
      </c>
    </row>
    <row r="7" spans="1:31" ht="105">
      <c r="A7" s="30" t="s">
        <v>47</v>
      </c>
      <c r="B7" s="30" t="s">
        <v>48</v>
      </c>
      <c r="C7" s="30" t="s">
        <v>15</v>
      </c>
      <c r="D7" s="31" t="s">
        <v>49</v>
      </c>
      <c r="E7" s="31" t="s">
        <v>755</v>
      </c>
      <c r="F7" s="31" t="s">
        <v>756</v>
      </c>
      <c r="G7" s="31" t="s">
        <v>757</v>
      </c>
      <c r="H7" s="31" t="s">
        <v>758</v>
      </c>
      <c r="I7" s="31"/>
      <c r="J7" s="31" t="s">
        <v>759</v>
      </c>
      <c r="K7" s="31" t="s">
        <v>760</v>
      </c>
      <c r="L7" s="31" t="s">
        <v>761</v>
      </c>
      <c r="M7" s="31" t="s">
        <v>762</v>
      </c>
      <c r="N7" s="31" t="s">
        <v>745</v>
      </c>
      <c r="O7" s="31"/>
      <c r="P7" s="31"/>
      <c r="Q7" s="31" t="s">
        <v>674</v>
      </c>
      <c r="R7" s="31" t="s">
        <v>675</v>
      </c>
      <c r="S7" s="31">
        <v>0</v>
      </c>
      <c r="T7" s="31">
        <v>1</v>
      </c>
      <c r="U7" s="31">
        <v>1</v>
      </c>
      <c r="V7" s="31" t="s">
        <v>763</v>
      </c>
      <c r="W7" s="31">
        <v>2</v>
      </c>
      <c r="X7" s="31" t="s">
        <v>764</v>
      </c>
      <c r="Y7" s="31" t="s">
        <v>765</v>
      </c>
      <c r="Z7" s="31" t="s">
        <v>697</v>
      </c>
      <c r="AA7" s="31" t="s">
        <v>766</v>
      </c>
      <c r="AB7" s="31" t="s">
        <v>767</v>
      </c>
      <c r="AC7" s="31" t="s">
        <v>768</v>
      </c>
      <c r="AD7" s="31" t="s">
        <v>769</v>
      </c>
      <c r="AE7" s="31" t="s">
        <v>770</v>
      </c>
    </row>
    <row r="8" spans="1:31" ht="195">
      <c r="A8" s="30" t="s">
        <v>52</v>
      </c>
      <c r="B8" s="30" t="s">
        <v>53</v>
      </c>
      <c r="C8" s="30" t="s">
        <v>15</v>
      </c>
      <c r="D8" s="31" t="s">
        <v>54</v>
      </c>
      <c r="E8" s="31" t="s">
        <v>771</v>
      </c>
      <c r="F8" s="31" t="s">
        <v>772</v>
      </c>
      <c r="G8" s="31" t="s">
        <v>773</v>
      </c>
      <c r="H8" s="31" t="s">
        <v>774</v>
      </c>
      <c r="I8" s="31"/>
      <c r="J8" s="31" t="s">
        <v>775</v>
      </c>
      <c r="K8" s="31" t="s">
        <v>38</v>
      </c>
      <c r="L8" s="31" t="s">
        <v>776</v>
      </c>
      <c r="M8" s="31" t="s">
        <v>777</v>
      </c>
      <c r="N8" s="31" t="s">
        <v>778</v>
      </c>
      <c r="O8" s="31"/>
      <c r="P8" s="31"/>
      <c r="Q8" s="31" t="s">
        <v>674</v>
      </c>
      <c r="R8" s="31" t="s">
        <v>675</v>
      </c>
      <c r="S8" s="31">
        <v>1</v>
      </c>
      <c r="T8" s="31">
        <v>0</v>
      </c>
      <c r="U8" s="31">
        <v>0</v>
      </c>
      <c r="V8" s="31" t="s">
        <v>779</v>
      </c>
      <c r="W8" s="31">
        <v>2</v>
      </c>
      <c r="X8" s="31" t="s">
        <v>780</v>
      </c>
      <c r="Y8" s="31" t="s">
        <v>781</v>
      </c>
      <c r="Z8" s="31" t="s">
        <v>697</v>
      </c>
      <c r="AA8" s="31" t="s">
        <v>782</v>
      </c>
      <c r="AB8" s="31" t="s">
        <v>783</v>
      </c>
      <c r="AC8" s="31" t="s">
        <v>784</v>
      </c>
      <c r="AD8" s="31" t="s">
        <v>785</v>
      </c>
      <c r="AE8" s="31" t="s">
        <v>786</v>
      </c>
    </row>
    <row r="9" spans="1:31" ht="165">
      <c r="A9" s="30" t="s">
        <v>60</v>
      </c>
      <c r="B9" s="30" t="s">
        <v>61</v>
      </c>
      <c r="C9" s="30" t="s">
        <v>15</v>
      </c>
      <c r="D9" s="31" t="s">
        <v>62</v>
      </c>
      <c r="E9" s="31" t="s">
        <v>787</v>
      </c>
      <c r="F9" s="31" t="s">
        <v>788</v>
      </c>
      <c r="G9" s="31" t="s">
        <v>789</v>
      </c>
      <c r="H9" s="31" t="s">
        <v>790</v>
      </c>
      <c r="I9" s="31"/>
      <c r="J9" s="31" t="s">
        <v>791</v>
      </c>
      <c r="K9" s="31" t="s">
        <v>792</v>
      </c>
      <c r="L9" s="31" t="s">
        <v>793</v>
      </c>
      <c r="M9" s="31" t="s">
        <v>794</v>
      </c>
      <c r="N9" s="31" t="s">
        <v>795</v>
      </c>
      <c r="O9" s="31"/>
      <c r="P9" s="31"/>
      <c r="Q9" s="31" t="s">
        <v>674</v>
      </c>
      <c r="R9" s="31" t="s">
        <v>675</v>
      </c>
      <c r="S9" s="31">
        <v>1</v>
      </c>
      <c r="T9" s="31">
        <v>1</v>
      </c>
      <c r="U9" s="31">
        <v>2</v>
      </c>
      <c r="V9" s="31" t="s">
        <v>796</v>
      </c>
      <c r="W9" s="31">
        <v>2</v>
      </c>
      <c r="X9" s="31" t="s">
        <v>797</v>
      </c>
      <c r="Y9" s="31" t="s">
        <v>798</v>
      </c>
      <c r="Z9" s="31" t="s">
        <v>697</v>
      </c>
      <c r="AA9" s="31" t="s">
        <v>799</v>
      </c>
      <c r="AB9" s="31" t="s">
        <v>800</v>
      </c>
      <c r="AC9" s="31" t="s">
        <v>801</v>
      </c>
      <c r="AD9" s="31" t="s">
        <v>802</v>
      </c>
      <c r="AE9" s="31" t="s">
        <v>803</v>
      </c>
    </row>
    <row r="10" spans="1:31" ht="210">
      <c r="A10" s="30" t="s">
        <v>67</v>
      </c>
      <c r="B10" s="30" t="s">
        <v>68</v>
      </c>
      <c r="C10" s="30" t="s">
        <v>15</v>
      </c>
      <c r="D10" s="31" t="s">
        <v>69</v>
      </c>
      <c r="E10" s="31" t="s">
        <v>804</v>
      </c>
      <c r="F10" s="31" t="s">
        <v>805</v>
      </c>
      <c r="G10" s="31" t="s">
        <v>806</v>
      </c>
      <c r="H10" s="31" t="s">
        <v>807</v>
      </c>
      <c r="I10" s="31"/>
      <c r="J10" s="31" t="s">
        <v>791</v>
      </c>
      <c r="K10" s="31" t="s">
        <v>808</v>
      </c>
      <c r="L10" s="31" t="s">
        <v>809</v>
      </c>
      <c r="M10" s="31" t="s">
        <v>810</v>
      </c>
      <c r="N10" s="31" t="s">
        <v>811</v>
      </c>
      <c r="O10" s="31"/>
      <c r="P10" s="31"/>
      <c r="Q10" s="31" t="s">
        <v>674</v>
      </c>
      <c r="R10" s="31" t="s">
        <v>675</v>
      </c>
      <c r="S10" s="31">
        <v>1</v>
      </c>
      <c r="T10" s="31">
        <v>1</v>
      </c>
      <c r="U10" s="31">
        <v>0</v>
      </c>
      <c r="V10" s="31" t="s">
        <v>812</v>
      </c>
      <c r="W10" s="31">
        <v>2</v>
      </c>
      <c r="X10" s="31" t="s">
        <v>813</v>
      </c>
      <c r="Y10" s="31" t="s">
        <v>814</v>
      </c>
      <c r="Z10" s="31" t="s">
        <v>697</v>
      </c>
      <c r="AA10" s="31" t="s">
        <v>815</v>
      </c>
      <c r="AB10" s="31" t="s">
        <v>816</v>
      </c>
      <c r="AC10" s="31" t="s">
        <v>817</v>
      </c>
      <c r="AD10" s="31" t="s">
        <v>818</v>
      </c>
      <c r="AE10" s="31" t="s">
        <v>819</v>
      </c>
    </row>
    <row r="11" spans="1:31" ht="120">
      <c r="A11" s="30" t="s">
        <v>74</v>
      </c>
      <c r="B11" s="30" t="s">
        <v>75</v>
      </c>
      <c r="C11" s="30" t="s">
        <v>15</v>
      </c>
      <c r="D11" s="31" t="s">
        <v>76</v>
      </c>
      <c r="E11" s="31" t="s">
        <v>820</v>
      </c>
      <c r="F11" s="31" t="s">
        <v>821</v>
      </c>
      <c r="G11" s="31" t="s">
        <v>822</v>
      </c>
      <c r="H11" s="31" t="s">
        <v>823</v>
      </c>
      <c r="I11" s="31"/>
      <c r="J11" s="31" t="s">
        <v>824</v>
      </c>
      <c r="K11" s="31" t="s">
        <v>825</v>
      </c>
      <c r="L11" s="31" t="s">
        <v>826</v>
      </c>
      <c r="M11" s="31" t="s">
        <v>827</v>
      </c>
      <c r="N11" s="31" t="s">
        <v>828</v>
      </c>
      <c r="O11" s="31"/>
      <c r="P11" s="31"/>
      <c r="Q11" s="31" t="s">
        <v>674</v>
      </c>
      <c r="R11" s="31" t="s">
        <v>675</v>
      </c>
      <c r="S11" s="31">
        <v>2</v>
      </c>
      <c r="T11" s="31">
        <v>2</v>
      </c>
      <c r="U11" s="31">
        <v>2</v>
      </c>
      <c r="V11" s="31" t="s">
        <v>829</v>
      </c>
      <c r="W11" s="31">
        <v>7</v>
      </c>
      <c r="X11" s="31" t="s">
        <v>830</v>
      </c>
      <c r="Y11" s="31" t="s">
        <v>831</v>
      </c>
      <c r="Z11" s="31" t="s">
        <v>697</v>
      </c>
      <c r="AA11" s="31" t="s">
        <v>832</v>
      </c>
      <c r="AB11" s="31" t="s">
        <v>833</v>
      </c>
      <c r="AC11" s="31" t="s">
        <v>834</v>
      </c>
      <c r="AD11" s="31" t="s">
        <v>835</v>
      </c>
      <c r="AE11" s="31" t="s">
        <v>836</v>
      </c>
    </row>
    <row r="12" spans="1:31" ht="150">
      <c r="A12" s="30" t="s">
        <v>80</v>
      </c>
      <c r="B12" s="30" t="s">
        <v>79</v>
      </c>
      <c r="C12" s="30" t="s">
        <v>15</v>
      </c>
      <c r="D12" s="31" t="s">
        <v>81</v>
      </c>
      <c r="E12" s="31" t="s">
        <v>837</v>
      </c>
      <c r="F12" s="31" t="s">
        <v>838</v>
      </c>
      <c r="G12" s="31" t="s">
        <v>839</v>
      </c>
      <c r="H12" s="31" t="s">
        <v>840</v>
      </c>
      <c r="I12" s="31"/>
      <c r="J12" s="31" t="s">
        <v>841</v>
      </c>
      <c r="K12" s="31" t="s">
        <v>842</v>
      </c>
      <c r="L12" s="31" t="s">
        <v>843</v>
      </c>
      <c r="M12" s="31" t="s">
        <v>844</v>
      </c>
      <c r="N12" s="31" t="s">
        <v>845</v>
      </c>
      <c r="O12" s="31"/>
      <c r="P12" s="31"/>
      <c r="Q12" s="31" t="s">
        <v>674</v>
      </c>
      <c r="R12" s="31" t="s">
        <v>675</v>
      </c>
      <c r="S12" s="31">
        <v>0</v>
      </c>
      <c r="T12" s="31">
        <v>1</v>
      </c>
      <c r="U12" s="31">
        <v>1</v>
      </c>
      <c r="V12" s="31" t="s">
        <v>83</v>
      </c>
      <c r="W12" s="31">
        <v>4</v>
      </c>
      <c r="X12" s="31" t="s">
        <v>846</v>
      </c>
      <c r="Y12" s="31" t="s">
        <v>847</v>
      </c>
      <c r="Z12" s="31" t="s">
        <v>848</v>
      </c>
      <c r="AA12" s="31" t="s">
        <v>849</v>
      </c>
      <c r="AB12" s="31" t="s">
        <v>850</v>
      </c>
      <c r="AC12" s="31" t="s">
        <v>851</v>
      </c>
      <c r="AD12" s="31" t="s">
        <v>852</v>
      </c>
      <c r="AE12" s="31" t="s">
        <v>853</v>
      </c>
    </row>
    <row r="13" spans="1:31" ht="210">
      <c r="A13" s="30" t="s">
        <v>84</v>
      </c>
      <c r="B13" s="30" t="s">
        <v>85</v>
      </c>
      <c r="C13" s="30" t="s">
        <v>15</v>
      </c>
      <c r="D13" s="31" t="s">
        <v>86</v>
      </c>
      <c r="E13" s="31" t="s">
        <v>854</v>
      </c>
      <c r="F13" s="31" t="s">
        <v>855</v>
      </c>
      <c r="G13" s="31" t="s">
        <v>856</v>
      </c>
      <c r="H13" s="31" t="s">
        <v>857</v>
      </c>
      <c r="I13" s="31"/>
      <c r="J13" s="31" t="s">
        <v>858</v>
      </c>
      <c r="K13" s="31" t="s">
        <v>859</v>
      </c>
      <c r="L13" s="31" t="s">
        <v>860</v>
      </c>
      <c r="M13" s="31" t="s">
        <v>861</v>
      </c>
      <c r="N13" s="31" t="s">
        <v>862</v>
      </c>
      <c r="O13" s="31"/>
      <c r="P13" s="31"/>
      <c r="Q13" s="31" t="s">
        <v>674</v>
      </c>
      <c r="R13" s="31" t="s">
        <v>675</v>
      </c>
      <c r="S13" s="31">
        <v>1</v>
      </c>
      <c r="T13" s="31">
        <v>3</v>
      </c>
      <c r="U13" s="31">
        <v>1</v>
      </c>
      <c r="V13" s="31" t="s">
        <v>863</v>
      </c>
      <c r="W13" s="31">
        <v>4</v>
      </c>
      <c r="X13" s="31" t="s">
        <v>864</v>
      </c>
      <c r="Y13" s="31" t="s">
        <v>865</v>
      </c>
      <c r="Z13" s="31" t="s">
        <v>866</v>
      </c>
      <c r="AA13" s="31" t="s">
        <v>867</v>
      </c>
      <c r="AB13" s="31" t="s">
        <v>868</v>
      </c>
      <c r="AC13" s="31" t="s">
        <v>869</v>
      </c>
      <c r="AD13" s="31" t="s">
        <v>870</v>
      </c>
      <c r="AE13" s="31" t="s">
        <v>770</v>
      </c>
    </row>
    <row r="14" spans="1:31" ht="150">
      <c r="A14" s="30" t="s">
        <v>91</v>
      </c>
      <c r="B14" s="30" t="s">
        <v>92</v>
      </c>
      <c r="C14" s="30" t="s">
        <v>15</v>
      </c>
      <c r="D14" s="31" t="s">
        <v>93</v>
      </c>
      <c r="E14" s="31" t="s">
        <v>871</v>
      </c>
      <c r="F14" s="31" t="s">
        <v>872</v>
      </c>
      <c r="G14" s="31" t="s">
        <v>873</v>
      </c>
      <c r="H14" s="31" t="s">
        <v>874</v>
      </c>
      <c r="I14" s="31"/>
      <c r="J14" s="31" t="s">
        <v>791</v>
      </c>
      <c r="K14" s="31" t="s">
        <v>875</v>
      </c>
      <c r="L14" s="31" t="s">
        <v>876</v>
      </c>
      <c r="M14" s="31" t="s">
        <v>877</v>
      </c>
      <c r="N14" s="31" t="s">
        <v>795</v>
      </c>
      <c r="O14" s="31"/>
      <c r="P14" s="31"/>
      <c r="Q14" s="31" t="s">
        <v>674</v>
      </c>
      <c r="R14" s="31" t="s">
        <v>675</v>
      </c>
      <c r="S14" s="31">
        <v>2</v>
      </c>
      <c r="T14" s="31">
        <v>3</v>
      </c>
      <c r="U14" s="31">
        <v>1</v>
      </c>
      <c r="V14" s="31" t="s">
        <v>878</v>
      </c>
      <c r="W14" s="31">
        <v>3</v>
      </c>
      <c r="X14" s="31" t="s">
        <v>879</v>
      </c>
      <c r="Y14" s="31" t="s">
        <v>880</v>
      </c>
      <c r="Z14" s="31" t="s">
        <v>697</v>
      </c>
      <c r="AA14" s="31" t="s">
        <v>881</v>
      </c>
      <c r="AB14" s="31" t="s">
        <v>882</v>
      </c>
      <c r="AC14" s="31" t="s">
        <v>876</v>
      </c>
      <c r="AD14" s="31" t="s">
        <v>883</v>
      </c>
      <c r="AE14" s="31" t="s">
        <v>786</v>
      </c>
    </row>
    <row r="15" spans="1:31" ht="195">
      <c r="A15" s="30" t="s">
        <v>95</v>
      </c>
      <c r="B15" s="30" t="s">
        <v>96</v>
      </c>
      <c r="C15" s="30" t="s">
        <v>15</v>
      </c>
      <c r="D15" s="31" t="s">
        <v>97</v>
      </c>
      <c r="E15" s="31" t="s">
        <v>884</v>
      </c>
      <c r="F15" s="31" t="s">
        <v>885</v>
      </c>
      <c r="G15" s="31" t="s">
        <v>886</v>
      </c>
      <c r="H15" s="31" t="s">
        <v>887</v>
      </c>
      <c r="I15" s="31"/>
      <c r="J15" s="31" t="s">
        <v>888</v>
      </c>
      <c r="K15" s="31" t="s">
        <v>889</v>
      </c>
      <c r="L15" s="31" t="s">
        <v>890</v>
      </c>
      <c r="M15" s="31" t="s">
        <v>891</v>
      </c>
      <c r="N15" s="31" t="s">
        <v>892</v>
      </c>
      <c r="O15" s="31"/>
      <c r="P15" s="31"/>
      <c r="Q15" s="31" t="s">
        <v>674</v>
      </c>
      <c r="R15" s="31" t="s">
        <v>675</v>
      </c>
      <c r="S15" s="31">
        <v>2</v>
      </c>
      <c r="T15" s="31">
        <v>1</v>
      </c>
      <c r="U15" s="31">
        <v>1</v>
      </c>
      <c r="V15" s="31" t="s">
        <v>893</v>
      </c>
      <c r="W15" s="31">
        <v>4</v>
      </c>
      <c r="X15" s="31" t="s">
        <v>894</v>
      </c>
      <c r="Y15" s="31" t="s">
        <v>895</v>
      </c>
      <c r="Z15" s="31" t="s">
        <v>896</v>
      </c>
      <c r="AA15" s="31" t="s">
        <v>897</v>
      </c>
      <c r="AB15" s="31" t="s">
        <v>898</v>
      </c>
      <c r="AC15" s="31" t="s">
        <v>899</v>
      </c>
      <c r="AD15" s="31" t="s">
        <v>900</v>
      </c>
      <c r="AE15" s="31" t="s">
        <v>901</v>
      </c>
    </row>
    <row r="16" spans="1:31" ht="150">
      <c r="A16" s="30" t="s">
        <v>102</v>
      </c>
      <c r="B16" s="30" t="s">
        <v>103</v>
      </c>
      <c r="C16" s="30" t="s">
        <v>15</v>
      </c>
      <c r="D16" s="31" t="s">
        <v>104</v>
      </c>
      <c r="E16" s="31" t="s">
        <v>902</v>
      </c>
      <c r="F16" s="31" t="s">
        <v>903</v>
      </c>
      <c r="G16" s="31" t="s">
        <v>904</v>
      </c>
      <c r="H16" s="31" t="s">
        <v>905</v>
      </c>
      <c r="I16" s="31"/>
      <c r="J16" s="31" t="s">
        <v>791</v>
      </c>
      <c r="K16" s="31" t="s">
        <v>906</v>
      </c>
      <c r="L16" s="31" t="s">
        <v>907</v>
      </c>
      <c r="M16" s="31" t="s">
        <v>908</v>
      </c>
      <c r="N16" s="31" t="s">
        <v>909</v>
      </c>
      <c r="O16" s="31"/>
      <c r="P16" s="31"/>
      <c r="Q16" s="31" t="s">
        <v>674</v>
      </c>
      <c r="R16" s="31" t="s">
        <v>675</v>
      </c>
      <c r="S16" s="31">
        <v>2</v>
      </c>
      <c r="T16" s="31">
        <v>1</v>
      </c>
      <c r="U16" s="31">
        <v>1</v>
      </c>
      <c r="V16" s="31" t="s">
        <v>910</v>
      </c>
      <c r="W16" s="31">
        <v>4</v>
      </c>
      <c r="X16" s="31" t="s">
        <v>911</v>
      </c>
      <c r="Y16" s="31" t="s">
        <v>912</v>
      </c>
      <c r="Z16" s="31" t="s">
        <v>697</v>
      </c>
      <c r="AA16" s="31" t="s">
        <v>913</v>
      </c>
      <c r="AB16" s="31" t="s">
        <v>914</v>
      </c>
      <c r="AC16" s="31" t="s">
        <v>915</v>
      </c>
      <c r="AD16" s="31" t="s">
        <v>916</v>
      </c>
      <c r="AE16" s="31" t="s">
        <v>786</v>
      </c>
    </row>
    <row r="17" spans="1:31" ht="150">
      <c r="A17" s="30" t="s">
        <v>107</v>
      </c>
      <c r="B17" s="30" t="s">
        <v>108</v>
      </c>
      <c r="C17" s="30" t="s">
        <v>15</v>
      </c>
      <c r="D17" s="31" t="s">
        <v>109</v>
      </c>
      <c r="E17" s="31" t="s">
        <v>110</v>
      </c>
      <c r="F17" s="31" t="s">
        <v>917</v>
      </c>
      <c r="G17" s="31" t="s">
        <v>918</v>
      </c>
      <c r="H17" s="31" t="s">
        <v>919</v>
      </c>
      <c r="I17" s="31"/>
      <c r="J17" s="31" t="s">
        <v>920</v>
      </c>
      <c r="K17" s="31" t="s">
        <v>102</v>
      </c>
      <c r="L17" s="31" t="s">
        <v>921</v>
      </c>
      <c r="M17" s="31" t="s">
        <v>922</v>
      </c>
      <c r="N17" s="31" t="s">
        <v>923</v>
      </c>
      <c r="O17" s="31"/>
      <c r="P17" s="31"/>
      <c r="Q17" s="31" t="s">
        <v>674</v>
      </c>
      <c r="R17" s="31" t="s">
        <v>675</v>
      </c>
      <c r="S17" s="31">
        <v>0</v>
      </c>
      <c r="T17" s="31">
        <v>1</v>
      </c>
      <c r="U17" s="31">
        <v>1</v>
      </c>
      <c r="V17" s="31" t="s">
        <v>924</v>
      </c>
      <c r="W17" s="31">
        <v>4</v>
      </c>
      <c r="X17" s="31" t="s">
        <v>925</v>
      </c>
      <c r="Y17" s="31" t="s">
        <v>926</v>
      </c>
      <c r="Z17" s="31" t="s">
        <v>697</v>
      </c>
      <c r="AA17" s="31" t="s">
        <v>927</v>
      </c>
      <c r="AB17" s="31" t="s">
        <v>928</v>
      </c>
      <c r="AC17" s="31" t="s">
        <v>929</v>
      </c>
      <c r="AD17" s="31" t="s">
        <v>930</v>
      </c>
      <c r="AE17" s="31" t="s">
        <v>786</v>
      </c>
    </row>
    <row r="18" spans="1:31" ht="60">
      <c r="A18" s="30" t="s">
        <v>113</v>
      </c>
      <c r="B18" s="30" t="s">
        <v>114</v>
      </c>
      <c r="C18" s="30" t="s">
        <v>15</v>
      </c>
      <c r="D18" s="31" t="s">
        <v>115</v>
      </c>
      <c r="E18" s="31" t="s">
        <v>116</v>
      </c>
      <c r="F18" s="31" t="s">
        <v>931</v>
      </c>
      <c r="G18" s="31" t="s">
        <v>932</v>
      </c>
      <c r="H18" s="31" t="s">
        <v>933</v>
      </c>
      <c r="I18" s="31"/>
      <c r="J18" s="31" t="s">
        <v>791</v>
      </c>
      <c r="K18" s="31" t="s">
        <v>808</v>
      </c>
      <c r="L18" s="31" t="s">
        <v>934</v>
      </c>
      <c r="M18" s="31" t="s">
        <v>891</v>
      </c>
      <c r="N18" s="31" t="s">
        <v>795</v>
      </c>
      <c r="O18" s="31"/>
      <c r="P18" s="31"/>
      <c r="Q18" s="31" t="s">
        <v>674</v>
      </c>
      <c r="R18" s="31" t="s">
        <v>675</v>
      </c>
      <c r="S18" s="31">
        <v>1</v>
      </c>
      <c r="T18" s="31">
        <v>1</v>
      </c>
      <c r="U18" s="31">
        <v>3</v>
      </c>
      <c r="V18" s="31" t="s">
        <v>935</v>
      </c>
      <c r="W18" s="31">
        <v>3</v>
      </c>
      <c r="X18" s="31"/>
      <c r="Y18" s="31" t="s">
        <v>936</v>
      </c>
      <c r="Z18" s="31"/>
      <c r="AA18" s="31"/>
      <c r="AB18" s="31"/>
      <c r="AC18" s="31"/>
      <c r="AD18" s="31"/>
      <c r="AE18" s="31"/>
    </row>
    <row r="19" spans="1:31" ht="30">
      <c r="A19" s="30" t="s">
        <v>119</v>
      </c>
      <c r="B19" s="30" t="s">
        <v>120</v>
      </c>
      <c r="C19" s="30" t="s">
        <v>15</v>
      </c>
      <c r="D19" s="31" t="s">
        <v>121</v>
      </c>
      <c r="E19" s="31" t="s">
        <v>937</v>
      </c>
      <c r="F19" s="31" t="s">
        <v>938</v>
      </c>
      <c r="G19" s="31" t="s">
        <v>939</v>
      </c>
      <c r="H19" s="31" t="s">
        <v>940</v>
      </c>
      <c r="I19" s="31"/>
      <c r="J19" s="31" t="s">
        <v>791</v>
      </c>
      <c r="K19" s="31" t="s">
        <v>941</v>
      </c>
      <c r="L19" s="31" t="s">
        <v>942</v>
      </c>
      <c r="M19" s="31" t="s">
        <v>943</v>
      </c>
      <c r="N19" s="31" t="s">
        <v>944</v>
      </c>
      <c r="O19" s="31"/>
      <c r="P19" s="31"/>
      <c r="Q19" s="31" t="s">
        <v>674</v>
      </c>
      <c r="R19" s="31" t="s">
        <v>675</v>
      </c>
      <c r="S19" s="31">
        <v>1</v>
      </c>
      <c r="T19" s="31">
        <v>1</v>
      </c>
      <c r="U19" s="31">
        <v>1</v>
      </c>
      <c r="V19" s="31" t="s">
        <v>945</v>
      </c>
      <c r="W19" s="31">
        <v>2</v>
      </c>
      <c r="X19" s="31"/>
      <c r="Y19" s="31" t="s">
        <v>946</v>
      </c>
      <c r="Z19" s="31"/>
      <c r="AA19" s="31"/>
      <c r="AB19" s="31"/>
      <c r="AC19" s="31"/>
      <c r="AD19" s="31"/>
      <c r="AE19" s="31"/>
    </row>
    <row r="20" spans="1:31" ht="135">
      <c r="A20" s="30" t="s">
        <v>125</v>
      </c>
      <c r="B20" s="30" t="s">
        <v>126</v>
      </c>
      <c r="C20" s="30" t="s">
        <v>15</v>
      </c>
      <c r="D20" s="31" t="s">
        <v>127</v>
      </c>
      <c r="E20" s="31" t="s">
        <v>128</v>
      </c>
      <c r="F20" s="31" t="s">
        <v>947</v>
      </c>
      <c r="G20" s="31" t="s">
        <v>948</v>
      </c>
      <c r="H20" s="31" t="s">
        <v>874</v>
      </c>
      <c r="I20" s="31"/>
      <c r="J20" s="31" t="s">
        <v>791</v>
      </c>
      <c r="K20" s="31" t="s">
        <v>949</v>
      </c>
      <c r="L20" s="31" t="s">
        <v>950</v>
      </c>
      <c r="M20" s="31" t="s">
        <v>877</v>
      </c>
      <c r="N20" s="31" t="s">
        <v>795</v>
      </c>
      <c r="O20" s="31"/>
      <c r="P20" s="31"/>
      <c r="Q20" s="31" t="s">
        <v>674</v>
      </c>
      <c r="R20" s="31" t="s">
        <v>675</v>
      </c>
      <c r="S20" s="31">
        <v>2</v>
      </c>
      <c r="T20" s="31">
        <v>1</v>
      </c>
      <c r="U20" s="31">
        <v>3</v>
      </c>
      <c r="V20" s="31" t="s">
        <v>951</v>
      </c>
      <c r="W20" s="31">
        <v>5</v>
      </c>
      <c r="X20" s="31" t="s">
        <v>952</v>
      </c>
      <c r="Y20" s="31" t="s">
        <v>953</v>
      </c>
      <c r="Z20" s="31" t="s">
        <v>697</v>
      </c>
      <c r="AA20" s="31" t="s">
        <v>954</v>
      </c>
      <c r="AB20" s="31" t="s">
        <v>882</v>
      </c>
      <c r="AC20" s="31" t="s">
        <v>955</v>
      </c>
      <c r="AD20" s="31" t="s">
        <v>956</v>
      </c>
      <c r="AE20" s="31" t="s">
        <v>786</v>
      </c>
    </row>
    <row r="21" spans="1:31" ht="75">
      <c r="A21" s="30" t="s">
        <v>130</v>
      </c>
      <c r="B21" s="30" t="s">
        <v>131</v>
      </c>
      <c r="C21" s="30" t="s">
        <v>15</v>
      </c>
      <c r="D21" s="31" t="s">
        <v>132</v>
      </c>
      <c r="E21" s="31" t="s">
        <v>133</v>
      </c>
      <c r="F21" s="31" t="s">
        <v>957</v>
      </c>
      <c r="G21" s="31" t="s">
        <v>958</v>
      </c>
      <c r="H21" s="31" t="s">
        <v>959</v>
      </c>
      <c r="I21" s="31"/>
      <c r="J21" s="31" t="s">
        <v>960</v>
      </c>
      <c r="K21" s="31" t="s">
        <v>961</v>
      </c>
      <c r="L21" s="31" t="s">
        <v>962</v>
      </c>
      <c r="M21" s="31" t="s">
        <v>891</v>
      </c>
      <c r="N21" s="31" t="s">
        <v>892</v>
      </c>
      <c r="O21" s="31"/>
      <c r="P21" s="31"/>
      <c r="Q21" s="31" t="s">
        <v>674</v>
      </c>
      <c r="R21" s="31" t="s">
        <v>675</v>
      </c>
      <c r="S21" s="31">
        <v>0</v>
      </c>
      <c r="T21" s="31">
        <v>1</v>
      </c>
      <c r="U21" s="31">
        <v>1</v>
      </c>
      <c r="V21" s="31" t="s">
        <v>963</v>
      </c>
      <c r="W21" s="31">
        <v>5</v>
      </c>
      <c r="X21" s="31" t="s">
        <v>964</v>
      </c>
      <c r="Y21" s="31" t="s">
        <v>965</v>
      </c>
      <c r="Z21" s="31" t="s">
        <v>697</v>
      </c>
      <c r="AA21" s="31" t="s">
        <v>966</v>
      </c>
      <c r="AB21" s="31" t="s">
        <v>967</v>
      </c>
      <c r="AC21" s="31" t="s">
        <v>899</v>
      </c>
      <c r="AD21" s="31" t="s">
        <v>968</v>
      </c>
      <c r="AE21" s="31" t="s">
        <v>770</v>
      </c>
    </row>
    <row r="22" spans="1:31" ht="45">
      <c r="A22" s="30" t="s">
        <v>135</v>
      </c>
      <c r="B22" s="30" t="s">
        <v>136</v>
      </c>
      <c r="C22" s="30" t="s">
        <v>15</v>
      </c>
      <c r="D22" s="31" t="s">
        <v>137</v>
      </c>
      <c r="E22" s="31" t="s">
        <v>969</v>
      </c>
      <c r="F22" s="31" t="s">
        <v>970</v>
      </c>
      <c r="G22" s="31" t="s">
        <v>971</v>
      </c>
      <c r="H22" s="31" t="s">
        <v>972</v>
      </c>
      <c r="I22" s="31"/>
      <c r="J22" s="31" t="s">
        <v>791</v>
      </c>
      <c r="K22" s="31" t="s">
        <v>973</v>
      </c>
      <c r="L22" s="31" t="s">
        <v>974</v>
      </c>
      <c r="M22" s="31" t="s">
        <v>877</v>
      </c>
      <c r="N22" s="31" t="s">
        <v>795</v>
      </c>
      <c r="O22" s="31"/>
      <c r="P22" s="31"/>
      <c r="Q22" s="31" t="s">
        <v>674</v>
      </c>
      <c r="R22" s="31" t="s">
        <v>675</v>
      </c>
      <c r="S22" s="31">
        <v>2</v>
      </c>
      <c r="T22" s="31">
        <v>1</v>
      </c>
      <c r="U22" s="31">
        <v>1</v>
      </c>
      <c r="V22" s="31" t="s">
        <v>975</v>
      </c>
      <c r="W22" s="31">
        <v>3</v>
      </c>
      <c r="X22" s="31"/>
      <c r="Y22" s="31" t="s">
        <v>976</v>
      </c>
      <c r="Z22" s="31"/>
      <c r="AA22" s="31"/>
      <c r="AB22" s="31"/>
      <c r="AC22" s="31"/>
      <c r="AD22" s="31"/>
      <c r="AE22" s="31"/>
    </row>
    <row r="23" spans="1:31" ht="30">
      <c r="A23" s="30" t="s">
        <v>140</v>
      </c>
      <c r="B23" s="30" t="s">
        <v>141</v>
      </c>
      <c r="C23" s="30" t="s">
        <v>15</v>
      </c>
      <c r="D23" s="31" t="s">
        <v>142</v>
      </c>
      <c r="E23" s="31" t="s">
        <v>977</v>
      </c>
      <c r="F23" s="31" t="s">
        <v>978</v>
      </c>
      <c r="G23" s="31" t="s">
        <v>979</v>
      </c>
      <c r="H23" s="31" t="s">
        <v>980</v>
      </c>
      <c r="I23" s="31"/>
      <c r="J23" s="31" t="s">
        <v>981</v>
      </c>
      <c r="K23" s="31" t="s">
        <v>135</v>
      </c>
      <c r="L23" s="31" t="s">
        <v>982</v>
      </c>
      <c r="M23" s="31" t="s">
        <v>983</v>
      </c>
      <c r="N23" s="31" t="s">
        <v>984</v>
      </c>
      <c r="O23" s="31"/>
      <c r="P23" s="31"/>
      <c r="Q23" s="31" t="s">
        <v>674</v>
      </c>
      <c r="R23" s="31" t="s">
        <v>675</v>
      </c>
      <c r="S23" s="31">
        <v>0</v>
      </c>
      <c r="T23" s="31">
        <v>1</v>
      </c>
      <c r="U23" s="31">
        <v>1</v>
      </c>
      <c r="V23" s="31" t="s">
        <v>985</v>
      </c>
      <c r="W23" s="31">
        <v>3</v>
      </c>
      <c r="X23" s="31"/>
      <c r="Y23" s="31" t="s">
        <v>976</v>
      </c>
      <c r="Z23" s="31"/>
      <c r="AA23" s="31"/>
      <c r="AB23" s="31"/>
      <c r="AC23" s="31"/>
      <c r="AD23" s="31"/>
      <c r="AE23" s="31"/>
    </row>
    <row r="24" spans="1:31" ht="135">
      <c r="A24" s="30" t="s">
        <v>146</v>
      </c>
      <c r="B24" s="30" t="s">
        <v>147</v>
      </c>
      <c r="C24" s="30" t="s">
        <v>15</v>
      </c>
      <c r="D24" s="31" t="s">
        <v>148</v>
      </c>
      <c r="E24" s="31" t="s">
        <v>986</v>
      </c>
      <c r="F24" s="31" t="s">
        <v>987</v>
      </c>
      <c r="G24" s="31" t="s">
        <v>988</v>
      </c>
      <c r="H24" s="31" t="s">
        <v>989</v>
      </c>
      <c r="I24" s="31"/>
      <c r="J24" s="31" t="s">
        <v>791</v>
      </c>
      <c r="K24" s="31" t="s">
        <v>990</v>
      </c>
      <c r="L24" s="31" t="s">
        <v>991</v>
      </c>
      <c r="M24" s="31" t="s">
        <v>891</v>
      </c>
      <c r="N24" s="31" t="s">
        <v>992</v>
      </c>
      <c r="O24" s="31"/>
      <c r="P24" s="31"/>
      <c r="Q24" s="31" t="s">
        <v>674</v>
      </c>
      <c r="R24" s="31" t="s">
        <v>675</v>
      </c>
      <c r="S24" s="31">
        <v>2</v>
      </c>
      <c r="T24" s="31">
        <v>2</v>
      </c>
      <c r="U24" s="31">
        <v>0</v>
      </c>
      <c r="V24" s="31" t="s">
        <v>993</v>
      </c>
      <c r="W24" s="31">
        <v>5</v>
      </c>
      <c r="X24" s="31" t="s">
        <v>994</v>
      </c>
      <c r="Y24" s="31" t="s">
        <v>995</v>
      </c>
      <c r="Z24" s="31" t="s">
        <v>697</v>
      </c>
      <c r="AA24" s="31" t="s">
        <v>996</v>
      </c>
      <c r="AB24" s="31" t="s">
        <v>997</v>
      </c>
      <c r="AC24" s="31" t="s">
        <v>974</v>
      </c>
      <c r="AD24" s="31" t="s">
        <v>998</v>
      </c>
      <c r="AE24" s="31" t="s">
        <v>786</v>
      </c>
    </row>
    <row r="25" spans="1:31" ht="180">
      <c r="A25" s="30" t="s">
        <v>152</v>
      </c>
      <c r="B25" s="30" t="s">
        <v>153</v>
      </c>
      <c r="C25" s="30" t="s">
        <v>15</v>
      </c>
      <c r="D25" s="31" t="s">
        <v>154</v>
      </c>
      <c r="E25" s="31" t="s">
        <v>999</v>
      </c>
      <c r="F25" s="31" t="s">
        <v>1000</v>
      </c>
      <c r="G25" s="31" t="s">
        <v>1001</v>
      </c>
      <c r="H25" s="31" t="s">
        <v>1002</v>
      </c>
      <c r="I25" s="31"/>
      <c r="J25" s="31" t="s">
        <v>1003</v>
      </c>
      <c r="K25" s="31" t="s">
        <v>1004</v>
      </c>
      <c r="L25" s="31" t="s">
        <v>1005</v>
      </c>
      <c r="M25" s="31" t="s">
        <v>1006</v>
      </c>
      <c r="N25" s="31" t="s">
        <v>892</v>
      </c>
      <c r="O25" s="31"/>
      <c r="P25" s="31"/>
      <c r="Q25" s="31" t="s">
        <v>674</v>
      </c>
      <c r="R25" s="31" t="s">
        <v>675</v>
      </c>
      <c r="S25" s="31">
        <v>0</v>
      </c>
      <c r="T25" s="31">
        <v>0</v>
      </c>
      <c r="U25" s="31">
        <v>0</v>
      </c>
      <c r="V25" s="31" t="s">
        <v>1007</v>
      </c>
      <c r="W25" s="31">
        <v>2</v>
      </c>
      <c r="X25" s="31" t="s">
        <v>1008</v>
      </c>
      <c r="Y25" s="31" t="s">
        <v>1009</v>
      </c>
      <c r="Z25" s="31" t="s">
        <v>848</v>
      </c>
      <c r="AA25" s="31" t="s">
        <v>1010</v>
      </c>
      <c r="AB25" s="31" t="s">
        <v>1011</v>
      </c>
      <c r="AC25" s="31" t="s">
        <v>982</v>
      </c>
      <c r="AD25" s="31" t="s">
        <v>1012</v>
      </c>
      <c r="AE25" s="31" t="s">
        <v>1013</v>
      </c>
    </row>
    <row r="26" spans="1:31" ht="30">
      <c r="A26" s="30" t="s">
        <v>158</v>
      </c>
      <c r="B26" s="30" t="s">
        <v>159</v>
      </c>
      <c r="C26" s="30" t="s">
        <v>15</v>
      </c>
      <c r="D26" s="31" t="s">
        <v>160</v>
      </c>
      <c r="E26" s="31" t="s">
        <v>161</v>
      </c>
      <c r="F26" s="31" t="s">
        <v>1014</v>
      </c>
      <c r="G26" s="31" t="s">
        <v>1015</v>
      </c>
      <c r="H26" s="31" t="s">
        <v>1016</v>
      </c>
      <c r="I26" s="31"/>
      <c r="J26" s="31" t="s">
        <v>791</v>
      </c>
      <c r="K26" s="31" t="s">
        <v>1017</v>
      </c>
      <c r="L26" s="31" t="s">
        <v>1018</v>
      </c>
      <c r="M26" s="31" t="s">
        <v>922</v>
      </c>
      <c r="N26" s="31" t="s">
        <v>795</v>
      </c>
      <c r="O26" s="31"/>
      <c r="P26" s="31"/>
      <c r="Q26" s="31" t="s">
        <v>674</v>
      </c>
      <c r="R26" s="31" t="s">
        <v>675</v>
      </c>
      <c r="S26" s="31">
        <v>2</v>
      </c>
      <c r="T26" s="31">
        <v>1</v>
      </c>
      <c r="U26" s="31">
        <v>0</v>
      </c>
      <c r="V26" s="31" t="s">
        <v>1019</v>
      </c>
      <c r="W26" s="31">
        <v>2</v>
      </c>
      <c r="X26" s="31"/>
      <c r="Y26" s="31" t="s">
        <v>1020</v>
      </c>
      <c r="Z26" s="31"/>
      <c r="AA26" s="31"/>
      <c r="AB26" s="31"/>
      <c r="AC26" s="31"/>
      <c r="AD26" s="31"/>
      <c r="AE26" s="31"/>
    </row>
    <row r="27" spans="1:31" ht="45">
      <c r="A27" s="30" t="s">
        <v>164</v>
      </c>
      <c r="B27" s="30" t="s">
        <v>165</v>
      </c>
      <c r="C27" s="30" t="s">
        <v>15</v>
      </c>
      <c r="D27" s="31" t="s">
        <v>166</v>
      </c>
      <c r="E27" s="31" t="s">
        <v>1021</v>
      </c>
      <c r="F27" s="31" t="s">
        <v>1022</v>
      </c>
      <c r="G27" s="31" t="s">
        <v>1023</v>
      </c>
      <c r="H27" s="31" t="s">
        <v>1016</v>
      </c>
      <c r="I27" s="31"/>
      <c r="J27" s="31" t="s">
        <v>791</v>
      </c>
      <c r="K27" s="31" t="s">
        <v>808</v>
      </c>
      <c r="L27" s="31" t="s">
        <v>1024</v>
      </c>
      <c r="M27" s="31" t="s">
        <v>877</v>
      </c>
      <c r="N27" s="31" t="s">
        <v>795</v>
      </c>
      <c r="O27" s="31"/>
      <c r="P27" s="31"/>
      <c r="Q27" s="31" t="s">
        <v>674</v>
      </c>
      <c r="R27" s="31" t="s">
        <v>675</v>
      </c>
      <c r="S27" s="31">
        <v>0</v>
      </c>
      <c r="T27" s="31">
        <v>1</v>
      </c>
      <c r="U27" s="31">
        <v>0</v>
      </c>
      <c r="V27" s="31" t="s">
        <v>1025</v>
      </c>
      <c r="W27" s="31">
        <v>3</v>
      </c>
      <c r="X27" s="31"/>
      <c r="Y27" s="31" t="s">
        <v>1026</v>
      </c>
      <c r="Z27" s="31"/>
      <c r="AA27" s="31"/>
      <c r="AB27" s="31"/>
      <c r="AC27" s="31"/>
      <c r="AD27" s="31"/>
      <c r="AE27" s="31"/>
    </row>
    <row r="28" spans="1:31" ht="270">
      <c r="A28" s="30" t="s">
        <v>171</v>
      </c>
      <c r="B28" s="30" t="s">
        <v>172</v>
      </c>
      <c r="C28" s="30" t="s">
        <v>15</v>
      </c>
      <c r="D28" s="31" t="s">
        <v>173</v>
      </c>
      <c r="E28" s="31" t="s">
        <v>1027</v>
      </c>
      <c r="F28" s="31" t="s">
        <v>1028</v>
      </c>
      <c r="G28" s="31" t="s">
        <v>1029</v>
      </c>
      <c r="H28" s="31" t="s">
        <v>1030</v>
      </c>
      <c r="I28" s="31"/>
      <c r="J28" s="31" t="s">
        <v>1031</v>
      </c>
      <c r="K28" s="31" t="s">
        <v>1032</v>
      </c>
      <c r="L28" s="31" t="s">
        <v>1033</v>
      </c>
      <c r="M28" s="31" t="s">
        <v>1034</v>
      </c>
      <c r="N28" s="31" t="s">
        <v>1035</v>
      </c>
      <c r="O28" s="31"/>
      <c r="P28" s="31"/>
      <c r="Q28" s="31" t="s">
        <v>674</v>
      </c>
      <c r="R28" s="31" t="s">
        <v>675</v>
      </c>
      <c r="S28" s="31">
        <v>2</v>
      </c>
      <c r="T28" s="31">
        <v>2</v>
      </c>
      <c r="U28" s="31">
        <v>2</v>
      </c>
      <c r="V28" s="31" t="s">
        <v>1036</v>
      </c>
      <c r="W28" s="31">
        <v>6</v>
      </c>
      <c r="X28" s="31" t="s">
        <v>1037</v>
      </c>
      <c r="Y28" s="31" t="s">
        <v>1038</v>
      </c>
      <c r="Z28" s="31" t="s">
        <v>1039</v>
      </c>
      <c r="AA28" s="31" t="s">
        <v>1040</v>
      </c>
      <c r="AB28" s="31" t="s">
        <v>1041</v>
      </c>
      <c r="AC28" s="31" t="s">
        <v>1042</v>
      </c>
      <c r="AD28" s="31" t="s">
        <v>1043</v>
      </c>
      <c r="AE28" s="31" t="s">
        <v>786</v>
      </c>
    </row>
    <row r="29" spans="1:31" ht="30">
      <c r="A29" s="30" t="s">
        <v>177</v>
      </c>
      <c r="B29" s="30" t="s">
        <v>178</v>
      </c>
      <c r="C29" s="30" t="s">
        <v>15</v>
      </c>
      <c r="D29" s="31" t="s">
        <v>179</v>
      </c>
      <c r="E29" s="31" t="s">
        <v>1044</v>
      </c>
      <c r="F29" s="31" t="s">
        <v>1045</v>
      </c>
      <c r="G29" s="31" t="s">
        <v>1046</v>
      </c>
      <c r="H29" s="31" t="s">
        <v>1047</v>
      </c>
      <c r="I29" s="31"/>
      <c r="J29" s="31" t="s">
        <v>791</v>
      </c>
      <c r="K29" s="31" t="s">
        <v>1048</v>
      </c>
      <c r="L29" s="31" t="s">
        <v>1049</v>
      </c>
      <c r="M29" s="31" t="s">
        <v>877</v>
      </c>
      <c r="N29" s="31" t="s">
        <v>944</v>
      </c>
      <c r="O29" s="31"/>
      <c r="P29" s="31"/>
      <c r="Q29" s="31" t="s">
        <v>674</v>
      </c>
      <c r="R29" s="31" t="s">
        <v>675</v>
      </c>
      <c r="S29" s="31">
        <v>0</v>
      </c>
      <c r="T29" s="31">
        <v>2</v>
      </c>
      <c r="U29" s="31">
        <v>4</v>
      </c>
      <c r="V29" s="31" t="s">
        <v>181</v>
      </c>
      <c r="W29" s="31">
        <v>2</v>
      </c>
      <c r="X29" s="31"/>
      <c r="Y29" s="31" t="s">
        <v>1050</v>
      </c>
      <c r="Z29" s="31"/>
      <c r="AA29" s="31"/>
      <c r="AB29" s="31"/>
      <c r="AC29" s="31"/>
      <c r="AD29" s="31"/>
      <c r="AE29" s="31"/>
    </row>
    <row r="30" spans="1:31" ht="210">
      <c r="A30" s="30" t="s">
        <v>183</v>
      </c>
      <c r="B30" s="30" t="s">
        <v>182</v>
      </c>
      <c r="C30" s="30" t="s">
        <v>15</v>
      </c>
      <c r="D30" s="31" t="s">
        <v>184</v>
      </c>
      <c r="E30" s="31" t="s">
        <v>1051</v>
      </c>
      <c r="F30" s="31" t="s">
        <v>1052</v>
      </c>
      <c r="G30" s="31" t="s">
        <v>1053</v>
      </c>
      <c r="H30" s="31" t="s">
        <v>1054</v>
      </c>
      <c r="I30" s="31"/>
      <c r="J30" s="31" t="s">
        <v>791</v>
      </c>
      <c r="K30" s="31" t="s">
        <v>1055</v>
      </c>
      <c r="L30" s="31" t="s">
        <v>1056</v>
      </c>
      <c r="M30" s="31" t="s">
        <v>1057</v>
      </c>
      <c r="N30" s="31" t="s">
        <v>892</v>
      </c>
      <c r="O30" s="31"/>
      <c r="P30" s="31"/>
      <c r="Q30" s="31" t="s">
        <v>674</v>
      </c>
      <c r="R30" s="31" t="s">
        <v>675</v>
      </c>
      <c r="S30" s="31">
        <v>5</v>
      </c>
      <c r="T30" s="31">
        <v>1</v>
      </c>
      <c r="U30" s="31">
        <v>0</v>
      </c>
      <c r="V30" s="31" t="s">
        <v>186</v>
      </c>
      <c r="W30" s="31">
        <v>3</v>
      </c>
      <c r="X30" s="31" t="s">
        <v>1058</v>
      </c>
      <c r="Y30" s="31" t="s">
        <v>1059</v>
      </c>
      <c r="Z30" s="31" t="s">
        <v>1060</v>
      </c>
      <c r="AA30" s="31" t="s">
        <v>1061</v>
      </c>
      <c r="AB30" s="31" t="s">
        <v>1062</v>
      </c>
      <c r="AC30" s="31" t="s">
        <v>1063</v>
      </c>
      <c r="AD30" s="31" t="s">
        <v>1064</v>
      </c>
      <c r="AE30" s="31" t="s">
        <v>1065</v>
      </c>
    </row>
    <row r="31" spans="1:31" ht="180">
      <c r="A31" s="30" t="s">
        <v>187</v>
      </c>
      <c r="B31" s="30" t="s">
        <v>188</v>
      </c>
      <c r="C31" s="30" t="s">
        <v>15</v>
      </c>
      <c r="D31" s="31" t="s">
        <v>189</v>
      </c>
      <c r="E31" s="31" t="s">
        <v>191</v>
      </c>
      <c r="F31" s="31" t="s">
        <v>1066</v>
      </c>
      <c r="G31" s="31" t="s">
        <v>1067</v>
      </c>
      <c r="H31" s="31" t="s">
        <v>1068</v>
      </c>
      <c r="I31" s="31"/>
      <c r="J31" s="31" t="s">
        <v>1069</v>
      </c>
      <c r="K31" s="31" t="s">
        <v>183</v>
      </c>
      <c r="L31" s="31" t="s">
        <v>1070</v>
      </c>
      <c r="M31" s="31" t="s">
        <v>1071</v>
      </c>
      <c r="N31" s="31" t="s">
        <v>1072</v>
      </c>
      <c r="O31" s="31"/>
      <c r="P31" s="31"/>
      <c r="Q31" s="31" t="s">
        <v>674</v>
      </c>
      <c r="R31" s="31" t="s">
        <v>675</v>
      </c>
      <c r="S31" s="31">
        <v>0</v>
      </c>
      <c r="T31" s="31">
        <v>2</v>
      </c>
      <c r="U31" s="31">
        <v>0</v>
      </c>
      <c r="V31" s="31" t="s">
        <v>1073</v>
      </c>
      <c r="W31" s="31">
        <v>3</v>
      </c>
      <c r="X31" s="31" t="s">
        <v>1074</v>
      </c>
      <c r="Y31" s="31" t="s">
        <v>1075</v>
      </c>
      <c r="Z31" s="31" t="s">
        <v>697</v>
      </c>
      <c r="AA31" s="31" t="s">
        <v>1076</v>
      </c>
      <c r="AB31" s="31" t="s">
        <v>1077</v>
      </c>
      <c r="AC31" s="31" t="s">
        <v>1078</v>
      </c>
      <c r="AD31" s="31" t="s">
        <v>1079</v>
      </c>
      <c r="AE31" s="31" t="s">
        <v>786</v>
      </c>
    </row>
    <row r="32" spans="1:31" ht="180">
      <c r="A32" s="30" t="s">
        <v>194</v>
      </c>
      <c r="B32" s="30" t="s">
        <v>195</v>
      </c>
      <c r="C32" s="30" t="s">
        <v>15</v>
      </c>
      <c r="D32" s="31" t="s">
        <v>196</v>
      </c>
      <c r="E32" s="31" t="s">
        <v>197</v>
      </c>
      <c r="F32" s="31" t="s">
        <v>1080</v>
      </c>
      <c r="G32" s="31" t="s">
        <v>1081</v>
      </c>
      <c r="H32" s="31" t="s">
        <v>1082</v>
      </c>
      <c r="I32" s="31"/>
      <c r="J32" s="31" t="s">
        <v>1069</v>
      </c>
      <c r="K32" s="31" t="s">
        <v>183</v>
      </c>
      <c r="L32" s="31" t="s">
        <v>1083</v>
      </c>
      <c r="M32" s="31" t="s">
        <v>891</v>
      </c>
      <c r="N32" s="31" t="s">
        <v>892</v>
      </c>
      <c r="O32" s="31"/>
      <c r="P32" s="31"/>
      <c r="Q32" s="31" t="s">
        <v>674</v>
      </c>
      <c r="R32" s="31" t="s">
        <v>675</v>
      </c>
      <c r="S32" s="31">
        <v>0</v>
      </c>
      <c r="T32" s="31">
        <v>1</v>
      </c>
      <c r="U32" s="31">
        <v>0</v>
      </c>
      <c r="V32" s="31" t="s">
        <v>1084</v>
      </c>
      <c r="W32" s="31">
        <v>2</v>
      </c>
      <c r="X32" s="31" t="s">
        <v>1085</v>
      </c>
      <c r="Y32" s="31" t="s">
        <v>1086</v>
      </c>
      <c r="Z32" s="31" t="s">
        <v>697</v>
      </c>
      <c r="AA32" s="31" t="s">
        <v>1087</v>
      </c>
      <c r="AB32" s="31" t="s">
        <v>1077</v>
      </c>
      <c r="AC32" s="31" t="s">
        <v>1088</v>
      </c>
      <c r="AD32" s="31" t="s">
        <v>1089</v>
      </c>
      <c r="AE32" s="31" t="s">
        <v>786</v>
      </c>
    </row>
    <row r="33" spans="1:31" ht="135">
      <c r="A33" s="30" t="s">
        <v>200</v>
      </c>
      <c r="B33" s="30" t="s">
        <v>201</v>
      </c>
      <c r="C33" s="30" t="s">
        <v>15</v>
      </c>
      <c r="D33" s="31" t="s">
        <v>202</v>
      </c>
      <c r="E33" s="31" t="s">
        <v>203</v>
      </c>
      <c r="F33" s="31" t="s">
        <v>1090</v>
      </c>
      <c r="G33" s="31" t="s">
        <v>1091</v>
      </c>
      <c r="H33" s="31" t="s">
        <v>1092</v>
      </c>
      <c r="I33" s="31"/>
      <c r="J33" s="31" t="s">
        <v>1069</v>
      </c>
      <c r="K33" s="31" t="s">
        <v>183</v>
      </c>
      <c r="L33" s="31" t="s">
        <v>1093</v>
      </c>
      <c r="M33" s="31" t="s">
        <v>1094</v>
      </c>
      <c r="N33" s="31" t="s">
        <v>795</v>
      </c>
      <c r="O33" s="31"/>
      <c r="P33" s="31"/>
      <c r="Q33" s="31" t="s">
        <v>674</v>
      </c>
      <c r="R33" s="31" t="s">
        <v>675</v>
      </c>
      <c r="S33" s="31">
        <v>0</v>
      </c>
      <c r="T33" s="31">
        <v>1</v>
      </c>
      <c r="U33" s="31">
        <v>0</v>
      </c>
      <c r="V33" s="31" t="s">
        <v>1095</v>
      </c>
      <c r="W33" s="31">
        <v>2</v>
      </c>
      <c r="X33" s="31" t="s">
        <v>1096</v>
      </c>
      <c r="Y33" s="31" t="s">
        <v>1097</v>
      </c>
      <c r="Z33" s="31" t="s">
        <v>697</v>
      </c>
      <c r="AA33" s="31" t="s">
        <v>1098</v>
      </c>
      <c r="AB33" s="31" t="s">
        <v>1099</v>
      </c>
      <c r="AC33" s="31" t="s">
        <v>1100</v>
      </c>
      <c r="AD33" s="31" t="s">
        <v>1101</v>
      </c>
      <c r="AE33" s="31" t="s">
        <v>786</v>
      </c>
    </row>
    <row r="34" spans="1:31" ht="150">
      <c r="A34" s="30" t="s">
        <v>206</v>
      </c>
      <c r="B34" s="30" t="s">
        <v>207</v>
      </c>
      <c r="C34" s="30" t="s">
        <v>15</v>
      </c>
      <c r="D34" s="31" t="s">
        <v>208</v>
      </c>
      <c r="E34" s="31" t="s">
        <v>1102</v>
      </c>
      <c r="F34" s="31" t="s">
        <v>1103</v>
      </c>
      <c r="G34" s="31" t="s">
        <v>1104</v>
      </c>
      <c r="H34" s="31" t="s">
        <v>1105</v>
      </c>
      <c r="I34" s="31"/>
      <c r="J34" s="31" t="s">
        <v>1106</v>
      </c>
      <c r="K34" s="31" t="s">
        <v>1107</v>
      </c>
      <c r="L34" s="31" t="s">
        <v>1108</v>
      </c>
      <c r="M34" s="31" t="s">
        <v>1109</v>
      </c>
      <c r="N34" s="31" t="s">
        <v>944</v>
      </c>
      <c r="O34" s="31"/>
      <c r="P34" s="31"/>
      <c r="Q34" s="31" t="s">
        <v>674</v>
      </c>
      <c r="R34" s="31" t="s">
        <v>675</v>
      </c>
      <c r="S34" s="31">
        <v>0</v>
      </c>
      <c r="T34" s="31">
        <v>2</v>
      </c>
      <c r="U34" s="31">
        <v>1</v>
      </c>
      <c r="V34" s="31" t="s">
        <v>1110</v>
      </c>
      <c r="W34" s="31">
        <v>3</v>
      </c>
      <c r="X34" s="31" t="s">
        <v>1111</v>
      </c>
      <c r="Y34" s="31" t="s">
        <v>1112</v>
      </c>
      <c r="Z34" s="31" t="s">
        <v>697</v>
      </c>
      <c r="AA34" s="31" t="s">
        <v>1113</v>
      </c>
      <c r="AB34" s="31" t="s">
        <v>1114</v>
      </c>
      <c r="AC34" s="31" t="s">
        <v>1115</v>
      </c>
      <c r="AD34" s="31" t="s">
        <v>1116</v>
      </c>
      <c r="AE34" s="31" t="s">
        <v>786</v>
      </c>
    </row>
    <row r="35" spans="1:31" ht="60">
      <c r="A35" s="30" t="s">
        <v>1117</v>
      </c>
      <c r="B35" s="30" t="s">
        <v>1118</v>
      </c>
      <c r="C35" s="30" t="s">
        <v>15</v>
      </c>
      <c r="D35" s="31" t="s">
        <v>25</v>
      </c>
      <c r="E35" s="31" t="s">
        <v>1119</v>
      </c>
      <c r="F35" s="31" t="s">
        <v>1120</v>
      </c>
      <c r="G35" s="31" t="s">
        <v>1121</v>
      </c>
      <c r="H35" s="31"/>
      <c r="I35" s="31"/>
      <c r="J35" s="31"/>
      <c r="K35" s="31"/>
      <c r="L35" s="31"/>
      <c r="M35" s="31"/>
      <c r="N35" s="31"/>
      <c r="O35" s="31"/>
      <c r="P35" s="31"/>
      <c r="Q35" s="31" t="s">
        <v>674</v>
      </c>
      <c r="R35" s="31" t="s">
        <v>675</v>
      </c>
      <c r="S35" s="31">
        <v>0</v>
      </c>
      <c r="T35" s="31">
        <v>0</v>
      </c>
      <c r="U35" s="31">
        <v>0</v>
      </c>
      <c r="V35" s="31" t="s">
        <v>1122</v>
      </c>
      <c r="W35" s="31">
        <v>0</v>
      </c>
      <c r="X35" s="31" t="s">
        <v>1123</v>
      </c>
      <c r="Y35" s="31" t="s">
        <v>1124</v>
      </c>
      <c r="Z35" s="31" t="s">
        <v>1125</v>
      </c>
      <c r="AA35" s="31" t="s">
        <v>1126</v>
      </c>
      <c r="AB35" s="31" t="s">
        <v>1127</v>
      </c>
      <c r="AC35" s="31" t="s">
        <v>1127</v>
      </c>
      <c r="AD35" s="31" t="s">
        <v>1128</v>
      </c>
      <c r="AE35" s="31" t="s">
        <v>1129</v>
      </c>
    </row>
    <row r="36" spans="1:31" ht="30">
      <c r="A36" s="30" t="s">
        <v>1130</v>
      </c>
      <c r="B36" s="30" t="s">
        <v>1131</v>
      </c>
      <c r="C36" s="30" t="s">
        <v>15</v>
      </c>
      <c r="D36" s="31" t="s">
        <v>1132</v>
      </c>
      <c r="E36" s="31" t="s">
        <v>1133</v>
      </c>
      <c r="F36" s="31" t="s">
        <v>1134</v>
      </c>
      <c r="G36" s="31" t="s">
        <v>1135</v>
      </c>
      <c r="H36" s="31"/>
      <c r="I36" s="31"/>
      <c r="J36" s="31"/>
      <c r="K36" s="31"/>
      <c r="L36" s="31"/>
      <c r="M36" s="31"/>
      <c r="N36" s="31"/>
      <c r="O36" s="31"/>
      <c r="P36" s="31"/>
      <c r="Q36" s="31" t="s">
        <v>674</v>
      </c>
      <c r="R36" s="31" t="s">
        <v>675</v>
      </c>
      <c r="S36" s="31">
        <v>0</v>
      </c>
      <c r="T36" s="31">
        <v>2</v>
      </c>
      <c r="U36" s="31">
        <v>0</v>
      </c>
      <c r="V36" s="31"/>
      <c r="W36" s="31">
        <v>0</v>
      </c>
      <c r="X36" s="31" t="s">
        <v>1136</v>
      </c>
      <c r="Y36" s="31" t="s">
        <v>1137</v>
      </c>
      <c r="Z36" s="31" t="s">
        <v>1138</v>
      </c>
      <c r="AA36" s="31" t="s">
        <v>1139</v>
      </c>
      <c r="AB36" s="31" t="s">
        <v>1127</v>
      </c>
      <c r="AC36" s="31" t="s">
        <v>1127</v>
      </c>
      <c r="AD36" s="31" t="s">
        <v>1140</v>
      </c>
      <c r="AE36" s="31" t="s">
        <v>770</v>
      </c>
    </row>
    <row r="37" spans="1:31" ht="30">
      <c r="A37" s="30" t="s">
        <v>1141</v>
      </c>
      <c r="B37" s="30" t="s">
        <v>1142</v>
      </c>
      <c r="C37" s="30" t="s">
        <v>15</v>
      </c>
      <c r="D37" s="31" t="s">
        <v>16</v>
      </c>
      <c r="E37" s="31" t="s">
        <v>1143</v>
      </c>
      <c r="F37" s="31" t="s">
        <v>1144</v>
      </c>
      <c r="G37" s="31" t="s">
        <v>1145</v>
      </c>
      <c r="H37" s="31"/>
      <c r="I37" s="31"/>
      <c r="J37" s="31" t="s">
        <v>1146</v>
      </c>
      <c r="K37" s="31"/>
      <c r="L37" s="31" t="s">
        <v>1147</v>
      </c>
      <c r="M37" s="31"/>
      <c r="N37" s="31"/>
      <c r="O37" s="31"/>
      <c r="P37" s="31"/>
      <c r="Q37" s="31" t="s">
        <v>674</v>
      </c>
      <c r="R37" s="31"/>
      <c r="S37" s="31">
        <v>0</v>
      </c>
      <c r="T37" s="31">
        <v>0</v>
      </c>
      <c r="U37" s="31">
        <v>0</v>
      </c>
      <c r="V37" s="31"/>
      <c r="W37" s="31">
        <v>0</v>
      </c>
      <c r="X37" s="31" t="s">
        <v>1148</v>
      </c>
      <c r="Y37" s="31" t="s">
        <v>1149</v>
      </c>
      <c r="Z37" s="31" t="s">
        <v>1150</v>
      </c>
      <c r="AA37" s="31" t="s">
        <v>1151</v>
      </c>
      <c r="AB37" s="31" t="s">
        <v>770</v>
      </c>
      <c r="AC37" s="31" t="s">
        <v>770</v>
      </c>
      <c r="AD37" s="31" t="s">
        <v>1148</v>
      </c>
      <c r="AE37" s="31" t="s">
        <v>770</v>
      </c>
    </row>
    <row r="38" spans="1:31" ht="30">
      <c r="A38" s="30" t="s">
        <v>1152</v>
      </c>
      <c r="B38" s="30" t="s">
        <v>1153</v>
      </c>
      <c r="C38" s="30" t="s">
        <v>15</v>
      </c>
      <c r="D38" s="31" t="s">
        <v>16</v>
      </c>
      <c r="E38" s="31" t="s">
        <v>1154</v>
      </c>
      <c r="F38" s="31" t="s">
        <v>1144</v>
      </c>
      <c r="G38" s="31" t="s">
        <v>1155</v>
      </c>
      <c r="H38" s="31"/>
      <c r="I38" s="31"/>
      <c r="J38" s="31" t="s">
        <v>1156</v>
      </c>
      <c r="K38" s="31"/>
      <c r="L38" s="31" t="s">
        <v>1157</v>
      </c>
      <c r="M38" s="31"/>
      <c r="N38" s="31"/>
      <c r="O38" s="31"/>
      <c r="P38" s="31"/>
      <c r="Q38" s="31" t="s">
        <v>674</v>
      </c>
      <c r="R38" s="31"/>
      <c r="S38" s="31">
        <v>0</v>
      </c>
      <c r="T38" s="31">
        <v>0</v>
      </c>
      <c r="U38" s="31">
        <v>0</v>
      </c>
      <c r="V38" s="31"/>
      <c r="W38" s="31">
        <v>0</v>
      </c>
      <c r="X38" s="31" t="s">
        <v>1148</v>
      </c>
      <c r="Y38" s="31" t="s">
        <v>1158</v>
      </c>
      <c r="Z38" s="31" t="s">
        <v>1159</v>
      </c>
      <c r="AA38" s="31" t="s">
        <v>1160</v>
      </c>
      <c r="AB38" s="31" t="s">
        <v>1161</v>
      </c>
      <c r="AC38" s="31" t="s">
        <v>770</v>
      </c>
      <c r="AD38" s="31" t="s">
        <v>1148</v>
      </c>
      <c r="AE38" s="31" t="s">
        <v>770</v>
      </c>
    </row>
    <row r="39" spans="1:31" ht="30">
      <c r="A39" s="30" t="s">
        <v>1162</v>
      </c>
      <c r="B39" s="30" t="s">
        <v>1163</v>
      </c>
      <c r="C39" s="30" t="s">
        <v>1164</v>
      </c>
      <c r="D39" s="31" t="s">
        <v>16</v>
      </c>
      <c r="E39" s="31" t="s">
        <v>1165</v>
      </c>
      <c r="F39" s="31" t="s">
        <v>1144</v>
      </c>
      <c r="G39" s="31" t="s">
        <v>1166</v>
      </c>
      <c r="H39" s="31"/>
      <c r="I39" s="31" t="s">
        <v>1167</v>
      </c>
      <c r="J39" s="31" t="s">
        <v>1168</v>
      </c>
      <c r="K39" s="31"/>
      <c r="L39" s="31" t="s">
        <v>1148</v>
      </c>
      <c r="M39" s="31" t="s">
        <v>1169</v>
      </c>
      <c r="N39" s="31" t="s">
        <v>1170</v>
      </c>
      <c r="O39" s="31"/>
      <c r="P39" s="31"/>
      <c r="Q39" s="31" t="s">
        <v>674</v>
      </c>
      <c r="R39" s="31"/>
      <c r="S39" s="31">
        <v>0</v>
      </c>
      <c r="T39" s="31">
        <v>0</v>
      </c>
      <c r="U39" s="31">
        <v>0</v>
      </c>
      <c r="V39" s="31"/>
      <c r="W39" s="31">
        <v>0</v>
      </c>
      <c r="X39" s="31" t="s">
        <v>1171</v>
      </c>
      <c r="Y39" s="31" t="s">
        <v>1149</v>
      </c>
      <c r="Z39" s="31" t="s">
        <v>1172</v>
      </c>
      <c r="AA39" s="31" t="s">
        <v>1173</v>
      </c>
      <c r="AB39" s="31" t="s">
        <v>1148</v>
      </c>
      <c r="AC39" s="31" t="s">
        <v>1148</v>
      </c>
      <c r="AD39" s="31" t="s">
        <v>1174</v>
      </c>
      <c r="AE39" s="31" t="s">
        <v>770</v>
      </c>
    </row>
    <row r="40" spans="1:31" ht="30">
      <c r="A40" s="30" t="s">
        <v>1175</v>
      </c>
      <c r="B40" s="30" t="s">
        <v>1176</v>
      </c>
      <c r="C40" s="30" t="s">
        <v>15</v>
      </c>
      <c r="D40" s="31" t="s">
        <v>25</v>
      </c>
      <c r="E40" s="31" t="s">
        <v>1177</v>
      </c>
      <c r="F40" s="31" t="s">
        <v>1144</v>
      </c>
      <c r="G40" s="31" t="s">
        <v>1178</v>
      </c>
      <c r="H40" s="31"/>
      <c r="I40" s="31"/>
      <c r="J40" s="31" t="s">
        <v>1179</v>
      </c>
      <c r="K40" s="31"/>
      <c r="L40" s="31" t="s">
        <v>1180</v>
      </c>
      <c r="M40" s="31"/>
      <c r="N40" s="31"/>
      <c r="O40" s="31"/>
      <c r="P40" s="31"/>
      <c r="Q40" s="31" t="s">
        <v>674</v>
      </c>
      <c r="R40" s="31"/>
      <c r="S40" s="31">
        <v>0</v>
      </c>
      <c r="T40" s="31">
        <v>0</v>
      </c>
      <c r="U40" s="31">
        <v>0</v>
      </c>
      <c r="V40" s="31"/>
      <c r="W40" s="31">
        <v>0</v>
      </c>
      <c r="X40" s="31" t="s">
        <v>1181</v>
      </c>
      <c r="Y40" s="31" t="s">
        <v>1158</v>
      </c>
      <c r="Z40" s="31" t="s">
        <v>1182</v>
      </c>
      <c r="AA40" s="31" t="s">
        <v>1183</v>
      </c>
      <c r="AB40" s="31" t="s">
        <v>1184</v>
      </c>
      <c r="AC40" s="31" t="s">
        <v>770</v>
      </c>
      <c r="AD40" s="31" t="s">
        <v>1185</v>
      </c>
      <c r="AE40" s="31" t="s">
        <v>786</v>
      </c>
    </row>
    <row r="41" spans="1:31" ht="30">
      <c r="A41" s="30" t="s">
        <v>1186</v>
      </c>
      <c r="B41" s="30" t="s">
        <v>1187</v>
      </c>
      <c r="C41" s="30" t="s">
        <v>15</v>
      </c>
      <c r="D41" s="31" t="s">
        <v>25</v>
      </c>
      <c r="E41" s="31" t="s">
        <v>1188</v>
      </c>
      <c r="F41" s="31" t="s">
        <v>1144</v>
      </c>
      <c r="G41" s="31" t="s">
        <v>1189</v>
      </c>
      <c r="H41" s="31"/>
      <c r="I41" s="31"/>
      <c r="J41" s="31" t="s">
        <v>1190</v>
      </c>
      <c r="K41" s="31"/>
      <c r="L41" s="31" t="s">
        <v>1191</v>
      </c>
      <c r="M41" s="31"/>
      <c r="N41" s="31"/>
      <c r="O41" s="31"/>
      <c r="P41" s="31"/>
      <c r="Q41" s="31" t="s">
        <v>674</v>
      </c>
      <c r="R41" s="31"/>
      <c r="S41" s="31">
        <v>0</v>
      </c>
      <c r="T41" s="31">
        <v>0</v>
      </c>
      <c r="U41" s="31">
        <v>0</v>
      </c>
      <c r="V41" s="31"/>
      <c r="W41" s="31">
        <v>0</v>
      </c>
      <c r="X41" s="31" t="s">
        <v>1185</v>
      </c>
      <c r="Y41" s="31" t="s">
        <v>1192</v>
      </c>
      <c r="Z41" s="31" t="s">
        <v>1193</v>
      </c>
      <c r="AA41" s="31" t="s">
        <v>1194</v>
      </c>
      <c r="AB41" s="31" t="s">
        <v>770</v>
      </c>
      <c r="AC41" s="31" t="s">
        <v>770</v>
      </c>
      <c r="AD41" s="31" t="s">
        <v>1185</v>
      </c>
      <c r="AE41" s="31" t="s">
        <v>786</v>
      </c>
    </row>
    <row r="42" spans="1:31" ht="30">
      <c r="A42" s="30" t="s">
        <v>1195</v>
      </c>
      <c r="B42" s="30" t="s">
        <v>1196</v>
      </c>
      <c r="C42" s="30" t="s">
        <v>15</v>
      </c>
      <c r="D42" s="31" t="s">
        <v>25</v>
      </c>
      <c r="E42" s="31" t="s">
        <v>1197</v>
      </c>
      <c r="F42" s="31" t="s">
        <v>1144</v>
      </c>
      <c r="G42" s="31" t="s">
        <v>1198</v>
      </c>
      <c r="H42" s="31"/>
      <c r="I42" s="31"/>
      <c r="J42" s="31" t="s">
        <v>1199</v>
      </c>
      <c r="K42" s="31"/>
      <c r="L42" s="31" t="s">
        <v>1200</v>
      </c>
      <c r="M42" s="31"/>
      <c r="N42" s="31"/>
      <c r="O42" s="31"/>
      <c r="P42" s="31"/>
      <c r="Q42" s="31" t="s">
        <v>674</v>
      </c>
      <c r="R42" s="31"/>
      <c r="S42" s="31">
        <v>0</v>
      </c>
      <c r="T42" s="31">
        <v>0</v>
      </c>
      <c r="U42" s="31">
        <v>0</v>
      </c>
      <c r="V42" s="31"/>
      <c r="W42" s="31">
        <v>0</v>
      </c>
      <c r="X42" s="31" t="s">
        <v>1185</v>
      </c>
      <c r="Y42" s="31" t="s">
        <v>1201</v>
      </c>
      <c r="Z42" s="31" t="s">
        <v>1202</v>
      </c>
      <c r="AA42" s="31" t="s">
        <v>1203</v>
      </c>
      <c r="AB42" s="31" t="s">
        <v>1204</v>
      </c>
      <c r="AC42" s="31" t="s">
        <v>770</v>
      </c>
      <c r="AD42" s="31" t="s">
        <v>1185</v>
      </c>
      <c r="AE42" s="31" t="s">
        <v>786</v>
      </c>
    </row>
    <row r="43" spans="1:31" ht="30">
      <c r="A43" s="30" t="s">
        <v>1205</v>
      </c>
      <c r="B43" s="30" t="s">
        <v>1206</v>
      </c>
      <c r="C43" s="30" t="s">
        <v>1164</v>
      </c>
      <c r="D43" s="31" t="s">
        <v>25</v>
      </c>
      <c r="E43" s="31" t="s">
        <v>1207</v>
      </c>
      <c r="F43" s="31" t="s">
        <v>1144</v>
      </c>
      <c r="G43" s="31" t="s">
        <v>1208</v>
      </c>
      <c r="H43" s="31"/>
      <c r="I43" s="31" t="s">
        <v>1209</v>
      </c>
      <c r="J43" s="31" t="s">
        <v>791</v>
      </c>
      <c r="K43" s="31"/>
      <c r="L43" s="31" t="s">
        <v>1185</v>
      </c>
      <c r="M43" s="31" t="s">
        <v>1210</v>
      </c>
      <c r="N43" s="31" t="s">
        <v>1211</v>
      </c>
      <c r="O43" s="31"/>
      <c r="P43" s="31"/>
      <c r="Q43" s="31" t="s">
        <v>674</v>
      </c>
      <c r="R43" s="31"/>
      <c r="S43" s="31">
        <v>0</v>
      </c>
      <c r="T43" s="31">
        <v>1</v>
      </c>
      <c r="U43" s="31">
        <v>0</v>
      </c>
      <c r="V43" s="31"/>
      <c r="W43" s="31">
        <v>0</v>
      </c>
      <c r="X43" s="31" t="s">
        <v>1212</v>
      </c>
      <c r="Y43" s="31" t="s">
        <v>1192</v>
      </c>
      <c r="Z43" s="31" t="s">
        <v>1172</v>
      </c>
      <c r="AA43" s="31" t="s">
        <v>791</v>
      </c>
      <c r="AB43" s="31" t="s">
        <v>1185</v>
      </c>
      <c r="AC43" s="31" t="s">
        <v>1185</v>
      </c>
      <c r="AD43" s="31" t="s">
        <v>1213</v>
      </c>
      <c r="AE43" s="31" t="s">
        <v>786</v>
      </c>
    </row>
    <row r="44" spans="1:31" ht="30">
      <c r="A44" s="30" t="s">
        <v>1214</v>
      </c>
      <c r="B44" s="30" t="s">
        <v>1215</v>
      </c>
      <c r="C44" s="30" t="s">
        <v>15</v>
      </c>
      <c r="D44" s="31" t="s">
        <v>34</v>
      </c>
      <c r="E44" s="31" t="s">
        <v>1216</v>
      </c>
      <c r="F44" s="31" t="s">
        <v>1144</v>
      </c>
      <c r="G44" s="31" t="s">
        <v>1217</v>
      </c>
      <c r="H44" s="31"/>
      <c r="I44" s="31"/>
      <c r="J44" s="31" t="s">
        <v>1218</v>
      </c>
      <c r="K44" s="31"/>
      <c r="L44" s="31" t="s">
        <v>1219</v>
      </c>
      <c r="M44" s="31"/>
      <c r="N44" s="31"/>
      <c r="O44" s="31"/>
      <c r="P44" s="31"/>
      <c r="Q44" s="31" t="s">
        <v>674</v>
      </c>
      <c r="R44" s="31"/>
      <c r="S44" s="31">
        <v>0</v>
      </c>
      <c r="T44" s="31">
        <v>0</v>
      </c>
      <c r="U44" s="31">
        <v>0</v>
      </c>
      <c r="V44" s="31"/>
      <c r="W44" s="31">
        <v>0</v>
      </c>
      <c r="X44" s="31" t="s">
        <v>1220</v>
      </c>
      <c r="Y44" s="31" t="s">
        <v>1221</v>
      </c>
      <c r="Z44" s="31" t="s">
        <v>1222</v>
      </c>
      <c r="AA44" s="31" t="s">
        <v>1223</v>
      </c>
      <c r="AB44" s="31" t="s">
        <v>1220</v>
      </c>
      <c r="AC44" s="31" t="s">
        <v>1224</v>
      </c>
      <c r="AD44" s="31" t="s">
        <v>1220</v>
      </c>
      <c r="AE44" s="31" t="s">
        <v>1225</v>
      </c>
    </row>
    <row r="45" spans="1:31" ht="30">
      <c r="A45" s="30" t="s">
        <v>1226</v>
      </c>
      <c r="B45" s="30" t="s">
        <v>1227</v>
      </c>
      <c r="C45" s="30" t="s">
        <v>15</v>
      </c>
      <c r="D45" s="31" t="s">
        <v>34</v>
      </c>
      <c r="E45" s="31" t="s">
        <v>1228</v>
      </c>
      <c r="F45" s="31" t="s">
        <v>1144</v>
      </c>
      <c r="G45" s="31" t="s">
        <v>1229</v>
      </c>
      <c r="H45" s="31"/>
      <c r="I45" s="31"/>
      <c r="J45" s="31" t="s">
        <v>1230</v>
      </c>
      <c r="K45" s="31"/>
      <c r="L45" s="31" t="s">
        <v>1231</v>
      </c>
      <c r="M45" s="31"/>
      <c r="N45" s="31"/>
      <c r="O45" s="31"/>
      <c r="P45" s="31"/>
      <c r="Q45" s="31" t="s">
        <v>674</v>
      </c>
      <c r="R45" s="31"/>
      <c r="S45" s="31">
        <v>0</v>
      </c>
      <c r="T45" s="31">
        <v>0</v>
      </c>
      <c r="U45" s="31">
        <v>0</v>
      </c>
      <c r="V45" s="31"/>
      <c r="W45" s="31">
        <v>0</v>
      </c>
      <c r="X45" s="31" t="s">
        <v>1220</v>
      </c>
      <c r="Y45" s="31" t="s">
        <v>1221</v>
      </c>
      <c r="Z45" s="31" t="s">
        <v>1232</v>
      </c>
      <c r="AA45" s="31" t="s">
        <v>1233</v>
      </c>
      <c r="AB45" s="31" t="s">
        <v>1234</v>
      </c>
      <c r="AC45" s="31" t="s">
        <v>1235</v>
      </c>
      <c r="AD45" s="31" t="s">
        <v>1220</v>
      </c>
      <c r="AE45" s="31" t="s">
        <v>1236</v>
      </c>
    </row>
    <row r="46" spans="1:31" ht="30">
      <c r="A46" s="30" t="s">
        <v>1237</v>
      </c>
      <c r="B46" s="30" t="s">
        <v>1238</v>
      </c>
      <c r="C46" s="30" t="s">
        <v>15</v>
      </c>
      <c r="D46" s="31" t="s">
        <v>34</v>
      </c>
      <c r="E46" s="31" t="s">
        <v>1239</v>
      </c>
      <c r="F46" s="31" t="s">
        <v>1144</v>
      </c>
      <c r="G46" s="31" t="s">
        <v>1240</v>
      </c>
      <c r="H46" s="31"/>
      <c r="I46" s="31"/>
      <c r="J46" s="31" t="s">
        <v>1241</v>
      </c>
      <c r="K46" s="31"/>
      <c r="L46" s="31" t="s">
        <v>1242</v>
      </c>
      <c r="M46" s="31"/>
      <c r="N46" s="31"/>
      <c r="O46" s="31"/>
      <c r="P46" s="31"/>
      <c r="Q46" s="31" t="s">
        <v>674</v>
      </c>
      <c r="R46" s="31"/>
      <c r="S46" s="31">
        <v>0</v>
      </c>
      <c r="T46" s="31">
        <v>0</v>
      </c>
      <c r="U46" s="31">
        <v>0</v>
      </c>
      <c r="V46" s="31"/>
      <c r="W46" s="31">
        <v>0</v>
      </c>
      <c r="X46" s="31" t="s">
        <v>1220</v>
      </c>
      <c r="Y46" s="31" t="s">
        <v>1201</v>
      </c>
      <c r="Z46" s="31" t="s">
        <v>1202</v>
      </c>
      <c r="AA46" s="31" t="s">
        <v>1243</v>
      </c>
      <c r="AB46" s="31" t="s">
        <v>1244</v>
      </c>
      <c r="AC46" s="31" t="s">
        <v>1245</v>
      </c>
      <c r="AD46" s="31" t="s">
        <v>1220</v>
      </c>
      <c r="AE46" s="31" t="s">
        <v>1236</v>
      </c>
    </row>
    <row r="47" spans="1:31" ht="30">
      <c r="A47" s="30" t="s">
        <v>1246</v>
      </c>
      <c r="B47" s="30" t="s">
        <v>1247</v>
      </c>
      <c r="C47" s="30" t="s">
        <v>15</v>
      </c>
      <c r="D47" s="31" t="s">
        <v>34</v>
      </c>
      <c r="E47" s="31" t="s">
        <v>1248</v>
      </c>
      <c r="F47" s="31" t="s">
        <v>1144</v>
      </c>
      <c r="G47" s="31" t="s">
        <v>1249</v>
      </c>
      <c r="H47" s="31"/>
      <c r="I47" s="31"/>
      <c r="J47" s="31" t="s">
        <v>1250</v>
      </c>
      <c r="K47" s="31"/>
      <c r="L47" s="31" t="s">
        <v>1251</v>
      </c>
      <c r="M47" s="31"/>
      <c r="N47" s="31"/>
      <c r="O47" s="31"/>
      <c r="P47" s="31"/>
      <c r="Q47" s="31" t="s">
        <v>674</v>
      </c>
      <c r="R47" s="31"/>
      <c r="S47" s="31">
        <v>0</v>
      </c>
      <c r="T47" s="31">
        <v>1</v>
      </c>
      <c r="U47" s="31">
        <v>0</v>
      </c>
      <c r="V47" s="31"/>
      <c r="W47" s="31">
        <v>0</v>
      </c>
      <c r="X47" s="31" t="s">
        <v>1252</v>
      </c>
      <c r="Y47" s="31" t="s">
        <v>1221</v>
      </c>
      <c r="Z47" s="31" t="s">
        <v>1253</v>
      </c>
      <c r="AA47" s="31" t="s">
        <v>1254</v>
      </c>
      <c r="AB47" s="31" t="s">
        <v>1220</v>
      </c>
      <c r="AC47" s="31" t="s">
        <v>1220</v>
      </c>
      <c r="AD47" s="31" t="s">
        <v>1220</v>
      </c>
      <c r="AE47" s="31" t="s">
        <v>1255</v>
      </c>
    </row>
    <row r="48" spans="1:31">
      <c r="A48" s="30" t="s">
        <v>1256</v>
      </c>
      <c r="B48" s="30" t="s">
        <v>1257</v>
      </c>
      <c r="C48" s="30" t="s">
        <v>15</v>
      </c>
      <c r="D48" s="31" t="s">
        <v>34</v>
      </c>
      <c r="E48" s="31" t="s">
        <v>1258</v>
      </c>
      <c r="F48" s="31" t="s">
        <v>1144</v>
      </c>
      <c r="G48" s="31" t="s">
        <v>1259</v>
      </c>
      <c r="H48" s="31"/>
      <c r="I48" s="31"/>
      <c r="J48" s="31" t="s">
        <v>1260</v>
      </c>
      <c r="K48" s="31"/>
      <c r="L48" s="31" t="s">
        <v>1261</v>
      </c>
      <c r="M48" s="31"/>
      <c r="N48" s="31"/>
      <c r="O48" s="31"/>
      <c r="P48" s="31"/>
      <c r="Q48" s="31" t="s">
        <v>674</v>
      </c>
      <c r="R48" s="31"/>
      <c r="S48" s="31">
        <v>0</v>
      </c>
      <c r="T48" s="31">
        <v>0</v>
      </c>
      <c r="U48" s="31">
        <v>0</v>
      </c>
      <c r="V48" s="31"/>
      <c r="W48" s="31">
        <v>0</v>
      </c>
      <c r="X48" s="31" t="s">
        <v>1262</v>
      </c>
      <c r="Y48" s="31" t="s">
        <v>1158</v>
      </c>
      <c r="Z48" s="31" t="s">
        <v>1182</v>
      </c>
      <c r="AA48" s="31" t="s">
        <v>1183</v>
      </c>
      <c r="AB48" s="31" t="s">
        <v>1263</v>
      </c>
      <c r="AC48" s="31" t="s">
        <v>770</v>
      </c>
      <c r="AD48" s="31" t="s">
        <v>1220</v>
      </c>
      <c r="AE48" s="31" t="s">
        <v>1236</v>
      </c>
    </row>
    <row r="49" spans="1:31" ht="30">
      <c r="A49" s="30" t="s">
        <v>1264</v>
      </c>
      <c r="B49" s="30" t="s">
        <v>1265</v>
      </c>
      <c r="C49" s="30" t="s">
        <v>15</v>
      </c>
      <c r="D49" s="31" t="s">
        <v>34</v>
      </c>
      <c r="E49" s="31" t="s">
        <v>1266</v>
      </c>
      <c r="F49" s="31" t="s">
        <v>1144</v>
      </c>
      <c r="G49" s="31" t="s">
        <v>1267</v>
      </c>
      <c r="H49" s="31"/>
      <c r="I49" s="31"/>
      <c r="J49" s="31" t="s">
        <v>1268</v>
      </c>
      <c r="K49" s="31"/>
      <c r="L49" s="31" t="s">
        <v>1269</v>
      </c>
      <c r="M49" s="31"/>
      <c r="N49" s="31"/>
      <c r="O49" s="31"/>
      <c r="P49" s="31"/>
      <c r="Q49" s="31" t="s">
        <v>674</v>
      </c>
      <c r="R49" s="31"/>
      <c r="S49" s="31">
        <v>0</v>
      </c>
      <c r="T49" s="31">
        <v>0</v>
      </c>
      <c r="U49" s="31">
        <v>0</v>
      </c>
      <c r="V49" s="31"/>
      <c r="W49" s="31">
        <v>0</v>
      </c>
      <c r="X49" s="31" t="s">
        <v>1220</v>
      </c>
      <c r="Y49" s="31" t="s">
        <v>1221</v>
      </c>
      <c r="Z49" s="31" t="s">
        <v>1193</v>
      </c>
      <c r="AA49" s="31" t="s">
        <v>1194</v>
      </c>
      <c r="AB49" s="31" t="s">
        <v>770</v>
      </c>
      <c r="AC49" s="31" t="s">
        <v>770</v>
      </c>
      <c r="AD49" s="31" t="s">
        <v>1220</v>
      </c>
      <c r="AE49" s="31" t="s">
        <v>1236</v>
      </c>
    </row>
    <row r="50" spans="1:31" ht="30">
      <c r="A50" s="30" t="s">
        <v>1270</v>
      </c>
      <c r="B50" s="30" t="s">
        <v>1271</v>
      </c>
      <c r="C50" s="30" t="s">
        <v>1164</v>
      </c>
      <c r="D50" s="31" t="s">
        <v>34</v>
      </c>
      <c r="E50" s="31" t="s">
        <v>1272</v>
      </c>
      <c r="F50" s="31" t="s">
        <v>1144</v>
      </c>
      <c r="G50" s="31" t="s">
        <v>1273</v>
      </c>
      <c r="H50" s="31"/>
      <c r="I50" s="31" t="s">
        <v>1274</v>
      </c>
      <c r="J50" s="31" t="s">
        <v>791</v>
      </c>
      <c r="K50" s="31"/>
      <c r="L50" s="31" t="s">
        <v>1220</v>
      </c>
      <c r="M50" s="31" t="s">
        <v>1210</v>
      </c>
      <c r="N50" s="31" t="s">
        <v>1275</v>
      </c>
      <c r="O50" s="31"/>
      <c r="P50" s="31"/>
      <c r="Q50" s="31" t="s">
        <v>674</v>
      </c>
      <c r="R50" s="31"/>
      <c r="S50" s="31">
        <v>0</v>
      </c>
      <c r="T50" s="31">
        <v>1</v>
      </c>
      <c r="U50" s="31">
        <v>0</v>
      </c>
      <c r="V50" s="31"/>
      <c r="W50" s="31">
        <v>0</v>
      </c>
      <c r="X50" s="31" t="s">
        <v>1276</v>
      </c>
      <c r="Y50" s="31" t="s">
        <v>1221</v>
      </c>
      <c r="Z50" s="31" t="s">
        <v>1172</v>
      </c>
      <c r="AA50" s="31" t="s">
        <v>791</v>
      </c>
      <c r="AB50" s="31" t="s">
        <v>1220</v>
      </c>
      <c r="AC50" s="31" t="s">
        <v>1220</v>
      </c>
      <c r="AD50" s="31" t="s">
        <v>1277</v>
      </c>
      <c r="AE50" s="31" t="s">
        <v>1278</v>
      </c>
    </row>
    <row r="51" spans="1:31" ht="30">
      <c r="A51" s="30" t="s">
        <v>1279</v>
      </c>
      <c r="B51" s="30" t="s">
        <v>1280</v>
      </c>
      <c r="C51" s="30" t="s">
        <v>15</v>
      </c>
      <c r="D51" s="31" t="s">
        <v>40</v>
      </c>
      <c r="E51" s="31" t="s">
        <v>1281</v>
      </c>
      <c r="F51" s="31" t="s">
        <v>1144</v>
      </c>
      <c r="G51" s="31" t="s">
        <v>1282</v>
      </c>
      <c r="H51" s="31"/>
      <c r="I51" s="31"/>
      <c r="J51" s="31" t="s">
        <v>1283</v>
      </c>
      <c r="K51" s="31"/>
      <c r="L51" s="31" t="s">
        <v>1284</v>
      </c>
      <c r="M51" s="31"/>
      <c r="N51" s="31"/>
      <c r="O51" s="31"/>
      <c r="P51" s="31"/>
      <c r="Q51" s="31" t="s">
        <v>674</v>
      </c>
      <c r="R51" s="31"/>
      <c r="S51" s="31">
        <v>0</v>
      </c>
      <c r="T51" s="31">
        <v>1</v>
      </c>
      <c r="U51" s="31">
        <v>0</v>
      </c>
      <c r="V51" s="31"/>
      <c r="W51" s="31">
        <v>0</v>
      </c>
      <c r="X51" s="31" t="s">
        <v>1285</v>
      </c>
      <c r="Y51" s="31" t="s">
        <v>1286</v>
      </c>
      <c r="Z51" s="31" t="s">
        <v>1287</v>
      </c>
      <c r="AA51" s="31" t="s">
        <v>1288</v>
      </c>
      <c r="AB51" s="31" t="s">
        <v>1289</v>
      </c>
      <c r="AC51" s="31" t="s">
        <v>1290</v>
      </c>
      <c r="AD51" s="31" t="s">
        <v>1291</v>
      </c>
      <c r="AE51" s="31" t="s">
        <v>1292</v>
      </c>
    </row>
    <row r="52" spans="1:31" ht="30">
      <c r="A52" s="30" t="s">
        <v>1293</v>
      </c>
      <c r="B52" s="30" t="s">
        <v>1294</v>
      </c>
      <c r="C52" s="30" t="s">
        <v>15</v>
      </c>
      <c r="D52" s="31" t="s">
        <v>40</v>
      </c>
      <c r="E52" s="31" t="s">
        <v>1295</v>
      </c>
      <c r="F52" s="31" t="s">
        <v>1144</v>
      </c>
      <c r="G52" s="31" t="s">
        <v>1296</v>
      </c>
      <c r="H52" s="31"/>
      <c r="I52" s="31"/>
      <c r="J52" s="31" t="s">
        <v>1297</v>
      </c>
      <c r="K52" s="31"/>
      <c r="L52" s="31" t="s">
        <v>1298</v>
      </c>
      <c r="M52" s="31"/>
      <c r="N52" s="31"/>
      <c r="O52" s="31"/>
      <c r="P52" s="31"/>
      <c r="Q52" s="31" t="s">
        <v>674</v>
      </c>
      <c r="R52" s="31"/>
      <c r="S52" s="31">
        <v>0</v>
      </c>
      <c r="T52" s="31">
        <v>0</v>
      </c>
      <c r="U52" s="31">
        <v>0</v>
      </c>
      <c r="V52" s="31"/>
      <c r="W52" s="31">
        <v>0</v>
      </c>
      <c r="X52" s="31" t="s">
        <v>1299</v>
      </c>
      <c r="Y52" s="31" t="s">
        <v>1286</v>
      </c>
      <c r="Z52" s="31" t="s">
        <v>1300</v>
      </c>
      <c r="AA52" s="31" t="s">
        <v>1301</v>
      </c>
      <c r="AB52" s="31" t="s">
        <v>1302</v>
      </c>
      <c r="AC52" s="31" t="s">
        <v>1303</v>
      </c>
      <c r="AD52" s="31" t="s">
        <v>1291</v>
      </c>
      <c r="AE52" s="31" t="s">
        <v>1292</v>
      </c>
    </row>
    <row r="53" spans="1:31" ht="30">
      <c r="A53" s="30" t="s">
        <v>1304</v>
      </c>
      <c r="B53" s="30" t="s">
        <v>1305</v>
      </c>
      <c r="C53" s="30" t="s">
        <v>15</v>
      </c>
      <c r="D53" s="31" t="s">
        <v>40</v>
      </c>
      <c r="E53" s="31" t="s">
        <v>1306</v>
      </c>
      <c r="F53" s="31" t="s">
        <v>1144</v>
      </c>
      <c r="G53" s="31" t="s">
        <v>1307</v>
      </c>
      <c r="H53" s="31"/>
      <c r="I53" s="31"/>
      <c r="J53" s="31" t="s">
        <v>1308</v>
      </c>
      <c r="K53" s="31"/>
      <c r="L53" s="31" t="s">
        <v>1309</v>
      </c>
      <c r="M53" s="31"/>
      <c r="N53" s="31"/>
      <c r="O53" s="31"/>
      <c r="P53" s="31"/>
      <c r="Q53" s="31" t="s">
        <v>674</v>
      </c>
      <c r="R53" s="31"/>
      <c r="S53" s="31">
        <v>0</v>
      </c>
      <c r="T53" s="31">
        <v>0</v>
      </c>
      <c r="U53" s="31">
        <v>0</v>
      </c>
      <c r="V53" s="31"/>
      <c r="W53" s="31">
        <v>0</v>
      </c>
      <c r="X53" s="31" t="s">
        <v>1310</v>
      </c>
      <c r="Y53" s="31" t="s">
        <v>1286</v>
      </c>
      <c r="Z53" s="31" t="s">
        <v>1311</v>
      </c>
      <c r="AA53" s="31" t="s">
        <v>1312</v>
      </c>
      <c r="AB53" s="31" t="s">
        <v>1313</v>
      </c>
      <c r="AC53" s="31" t="s">
        <v>1314</v>
      </c>
      <c r="AD53" s="31" t="s">
        <v>1291</v>
      </c>
      <c r="AE53" s="31" t="s">
        <v>1292</v>
      </c>
    </row>
    <row r="54" spans="1:31" ht="30">
      <c r="A54" s="30" t="s">
        <v>1315</v>
      </c>
      <c r="B54" s="30" t="s">
        <v>1316</v>
      </c>
      <c r="C54" s="30" t="s">
        <v>15</v>
      </c>
      <c r="D54" s="31" t="s">
        <v>40</v>
      </c>
      <c r="E54" s="31" t="s">
        <v>1317</v>
      </c>
      <c r="F54" s="31" t="s">
        <v>1144</v>
      </c>
      <c r="G54" s="31" t="s">
        <v>1318</v>
      </c>
      <c r="H54" s="31"/>
      <c r="I54" s="31"/>
      <c r="J54" s="31" t="s">
        <v>1319</v>
      </c>
      <c r="K54" s="31"/>
      <c r="L54" s="31" t="s">
        <v>1320</v>
      </c>
      <c r="M54" s="31"/>
      <c r="N54" s="31"/>
      <c r="O54" s="31"/>
      <c r="P54" s="31"/>
      <c r="Q54" s="31" t="s">
        <v>674</v>
      </c>
      <c r="R54" s="31"/>
      <c r="S54" s="31">
        <v>0</v>
      </c>
      <c r="T54" s="31">
        <v>0</v>
      </c>
      <c r="U54" s="31">
        <v>0</v>
      </c>
      <c r="V54" s="31"/>
      <c r="W54" s="31">
        <v>0</v>
      </c>
      <c r="X54" s="31" t="s">
        <v>1321</v>
      </c>
      <c r="Y54" s="31" t="s">
        <v>1286</v>
      </c>
      <c r="Z54" s="31" t="s">
        <v>1322</v>
      </c>
      <c r="AA54" s="31" t="s">
        <v>1323</v>
      </c>
      <c r="AB54" s="31" t="s">
        <v>1324</v>
      </c>
      <c r="AC54" s="31" t="s">
        <v>1325</v>
      </c>
      <c r="AD54" s="31" t="s">
        <v>1291</v>
      </c>
      <c r="AE54" s="31" t="s">
        <v>1292</v>
      </c>
    </row>
    <row r="55" spans="1:31" ht="30">
      <c r="A55" s="30" t="s">
        <v>1326</v>
      </c>
      <c r="B55" s="30" t="s">
        <v>1327</v>
      </c>
      <c r="C55" s="30" t="s">
        <v>15</v>
      </c>
      <c r="D55" s="31" t="s">
        <v>40</v>
      </c>
      <c r="E55" s="31" t="s">
        <v>1328</v>
      </c>
      <c r="F55" s="31" t="s">
        <v>1144</v>
      </c>
      <c r="G55" s="31" t="s">
        <v>1329</v>
      </c>
      <c r="H55" s="31"/>
      <c r="I55" s="31"/>
      <c r="J55" s="31" t="s">
        <v>1330</v>
      </c>
      <c r="K55" s="31"/>
      <c r="L55" s="31" t="s">
        <v>1331</v>
      </c>
      <c r="M55" s="31"/>
      <c r="N55" s="31"/>
      <c r="O55" s="31"/>
      <c r="P55" s="31"/>
      <c r="Q55" s="31" t="s">
        <v>674</v>
      </c>
      <c r="R55" s="31"/>
      <c r="S55" s="31">
        <v>0</v>
      </c>
      <c r="T55" s="31">
        <v>0</v>
      </c>
      <c r="U55" s="31">
        <v>0</v>
      </c>
      <c r="V55" s="31"/>
      <c r="W55" s="31">
        <v>0</v>
      </c>
      <c r="X55" s="31" t="s">
        <v>1332</v>
      </c>
      <c r="Y55" s="31" t="s">
        <v>1286</v>
      </c>
      <c r="Z55" s="31" t="s">
        <v>1333</v>
      </c>
      <c r="AA55" s="31" t="s">
        <v>1334</v>
      </c>
      <c r="AB55" s="31" t="s">
        <v>1335</v>
      </c>
      <c r="AC55" s="31" t="s">
        <v>1336</v>
      </c>
      <c r="AD55" s="31" t="s">
        <v>1291</v>
      </c>
      <c r="AE55" s="31" t="s">
        <v>1292</v>
      </c>
    </row>
    <row r="56" spans="1:31" ht="30">
      <c r="A56" s="30" t="s">
        <v>1337</v>
      </c>
      <c r="B56" s="30" t="s">
        <v>1338</v>
      </c>
      <c r="C56" s="30" t="s">
        <v>15</v>
      </c>
      <c r="D56" s="31" t="s">
        <v>40</v>
      </c>
      <c r="E56" s="31" t="s">
        <v>1339</v>
      </c>
      <c r="F56" s="31" t="s">
        <v>1144</v>
      </c>
      <c r="G56" s="31" t="s">
        <v>1340</v>
      </c>
      <c r="H56" s="31"/>
      <c r="I56" s="31"/>
      <c r="J56" s="31" t="s">
        <v>1341</v>
      </c>
      <c r="K56" s="31"/>
      <c r="L56" s="31" t="s">
        <v>1342</v>
      </c>
      <c r="M56" s="31"/>
      <c r="N56" s="31"/>
      <c r="O56" s="31"/>
      <c r="P56" s="31"/>
      <c r="Q56" s="31" t="s">
        <v>674</v>
      </c>
      <c r="R56" s="31"/>
      <c r="S56" s="31">
        <v>0</v>
      </c>
      <c r="T56" s="31">
        <v>1</v>
      </c>
      <c r="U56" s="31">
        <v>0</v>
      </c>
      <c r="V56" s="31"/>
      <c r="W56" s="31">
        <v>0</v>
      </c>
      <c r="X56" s="31" t="s">
        <v>1343</v>
      </c>
      <c r="Y56" s="31" t="s">
        <v>1286</v>
      </c>
      <c r="Z56" s="31" t="s">
        <v>1344</v>
      </c>
      <c r="AA56" s="31" t="s">
        <v>1345</v>
      </c>
      <c r="AB56" s="31" t="s">
        <v>1346</v>
      </c>
      <c r="AC56" s="31" t="s">
        <v>1347</v>
      </c>
      <c r="AD56" s="31" t="s">
        <v>1291</v>
      </c>
      <c r="AE56" s="31" t="s">
        <v>1292</v>
      </c>
    </row>
    <row r="57" spans="1:31" ht="30">
      <c r="A57" s="30" t="s">
        <v>1348</v>
      </c>
      <c r="B57" s="30" t="s">
        <v>1349</v>
      </c>
      <c r="C57" s="30" t="s">
        <v>15</v>
      </c>
      <c r="D57" s="31" t="s">
        <v>40</v>
      </c>
      <c r="E57" s="31" t="s">
        <v>1350</v>
      </c>
      <c r="F57" s="31" t="s">
        <v>1144</v>
      </c>
      <c r="G57" s="31" t="s">
        <v>1351</v>
      </c>
      <c r="H57" s="31"/>
      <c r="I57" s="31"/>
      <c r="J57" s="31" t="s">
        <v>1352</v>
      </c>
      <c r="K57" s="31"/>
      <c r="L57" s="31" t="s">
        <v>1353</v>
      </c>
      <c r="M57" s="31"/>
      <c r="N57" s="31"/>
      <c r="O57" s="31"/>
      <c r="P57" s="31"/>
      <c r="Q57" s="31" t="s">
        <v>674</v>
      </c>
      <c r="R57" s="31"/>
      <c r="S57" s="31">
        <v>0</v>
      </c>
      <c r="T57" s="31">
        <v>0</v>
      </c>
      <c r="U57" s="31">
        <v>0</v>
      </c>
      <c r="V57" s="31"/>
      <c r="W57" s="31">
        <v>0</v>
      </c>
      <c r="X57" s="31" t="s">
        <v>1354</v>
      </c>
      <c r="Y57" s="31" t="s">
        <v>1355</v>
      </c>
      <c r="Z57" s="31" t="s">
        <v>1356</v>
      </c>
      <c r="AA57" s="31" t="s">
        <v>1357</v>
      </c>
      <c r="AB57" s="31" t="s">
        <v>1358</v>
      </c>
      <c r="AC57" s="31" t="s">
        <v>770</v>
      </c>
      <c r="AD57" s="31" t="s">
        <v>1359</v>
      </c>
      <c r="AE57" s="31" t="s">
        <v>1360</v>
      </c>
    </row>
    <row r="58" spans="1:31" ht="30">
      <c r="A58" s="30" t="s">
        <v>1361</v>
      </c>
      <c r="B58" s="30" t="s">
        <v>1362</v>
      </c>
      <c r="C58" s="30" t="s">
        <v>15</v>
      </c>
      <c r="D58" s="31" t="s">
        <v>40</v>
      </c>
      <c r="E58" s="31" t="s">
        <v>1363</v>
      </c>
      <c r="F58" s="31" t="s">
        <v>1144</v>
      </c>
      <c r="G58" s="31" t="s">
        <v>1364</v>
      </c>
      <c r="H58" s="31"/>
      <c r="I58" s="31"/>
      <c r="J58" s="31" t="s">
        <v>1365</v>
      </c>
      <c r="K58" s="31"/>
      <c r="L58" s="31" t="s">
        <v>1366</v>
      </c>
      <c r="M58" s="31"/>
      <c r="N58" s="31"/>
      <c r="O58" s="31"/>
      <c r="P58" s="31"/>
      <c r="Q58" s="31" t="s">
        <v>674</v>
      </c>
      <c r="R58" s="31"/>
      <c r="S58" s="31">
        <v>0</v>
      </c>
      <c r="T58" s="31">
        <v>0</v>
      </c>
      <c r="U58" s="31">
        <v>0</v>
      </c>
      <c r="V58" s="31"/>
      <c r="W58" s="31">
        <v>0</v>
      </c>
      <c r="X58" s="31" t="s">
        <v>1367</v>
      </c>
      <c r="Y58" s="31" t="s">
        <v>1355</v>
      </c>
      <c r="Z58" s="31" t="s">
        <v>1368</v>
      </c>
      <c r="AA58" s="31" t="s">
        <v>1369</v>
      </c>
      <c r="AB58" s="31" t="s">
        <v>1370</v>
      </c>
      <c r="AC58" s="31" t="s">
        <v>770</v>
      </c>
      <c r="AD58" s="31" t="s">
        <v>1371</v>
      </c>
      <c r="AE58" s="31" t="s">
        <v>1372</v>
      </c>
    </row>
    <row r="59" spans="1:31" ht="30">
      <c r="A59" s="30" t="s">
        <v>1373</v>
      </c>
      <c r="B59" s="30" t="s">
        <v>1374</v>
      </c>
      <c r="C59" s="30" t="s">
        <v>15</v>
      </c>
      <c r="D59" s="31" t="s">
        <v>40</v>
      </c>
      <c r="E59" s="31" t="s">
        <v>1375</v>
      </c>
      <c r="F59" s="31" t="s">
        <v>1144</v>
      </c>
      <c r="G59" s="31" t="s">
        <v>1376</v>
      </c>
      <c r="H59" s="31"/>
      <c r="I59" s="31"/>
      <c r="J59" s="31" t="s">
        <v>724</v>
      </c>
      <c r="K59" s="31"/>
      <c r="L59" s="31" t="s">
        <v>1377</v>
      </c>
      <c r="M59" s="31"/>
      <c r="N59" s="31"/>
      <c r="O59" s="31"/>
      <c r="P59" s="31"/>
      <c r="Q59" s="31" t="s">
        <v>674</v>
      </c>
      <c r="R59" s="31"/>
      <c r="S59" s="31">
        <v>0</v>
      </c>
      <c r="T59" s="31">
        <v>0</v>
      </c>
      <c r="U59" s="31">
        <v>0</v>
      </c>
      <c r="V59" s="31"/>
      <c r="W59" s="31">
        <v>0</v>
      </c>
      <c r="X59" s="31" t="s">
        <v>1378</v>
      </c>
      <c r="Y59" s="31" t="s">
        <v>1158</v>
      </c>
      <c r="Z59" s="31" t="s">
        <v>1182</v>
      </c>
      <c r="AA59" s="31" t="s">
        <v>1183</v>
      </c>
      <c r="AB59" s="31" t="s">
        <v>1379</v>
      </c>
      <c r="AC59" s="31" t="s">
        <v>770</v>
      </c>
      <c r="AD59" s="31" t="s">
        <v>1291</v>
      </c>
      <c r="AE59" s="31" t="s">
        <v>1236</v>
      </c>
    </row>
    <row r="60" spans="1:31" ht="30">
      <c r="A60" s="30" t="s">
        <v>1380</v>
      </c>
      <c r="B60" s="30" t="s">
        <v>1381</v>
      </c>
      <c r="C60" s="30" t="s">
        <v>15</v>
      </c>
      <c r="D60" s="31" t="s">
        <v>40</v>
      </c>
      <c r="E60" s="31" t="s">
        <v>1382</v>
      </c>
      <c r="F60" s="31" t="s">
        <v>1144</v>
      </c>
      <c r="G60" s="31" t="s">
        <v>1383</v>
      </c>
      <c r="H60" s="31"/>
      <c r="I60" s="31"/>
      <c r="J60" s="31" t="s">
        <v>1384</v>
      </c>
      <c r="K60" s="31"/>
      <c r="L60" s="31" t="s">
        <v>1385</v>
      </c>
      <c r="M60" s="31"/>
      <c r="N60" s="31"/>
      <c r="O60" s="31"/>
      <c r="P60" s="31"/>
      <c r="Q60" s="31" t="s">
        <v>674</v>
      </c>
      <c r="R60" s="31"/>
      <c r="S60" s="31">
        <v>0</v>
      </c>
      <c r="T60" s="31">
        <v>0</v>
      </c>
      <c r="U60" s="31">
        <v>0</v>
      </c>
      <c r="V60" s="31"/>
      <c r="W60" s="31">
        <v>0</v>
      </c>
      <c r="X60" s="31" t="s">
        <v>1386</v>
      </c>
      <c r="Y60" s="31" t="s">
        <v>1286</v>
      </c>
      <c r="Z60" s="31" t="s">
        <v>1387</v>
      </c>
      <c r="AA60" s="31" t="s">
        <v>1388</v>
      </c>
      <c r="AB60" s="31" t="s">
        <v>770</v>
      </c>
      <c r="AC60" s="31" t="s">
        <v>1389</v>
      </c>
      <c r="AD60" s="31" t="s">
        <v>1291</v>
      </c>
      <c r="AE60" s="31" t="s">
        <v>1236</v>
      </c>
    </row>
    <row r="61" spans="1:31">
      <c r="A61" s="30" t="s">
        <v>1390</v>
      </c>
      <c r="B61" s="30" t="s">
        <v>1391</v>
      </c>
      <c r="C61" s="30" t="s">
        <v>1164</v>
      </c>
      <c r="D61" s="31" t="s">
        <v>40</v>
      </c>
      <c r="E61" s="31" t="s">
        <v>1392</v>
      </c>
      <c r="F61" s="31" t="s">
        <v>1144</v>
      </c>
      <c r="G61" s="31" t="s">
        <v>1393</v>
      </c>
      <c r="H61" s="31"/>
      <c r="I61" s="31" t="s">
        <v>1394</v>
      </c>
      <c r="J61" s="31" t="s">
        <v>1395</v>
      </c>
      <c r="K61" s="31"/>
      <c r="L61" s="31" t="s">
        <v>1291</v>
      </c>
      <c r="M61" s="31" t="s">
        <v>1396</v>
      </c>
      <c r="N61" s="31" t="s">
        <v>1397</v>
      </c>
      <c r="O61" s="31"/>
      <c r="P61" s="31"/>
      <c r="Q61" s="31" t="s">
        <v>674</v>
      </c>
      <c r="R61" s="31"/>
      <c r="S61" s="31">
        <v>0</v>
      </c>
      <c r="T61" s="31">
        <v>0</v>
      </c>
      <c r="U61" s="31">
        <v>0</v>
      </c>
      <c r="V61" s="31"/>
      <c r="W61" s="31">
        <v>0</v>
      </c>
      <c r="X61" s="31" t="s">
        <v>1398</v>
      </c>
      <c r="Y61" s="31" t="s">
        <v>1286</v>
      </c>
      <c r="Z61" s="31" t="s">
        <v>1172</v>
      </c>
      <c r="AA61" s="31" t="s">
        <v>1399</v>
      </c>
      <c r="AB61" s="31" t="s">
        <v>1291</v>
      </c>
      <c r="AC61" s="31" t="s">
        <v>1291</v>
      </c>
      <c r="AD61" s="31" t="s">
        <v>1400</v>
      </c>
      <c r="AE61" s="31" t="s">
        <v>1236</v>
      </c>
    </row>
    <row r="62" spans="1:31" ht="30">
      <c r="A62" s="30" t="s">
        <v>1401</v>
      </c>
      <c r="B62" s="30" t="s">
        <v>1402</v>
      </c>
      <c r="C62" s="30" t="s">
        <v>15</v>
      </c>
      <c r="D62" s="31" t="s">
        <v>45</v>
      </c>
      <c r="E62" s="31" t="s">
        <v>1403</v>
      </c>
      <c r="F62" s="31" t="s">
        <v>1144</v>
      </c>
      <c r="G62" s="31" t="s">
        <v>1404</v>
      </c>
      <c r="H62" s="31"/>
      <c r="I62" s="31"/>
      <c r="J62" s="31" t="s">
        <v>1405</v>
      </c>
      <c r="K62" s="31"/>
      <c r="L62" s="31" t="s">
        <v>1406</v>
      </c>
      <c r="M62" s="31"/>
      <c r="N62" s="31"/>
      <c r="O62" s="31"/>
      <c r="P62" s="31"/>
      <c r="Q62" s="31" t="s">
        <v>674</v>
      </c>
      <c r="R62" s="31"/>
      <c r="S62" s="31">
        <v>0</v>
      </c>
      <c r="T62" s="31">
        <v>1</v>
      </c>
      <c r="U62" s="31">
        <v>0</v>
      </c>
      <c r="V62" s="31"/>
      <c r="W62" s="31">
        <v>0</v>
      </c>
      <c r="X62" s="31" t="s">
        <v>1407</v>
      </c>
      <c r="Y62" s="31" t="s">
        <v>1408</v>
      </c>
      <c r="Z62" s="31" t="s">
        <v>1409</v>
      </c>
      <c r="AA62" s="31" t="s">
        <v>1410</v>
      </c>
      <c r="AB62" s="31" t="s">
        <v>1407</v>
      </c>
      <c r="AC62" s="31" t="s">
        <v>770</v>
      </c>
      <c r="AD62" s="31" t="s">
        <v>1407</v>
      </c>
      <c r="AE62" s="31" t="s">
        <v>1236</v>
      </c>
    </row>
    <row r="63" spans="1:31" ht="30">
      <c r="A63" s="30" t="s">
        <v>1411</v>
      </c>
      <c r="B63" s="30" t="s">
        <v>1412</v>
      </c>
      <c r="C63" s="30" t="s">
        <v>15</v>
      </c>
      <c r="D63" s="31" t="s">
        <v>45</v>
      </c>
      <c r="E63" s="31" t="s">
        <v>1413</v>
      </c>
      <c r="F63" s="31" t="s">
        <v>1144</v>
      </c>
      <c r="G63" s="31" t="s">
        <v>1414</v>
      </c>
      <c r="H63" s="31"/>
      <c r="I63" s="31"/>
      <c r="J63" s="31" t="s">
        <v>1415</v>
      </c>
      <c r="K63" s="31"/>
      <c r="L63" s="31" t="s">
        <v>1416</v>
      </c>
      <c r="M63" s="31"/>
      <c r="N63" s="31"/>
      <c r="O63" s="31"/>
      <c r="P63" s="31"/>
      <c r="Q63" s="31" t="s">
        <v>674</v>
      </c>
      <c r="R63" s="31"/>
      <c r="S63" s="31">
        <v>0</v>
      </c>
      <c r="T63" s="31">
        <v>0</v>
      </c>
      <c r="U63" s="31">
        <v>0</v>
      </c>
      <c r="V63" s="31"/>
      <c r="W63" s="31">
        <v>0</v>
      </c>
      <c r="X63" s="31" t="s">
        <v>1407</v>
      </c>
      <c r="Y63" s="31" t="s">
        <v>1408</v>
      </c>
      <c r="Z63" s="31" t="s">
        <v>1417</v>
      </c>
      <c r="AA63" s="31" t="s">
        <v>1418</v>
      </c>
      <c r="AB63" s="31" t="s">
        <v>1419</v>
      </c>
      <c r="AC63" s="31" t="s">
        <v>770</v>
      </c>
      <c r="AD63" s="31" t="s">
        <v>1407</v>
      </c>
      <c r="AE63" s="31" t="s">
        <v>1236</v>
      </c>
    </row>
    <row r="64" spans="1:31" ht="30">
      <c r="A64" s="30" t="s">
        <v>1420</v>
      </c>
      <c r="B64" s="30" t="s">
        <v>1421</v>
      </c>
      <c r="C64" s="30" t="s">
        <v>1164</v>
      </c>
      <c r="D64" s="31" t="s">
        <v>45</v>
      </c>
      <c r="E64" s="31" t="s">
        <v>1422</v>
      </c>
      <c r="F64" s="31" t="s">
        <v>1144</v>
      </c>
      <c r="G64" s="31" t="s">
        <v>1423</v>
      </c>
      <c r="H64" s="31"/>
      <c r="I64" s="31" t="s">
        <v>1166</v>
      </c>
      <c r="J64" s="31" t="s">
        <v>1424</v>
      </c>
      <c r="K64" s="31"/>
      <c r="L64" s="31" t="s">
        <v>1407</v>
      </c>
      <c r="M64" s="31" t="s">
        <v>1396</v>
      </c>
      <c r="N64" s="31" t="s">
        <v>1397</v>
      </c>
      <c r="O64" s="31"/>
      <c r="P64" s="31"/>
      <c r="Q64" s="31" t="s">
        <v>674</v>
      </c>
      <c r="R64" s="31"/>
      <c r="S64" s="31">
        <v>0</v>
      </c>
      <c r="T64" s="31">
        <v>0</v>
      </c>
      <c r="U64" s="31">
        <v>0</v>
      </c>
      <c r="V64" s="31"/>
      <c r="W64" s="31">
        <v>0</v>
      </c>
      <c r="X64" s="31" t="s">
        <v>1425</v>
      </c>
      <c r="Y64" s="31" t="s">
        <v>1408</v>
      </c>
      <c r="Z64" s="31" t="s">
        <v>1172</v>
      </c>
      <c r="AA64" s="31" t="s">
        <v>1426</v>
      </c>
      <c r="AB64" s="31" t="s">
        <v>1407</v>
      </c>
      <c r="AC64" s="31" t="s">
        <v>1407</v>
      </c>
      <c r="AD64" s="31" t="s">
        <v>1427</v>
      </c>
      <c r="AE64" s="31" t="s">
        <v>1236</v>
      </c>
    </row>
    <row r="65" spans="1:31" ht="30">
      <c r="A65" s="30" t="s">
        <v>1428</v>
      </c>
      <c r="B65" s="30" t="s">
        <v>1429</v>
      </c>
      <c r="C65" s="30" t="s">
        <v>15</v>
      </c>
      <c r="D65" s="31" t="s">
        <v>49</v>
      </c>
      <c r="E65" s="31" t="s">
        <v>1430</v>
      </c>
      <c r="F65" s="31" t="s">
        <v>1144</v>
      </c>
      <c r="G65" s="31" t="s">
        <v>1431</v>
      </c>
      <c r="H65" s="31"/>
      <c r="I65" s="31"/>
      <c r="J65" s="31" t="s">
        <v>1432</v>
      </c>
      <c r="K65" s="31"/>
      <c r="L65" s="31" t="s">
        <v>1433</v>
      </c>
      <c r="M65" s="31"/>
      <c r="N65" s="31"/>
      <c r="O65" s="31"/>
      <c r="P65" s="31"/>
      <c r="Q65" s="31" t="s">
        <v>674</v>
      </c>
      <c r="R65" s="31"/>
      <c r="S65" s="31">
        <v>0</v>
      </c>
      <c r="T65" s="31">
        <v>0</v>
      </c>
      <c r="U65" s="31">
        <v>0</v>
      </c>
      <c r="V65" s="31"/>
      <c r="W65" s="31">
        <v>0</v>
      </c>
      <c r="X65" s="31" t="s">
        <v>1434</v>
      </c>
      <c r="Y65" s="31" t="s">
        <v>1408</v>
      </c>
      <c r="Z65" s="31" t="s">
        <v>1409</v>
      </c>
      <c r="AA65" s="31" t="s">
        <v>1410</v>
      </c>
      <c r="AB65" s="31" t="s">
        <v>1434</v>
      </c>
      <c r="AC65" s="31" t="s">
        <v>770</v>
      </c>
      <c r="AD65" s="31" t="s">
        <v>1434</v>
      </c>
      <c r="AE65" s="31" t="s">
        <v>1236</v>
      </c>
    </row>
    <row r="66" spans="1:31">
      <c r="A66" s="30" t="s">
        <v>1435</v>
      </c>
      <c r="B66" s="30" t="s">
        <v>1436</v>
      </c>
      <c r="C66" s="30" t="s">
        <v>15</v>
      </c>
      <c r="D66" s="31" t="s">
        <v>49</v>
      </c>
      <c r="E66" s="31" t="s">
        <v>1437</v>
      </c>
      <c r="F66" s="31" t="s">
        <v>1144</v>
      </c>
      <c r="G66" s="31" t="s">
        <v>1438</v>
      </c>
      <c r="H66" s="31"/>
      <c r="I66" s="31"/>
      <c r="J66" s="31" t="s">
        <v>1432</v>
      </c>
      <c r="K66" s="31"/>
      <c r="L66" s="31" t="s">
        <v>1416</v>
      </c>
      <c r="M66" s="31"/>
      <c r="N66" s="31"/>
      <c r="O66" s="31"/>
      <c r="P66" s="31"/>
      <c r="Q66" s="31" t="s">
        <v>674</v>
      </c>
      <c r="R66" s="31"/>
      <c r="S66" s="31">
        <v>0</v>
      </c>
      <c r="T66" s="31">
        <v>0</v>
      </c>
      <c r="U66" s="31">
        <v>0</v>
      </c>
      <c r="V66" s="31"/>
      <c r="W66" s="31">
        <v>0</v>
      </c>
      <c r="X66" s="31" t="s">
        <v>1434</v>
      </c>
      <c r="Y66" s="31" t="s">
        <v>1408</v>
      </c>
      <c r="Z66" s="31" t="s">
        <v>1417</v>
      </c>
      <c r="AA66" s="31" t="s">
        <v>1439</v>
      </c>
      <c r="AB66" s="31" t="s">
        <v>1440</v>
      </c>
      <c r="AC66" s="31" t="s">
        <v>770</v>
      </c>
      <c r="AD66" s="31" t="s">
        <v>1434</v>
      </c>
      <c r="AE66" s="31" t="s">
        <v>1236</v>
      </c>
    </row>
    <row r="67" spans="1:31">
      <c r="A67" s="30" t="s">
        <v>1441</v>
      </c>
      <c r="B67" s="30" t="s">
        <v>1442</v>
      </c>
      <c r="C67" s="30" t="s">
        <v>15</v>
      </c>
      <c r="D67" s="31" t="s">
        <v>62</v>
      </c>
      <c r="E67" s="31" t="s">
        <v>1443</v>
      </c>
      <c r="F67" s="31" t="s">
        <v>1144</v>
      </c>
      <c r="G67" s="31" t="s">
        <v>1444</v>
      </c>
      <c r="H67" s="31"/>
      <c r="I67" s="31"/>
      <c r="J67" s="31" t="s">
        <v>1445</v>
      </c>
      <c r="K67" s="31"/>
      <c r="L67" s="31" t="s">
        <v>1446</v>
      </c>
      <c r="M67" s="31"/>
      <c r="N67" s="31"/>
      <c r="O67" s="31"/>
      <c r="P67" s="31"/>
      <c r="Q67" s="31" t="s">
        <v>674</v>
      </c>
      <c r="R67" s="31"/>
      <c r="S67" s="31">
        <v>0</v>
      </c>
      <c r="T67" s="31">
        <v>0</v>
      </c>
      <c r="U67" s="31">
        <v>0</v>
      </c>
      <c r="V67" s="31"/>
      <c r="W67" s="31">
        <v>0</v>
      </c>
      <c r="X67" s="31" t="s">
        <v>1447</v>
      </c>
      <c r="Y67" s="31" t="s">
        <v>1158</v>
      </c>
      <c r="Z67" s="31" t="s">
        <v>1182</v>
      </c>
      <c r="AA67" s="31" t="s">
        <v>1183</v>
      </c>
      <c r="AB67" s="31" t="s">
        <v>1448</v>
      </c>
      <c r="AC67" s="31" t="s">
        <v>770</v>
      </c>
      <c r="AD67" s="31" t="s">
        <v>1449</v>
      </c>
      <c r="AE67" s="31" t="s">
        <v>1236</v>
      </c>
    </row>
    <row r="68" spans="1:31">
      <c r="A68" s="30" t="s">
        <v>1450</v>
      </c>
      <c r="B68" s="30" t="s">
        <v>1451</v>
      </c>
      <c r="C68" s="30" t="s">
        <v>15</v>
      </c>
      <c r="D68" s="31" t="s">
        <v>62</v>
      </c>
      <c r="E68" s="31" t="s">
        <v>1452</v>
      </c>
      <c r="F68" s="31" t="s">
        <v>1144</v>
      </c>
      <c r="G68" s="31" t="s">
        <v>1453</v>
      </c>
      <c r="H68" s="31"/>
      <c r="I68" s="31"/>
      <c r="J68" s="31" t="s">
        <v>1454</v>
      </c>
      <c r="K68" s="31"/>
      <c r="L68" s="31" t="s">
        <v>1455</v>
      </c>
      <c r="M68" s="31"/>
      <c r="N68" s="31"/>
      <c r="O68" s="31"/>
      <c r="P68" s="31"/>
      <c r="Q68" s="31" t="s">
        <v>674</v>
      </c>
      <c r="R68" s="31"/>
      <c r="S68" s="31">
        <v>0</v>
      </c>
      <c r="T68" s="31">
        <v>1</v>
      </c>
      <c r="U68" s="31">
        <v>0</v>
      </c>
      <c r="V68" s="31"/>
      <c r="W68" s="31">
        <v>0</v>
      </c>
      <c r="X68" s="31" t="s">
        <v>1449</v>
      </c>
      <c r="Y68" s="31" t="s">
        <v>1201</v>
      </c>
      <c r="Z68" s="31" t="s">
        <v>1202</v>
      </c>
      <c r="AA68" s="31" t="s">
        <v>1456</v>
      </c>
      <c r="AB68" s="31" t="s">
        <v>770</v>
      </c>
      <c r="AC68" s="31" t="s">
        <v>1457</v>
      </c>
      <c r="AD68" s="31" t="s">
        <v>1449</v>
      </c>
      <c r="AE68" s="31" t="s">
        <v>1236</v>
      </c>
    </row>
    <row r="69" spans="1:31" ht="30">
      <c r="A69" s="30" t="s">
        <v>1458</v>
      </c>
      <c r="B69" s="30" t="s">
        <v>1459</v>
      </c>
      <c r="C69" s="30" t="s">
        <v>15</v>
      </c>
      <c r="D69" s="31" t="s">
        <v>62</v>
      </c>
      <c r="E69" s="31" t="s">
        <v>1460</v>
      </c>
      <c r="F69" s="31" t="s">
        <v>1144</v>
      </c>
      <c r="G69" s="31" t="s">
        <v>1461</v>
      </c>
      <c r="H69" s="31"/>
      <c r="I69" s="31"/>
      <c r="J69" s="31" t="s">
        <v>1462</v>
      </c>
      <c r="K69" s="31"/>
      <c r="L69" s="31" t="s">
        <v>1463</v>
      </c>
      <c r="M69" s="31"/>
      <c r="N69" s="31"/>
      <c r="O69" s="31"/>
      <c r="P69" s="31"/>
      <c r="Q69" s="31" t="s">
        <v>674</v>
      </c>
      <c r="R69" s="31"/>
      <c r="S69" s="31">
        <v>0</v>
      </c>
      <c r="T69" s="31">
        <v>1</v>
      </c>
      <c r="U69" s="31">
        <v>0</v>
      </c>
      <c r="V69" s="31"/>
      <c r="W69" s="31">
        <v>0</v>
      </c>
      <c r="X69" s="31" t="s">
        <v>1449</v>
      </c>
      <c r="Y69" s="31" t="s">
        <v>1464</v>
      </c>
      <c r="Z69" s="31" t="s">
        <v>1193</v>
      </c>
      <c r="AA69" s="31" t="s">
        <v>1465</v>
      </c>
      <c r="AB69" s="31" t="s">
        <v>770</v>
      </c>
      <c r="AC69" s="31" t="s">
        <v>770</v>
      </c>
      <c r="AD69" s="31" t="s">
        <v>1449</v>
      </c>
      <c r="AE69" s="31" t="s">
        <v>1236</v>
      </c>
    </row>
    <row r="70" spans="1:31" ht="30">
      <c r="A70" s="30" t="s">
        <v>1466</v>
      </c>
      <c r="B70" s="30" t="s">
        <v>1467</v>
      </c>
      <c r="C70" s="30" t="s">
        <v>15</v>
      </c>
      <c r="D70" s="31" t="s">
        <v>62</v>
      </c>
      <c r="E70" s="31" t="s">
        <v>1468</v>
      </c>
      <c r="F70" s="31" t="s">
        <v>1144</v>
      </c>
      <c r="G70" s="31" t="s">
        <v>1469</v>
      </c>
      <c r="H70" s="31"/>
      <c r="I70" s="31"/>
      <c r="J70" s="31" t="s">
        <v>1470</v>
      </c>
      <c r="K70" s="31"/>
      <c r="L70" s="31" t="s">
        <v>1471</v>
      </c>
      <c r="M70" s="31"/>
      <c r="N70" s="31"/>
      <c r="O70" s="31"/>
      <c r="P70" s="31"/>
      <c r="Q70" s="31" t="s">
        <v>674</v>
      </c>
      <c r="R70" s="31"/>
      <c r="S70" s="31">
        <v>0</v>
      </c>
      <c r="T70" s="31">
        <v>4</v>
      </c>
      <c r="U70" s="31">
        <v>0</v>
      </c>
      <c r="V70" s="31"/>
      <c r="W70" s="31">
        <v>0</v>
      </c>
      <c r="X70" s="31" t="s">
        <v>1472</v>
      </c>
      <c r="Y70" s="31" t="s">
        <v>1355</v>
      </c>
      <c r="Z70" s="31" t="s">
        <v>1356</v>
      </c>
      <c r="AA70" s="31" t="s">
        <v>1473</v>
      </c>
      <c r="AB70" s="31" t="s">
        <v>1474</v>
      </c>
      <c r="AC70" s="31" t="s">
        <v>770</v>
      </c>
      <c r="AD70" s="31" t="s">
        <v>1359</v>
      </c>
      <c r="AE70" s="31" t="s">
        <v>1475</v>
      </c>
    </row>
    <row r="71" spans="1:31">
      <c r="A71" s="30" t="s">
        <v>1476</v>
      </c>
      <c r="B71" s="30" t="s">
        <v>1477</v>
      </c>
      <c r="C71" s="30" t="s">
        <v>1164</v>
      </c>
      <c r="D71" s="31" t="s">
        <v>62</v>
      </c>
      <c r="E71" s="31" t="s">
        <v>1478</v>
      </c>
      <c r="F71" s="31" t="s">
        <v>1144</v>
      </c>
      <c r="G71" s="31" t="s">
        <v>1479</v>
      </c>
      <c r="H71" s="31"/>
      <c r="I71" s="31" t="s">
        <v>1480</v>
      </c>
      <c r="J71" s="31" t="s">
        <v>791</v>
      </c>
      <c r="K71" s="31"/>
      <c r="L71" s="31" t="s">
        <v>1449</v>
      </c>
      <c r="M71" s="31" t="s">
        <v>1396</v>
      </c>
      <c r="N71" s="31" t="s">
        <v>1397</v>
      </c>
      <c r="O71" s="31"/>
      <c r="P71" s="31"/>
      <c r="Q71" s="31" t="s">
        <v>674</v>
      </c>
      <c r="R71" s="31"/>
      <c r="S71" s="31">
        <v>0</v>
      </c>
      <c r="T71" s="31">
        <v>1</v>
      </c>
      <c r="U71" s="31">
        <v>0</v>
      </c>
      <c r="V71" s="31"/>
      <c r="W71" s="31">
        <v>0</v>
      </c>
      <c r="X71" s="31" t="s">
        <v>1275</v>
      </c>
      <c r="Y71" s="31" t="s">
        <v>1464</v>
      </c>
      <c r="Z71" s="31" t="s">
        <v>1172</v>
      </c>
      <c r="AA71" s="31" t="s">
        <v>791</v>
      </c>
      <c r="AB71" s="31" t="s">
        <v>1449</v>
      </c>
      <c r="AC71" s="31" t="s">
        <v>1449</v>
      </c>
      <c r="AD71" s="31" t="s">
        <v>1275</v>
      </c>
      <c r="AE71" s="31" t="s">
        <v>1236</v>
      </c>
    </row>
    <row r="72" spans="1:31">
      <c r="A72" s="30" t="s">
        <v>1481</v>
      </c>
      <c r="B72" s="30" t="s">
        <v>1482</v>
      </c>
      <c r="C72" s="30" t="s">
        <v>15</v>
      </c>
      <c r="D72" s="31" t="s">
        <v>69</v>
      </c>
      <c r="E72" s="31" t="s">
        <v>1483</v>
      </c>
      <c r="F72" s="31" t="s">
        <v>1144</v>
      </c>
      <c r="G72" s="31" t="s">
        <v>1484</v>
      </c>
      <c r="H72" s="31"/>
      <c r="I72" s="31"/>
      <c r="J72" s="31" t="s">
        <v>1485</v>
      </c>
      <c r="K72" s="31"/>
      <c r="L72" s="31" t="s">
        <v>1486</v>
      </c>
      <c r="M72" s="31"/>
      <c r="N72" s="31"/>
      <c r="O72" s="31"/>
      <c r="P72" s="31"/>
      <c r="Q72" s="31" t="s">
        <v>674</v>
      </c>
      <c r="R72" s="31"/>
      <c r="S72" s="31">
        <v>0</v>
      </c>
      <c r="T72" s="31">
        <v>0</v>
      </c>
      <c r="U72" s="31">
        <v>0</v>
      </c>
      <c r="V72" s="31"/>
      <c r="W72" s="31">
        <v>0</v>
      </c>
      <c r="X72" s="31" t="s">
        <v>1487</v>
      </c>
      <c r="Y72" s="31" t="s">
        <v>1158</v>
      </c>
      <c r="Z72" s="31" t="s">
        <v>1182</v>
      </c>
      <c r="AA72" s="31" t="s">
        <v>1488</v>
      </c>
      <c r="AB72" s="31" t="s">
        <v>1484</v>
      </c>
      <c r="AC72" s="31" t="s">
        <v>770</v>
      </c>
      <c r="AD72" s="31" t="s">
        <v>1489</v>
      </c>
      <c r="AE72" s="31" t="s">
        <v>1236</v>
      </c>
    </row>
    <row r="73" spans="1:31">
      <c r="A73" s="30" t="s">
        <v>1490</v>
      </c>
      <c r="B73" s="30" t="s">
        <v>1491</v>
      </c>
      <c r="C73" s="30" t="s">
        <v>15</v>
      </c>
      <c r="D73" s="31" t="s">
        <v>69</v>
      </c>
      <c r="E73" s="31" t="s">
        <v>1492</v>
      </c>
      <c r="F73" s="31" t="s">
        <v>1144</v>
      </c>
      <c r="G73" s="31" t="s">
        <v>1493</v>
      </c>
      <c r="H73" s="31"/>
      <c r="I73" s="31"/>
      <c r="J73" s="31" t="s">
        <v>1494</v>
      </c>
      <c r="K73" s="31"/>
      <c r="L73" s="31" t="s">
        <v>1495</v>
      </c>
      <c r="M73" s="31"/>
      <c r="N73" s="31"/>
      <c r="O73" s="31"/>
      <c r="P73" s="31"/>
      <c r="Q73" s="31" t="s">
        <v>674</v>
      </c>
      <c r="R73" s="31"/>
      <c r="S73" s="31">
        <v>0</v>
      </c>
      <c r="T73" s="31">
        <v>1</v>
      </c>
      <c r="U73" s="31">
        <v>0</v>
      </c>
      <c r="V73" s="31"/>
      <c r="W73" s="31">
        <v>0</v>
      </c>
      <c r="X73" s="31" t="s">
        <v>1489</v>
      </c>
      <c r="Y73" s="31" t="s">
        <v>1201</v>
      </c>
      <c r="Z73" s="31" t="s">
        <v>1202</v>
      </c>
      <c r="AA73" s="31" t="s">
        <v>1496</v>
      </c>
      <c r="AB73" s="31" t="s">
        <v>770</v>
      </c>
      <c r="AC73" s="31" t="s">
        <v>1495</v>
      </c>
      <c r="AD73" s="31" t="s">
        <v>1489</v>
      </c>
      <c r="AE73" s="31" t="s">
        <v>1236</v>
      </c>
    </row>
    <row r="74" spans="1:31" ht="30">
      <c r="A74" s="30" t="s">
        <v>1497</v>
      </c>
      <c r="B74" s="30" t="s">
        <v>1498</v>
      </c>
      <c r="C74" s="30" t="s">
        <v>15</v>
      </c>
      <c r="D74" s="31" t="s">
        <v>69</v>
      </c>
      <c r="E74" s="31" t="s">
        <v>1499</v>
      </c>
      <c r="F74" s="31" t="s">
        <v>1144</v>
      </c>
      <c r="G74" s="31" t="s">
        <v>1500</v>
      </c>
      <c r="H74" s="31"/>
      <c r="I74" s="31"/>
      <c r="J74" s="31" t="s">
        <v>1501</v>
      </c>
      <c r="K74" s="31"/>
      <c r="L74" s="31" t="s">
        <v>1502</v>
      </c>
      <c r="M74" s="31"/>
      <c r="N74" s="31"/>
      <c r="O74" s="31"/>
      <c r="P74" s="31"/>
      <c r="Q74" s="31" t="s">
        <v>674</v>
      </c>
      <c r="R74" s="31"/>
      <c r="S74" s="31">
        <v>0</v>
      </c>
      <c r="T74" s="31">
        <v>1</v>
      </c>
      <c r="U74" s="31">
        <v>0</v>
      </c>
      <c r="V74" s="31"/>
      <c r="W74" s="31">
        <v>0</v>
      </c>
      <c r="X74" s="31" t="s">
        <v>1472</v>
      </c>
      <c r="Y74" s="31" t="s">
        <v>1355</v>
      </c>
      <c r="Z74" s="31" t="s">
        <v>1356</v>
      </c>
      <c r="AA74" s="31" t="s">
        <v>1503</v>
      </c>
      <c r="AB74" s="31" t="s">
        <v>1504</v>
      </c>
      <c r="AC74" s="31" t="s">
        <v>770</v>
      </c>
      <c r="AD74" s="31" t="s">
        <v>1359</v>
      </c>
      <c r="AE74" s="31" t="s">
        <v>1475</v>
      </c>
    </row>
    <row r="75" spans="1:31" ht="30">
      <c r="A75" s="30" t="s">
        <v>1505</v>
      </c>
      <c r="B75" s="30" t="s">
        <v>1506</v>
      </c>
      <c r="C75" s="30" t="s">
        <v>1164</v>
      </c>
      <c r="D75" s="31" t="s">
        <v>69</v>
      </c>
      <c r="E75" s="31" t="s">
        <v>1507</v>
      </c>
      <c r="F75" s="31" t="s">
        <v>1144</v>
      </c>
      <c r="G75" s="31" t="s">
        <v>1508</v>
      </c>
      <c r="H75" s="31"/>
      <c r="I75" s="31" t="s">
        <v>1509</v>
      </c>
      <c r="J75" s="31" t="s">
        <v>791</v>
      </c>
      <c r="K75" s="31"/>
      <c r="L75" s="31" t="s">
        <v>1489</v>
      </c>
      <c r="M75" s="31" t="s">
        <v>1396</v>
      </c>
      <c r="N75" s="31" t="s">
        <v>1397</v>
      </c>
      <c r="O75" s="31"/>
      <c r="P75" s="31"/>
      <c r="Q75" s="31" t="s">
        <v>674</v>
      </c>
      <c r="R75" s="31"/>
      <c r="S75" s="31">
        <v>0</v>
      </c>
      <c r="T75" s="31">
        <v>1</v>
      </c>
      <c r="U75" s="31">
        <v>0</v>
      </c>
      <c r="V75" s="31"/>
      <c r="W75" s="31">
        <v>0</v>
      </c>
      <c r="X75" s="31" t="s">
        <v>1510</v>
      </c>
      <c r="Y75" s="31" t="s">
        <v>1511</v>
      </c>
      <c r="Z75" s="31" t="s">
        <v>1172</v>
      </c>
      <c r="AA75" s="31" t="s">
        <v>791</v>
      </c>
      <c r="AB75" s="31" t="s">
        <v>1489</v>
      </c>
      <c r="AC75" s="31" t="s">
        <v>1489</v>
      </c>
      <c r="AD75" s="31" t="s">
        <v>1512</v>
      </c>
      <c r="AE75" s="31" t="s">
        <v>1236</v>
      </c>
    </row>
    <row r="76" spans="1:31">
      <c r="A76" s="30" t="s">
        <v>1513</v>
      </c>
      <c r="B76" s="30" t="s">
        <v>1514</v>
      </c>
      <c r="C76" s="30" t="s">
        <v>15</v>
      </c>
      <c r="D76" s="31" t="s">
        <v>76</v>
      </c>
      <c r="E76" s="31" t="s">
        <v>1515</v>
      </c>
      <c r="F76" s="31" t="s">
        <v>1144</v>
      </c>
      <c r="G76" s="31" t="s">
        <v>1376</v>
      </c>
      <c r="H76" s="31"/>
      <c r="I76" s="31"/>
      <c r="J76" s="31" t="s">
        <v>1516</v>
      </c>
      <c r="K76" s="31"/>
      <c r="L76" s="31" t="s">
        <v>1486</v>
      </c>
      <c r="M76" s="31"/>
      <c r="N76" s="31"/>
      <c r="O76" s="31"/>
      <c r="P76" s="31"/>
      <c r="Q76" s="31" t="s">
        <v>674</v>
      </c>
      <c r="R76" s="31"/>
      <c r="S76" s="31">
        <v>0</v>
      </c>
      <c r="T76" s="31">
        <v>0</v>
      </c>
      <c r="U76" s="31">
        <v>0</v>
      </c>
      <c r="V76" s="31"/>
      <c r="W76" s="31">
        <v>0</v>
      </c>
      <c r="X76" s="31" t="s">
        <v>1517</v>
      </c>
      <c r="Y76" s="31" t="s">
        <v>1158</v>
      </c>
      <c r="Z76" s="31" t="s">
        <v>1182</v>
      </c>
      <c r="AA76" s="31" t="s">
        <v>1183</v>
      </c>
      <c r="AB76" s="31" t="s">
        <v>1518</v>
      </c>
      <c r="AC76" s="31" t="s">
        <v>770</v>
      </c>
      <c r="AD76" s="31" t="s">
        <v>1519</v>
      </c>
      <c r="AE76" s="31" t="s">
        <v>1236</v>
      </c>
    </row>
    <row r="77" spans="1:31">
      <c r="A77" s="30" t="s">
        <v>1520</v>
      </c>
      <c r="B77" s="30" t="s">
        <v>1521</v>
      </c>
      <c r="C77" s="30" t="s">
        <v>15</v>
      </c>
      <c r="D77" s="31" t="s">
        <v>76</v>
      </c>
      <c r="E77" s="31" t="s">
        <v>1522</v>
      </c>
      <c r="F77" s="31" t="s">
        <v>1144</v>
      </c>
      <c r="G77" s="31" t="s">
        <v>1523</v>
      </c>
      <c r="H77" s="31"/>
      <c r="I77" s="31"/>
      <c r="J77" s="31" t="s">
        <v>1524</v>
      </c>
      <c r="K77" s="31"/>
      <c r="L77" s="31" t="s">
        <v>1525</v>
      </c>
      <c r="M77" s="31"/>
      <c r="N77" s="31"/>
      <c r="O77" s="31"/>
      <c r="P77" s="31"/>
      <c r="Q77" s="31" t="s">
        <v>674</v>
      </c>
      <c r="R77" s="31"/>
      <c r="S77" s="31">
        <v>0</v>
      </c>
      <c r="T77" s="31">
        <v>1</v>
      </c>
      <c r="U77" s="31">
        <v>0</v>
      </c>
      <c r="V77" s="31"/>
      <c r="W77" s="31">
        <v>0</v>
      </c>
      <c r="X77" s="31" t="s">
        <v>1519</v>
      </c>
      <c r="Y77" s="31" t="s">
        <v>1201</v>
      </c>
      <c r="Z77" s="31" t="s">
        <v>1202</v>
      </c>
      <c r="AA77" s="31" t="s">
        <v>1526</v>
      </c>
      <c r="AB77" s="31" t="s">
        <v>770</v>
      </c>
      <c r="AC77" s="31" t="s">
        <v>1525</v>
      </c>
      <c r="AD77" s="31" t="s">
        <v>1519</v>
      </c>
      <c r="AE77" s="31" t="s">
        <v>1236</v>
      </c>
    </row>
    <row r="78" spans="1:31">
      <c r="A78" s="30" t="s">
        <v>1527</v>
      </c>
      <c r="B78" s="30" t="s">
        <v>1528</v>
      </c>
      <c r="C78" s="30" t="s">
        <v>15</v>
      </c>
      <c r="D78" s="31" t="s">
        <v>76</v>
      </c>
      <c r="E78" s="31" t="s">
        <v>1529</v>
      </c>
      <c r="F78" s="31" t="s">
        <v>1144</v>
      </c>
      <c r="G78" s="31" t="s">
        <v>1461</v>
      </c>
      <c r="H78" s="31"/>
      <c r="I78" s="31"/>
      <c r="J78" s="31" t="s">
        <v>1530</v>
      </c>
      <c r="K78" s="31"/>
      <c r="L78" s="31" t="s">
        <v>1531</v>
      </c>
      <c r="M78" s="31"/>
      <c r="N78" s="31"/>
      <c r="O78" s="31"/>
      <c r="P78" s="31"/>
      <c r="Q78" s="31" t="s">
        <v>674</v>
      </c>
      <c r="R78" s="31"/>
      <c r="S78" s="31">
        <v>0</v>
      </c>
      <c r="T78" s="31">
        <v>0</v>
      </c>
      <c r="U78" s="31">
        <v>0</v>
      </c>
      <c r="V78" s="31"/>
      <c r="W78" s="31">
        <v>0</v>
      </c>
      <c r="X78" s="31" t="s">
        <v>1519</v>
      </c>
      <c r="Y78" s="31" t="s">
        <v>1532</v>
      </c>
      <c r="Z78" s="31" t="s">
        <v>1193</v>
      </c>
      <c r="AA78" s="31" t="s">
        <v>1465</v>
      </c>
      <c r="AB78" s="31" t="s">
        <v>770</v>
      </c>
      <c r="AC78" s="31" t="s">
        <v>770</v>
      </c>
      <c r="AD78" s="31" t="s">
        <v>1519</v>
      </c>
      <c r="AE78" s="31" t="s">
        <v>1236</v>
      </c>
    </row>
    <row r="79" spans="1:31" ht="30">
      <c r="A79" s="30" t="s">
        <v>1533</v>
      </c>
      <c r="B79" s="30" t="s">
        <v>1534</v>
      </c>
      <c r="C79" s="30" t="s">
        <v>15</v>
      </c>
      <c r="D79" s="31" t="s">
        <v>76</v>
      </c>
      <c r="E79" s="31" t="s">
        <v>1535</v>
      </c>
      <c r="F79" s="31" t="s">
        <v>1144</v>
      </c>
      <c r="G79" s="31" t="s">
        <v>1536</v>
      </c>
      <c r="H79" s="31"/>
      <c r="I79" s="31"/>
      <c r="J79" s="31" t="s">
        <v>1537</v>
      </c>
      <c r="K79" s="31"/>
      <c r="L79" s="31" t="s">
        <v>1538</v>
      </c>
      <c r="M79" s="31"/>
      <c r="N79" s="31"/>
      <c r="O79" s="31"/>
      <c r="P79" s="31"/>
      <c r="Q79" s="31" t="s">
        <v>674</v>
      </c>
      <c r="R79" s="31"/>
      <c r="S79" s="31">
        <v>0</v>
      </c>
      <c r="T79" s="31">
        <v>1</v>
      </c>
      <c r="U79" s="31">
        <v>0</v>
      </c>
      <c r="V79" s="31"/>
      <c r="W79" s="31">
        <v>0</v>
      </c>
      <c r="X79" s="31" t="s">
        <v>1519</v>
      </c>
      <c r="Y79" s="31" t="s">
        <v>1532</v>
      </c>
      <c r="Z79" s="31" t="s">
        <v>1539</v>
      </c>
      <c r="AA79" s="31" t="s">
        <v>1540</v>
      </c>
      <c r="AB79" s="31" t="s">
        <v>1519</v>
      </c>
      <c r="AC79" s="31" t="s">
        <v>1541</v>
      </c>
      <c r="AD79" s="31" t="s">
        <v>1519</v>
      </c>
      <c r="AE79" s="31" t="s">
        <v>1236</v>
      </c>
    </row>
    <row r="80" spans="1:31">
      <c r="A80" s="30" t="s">
        <v>1542</v>
      </c>
      <c r="B80" s="30" t="s">
        <v>1543</v>
      </c>
      <c r="C80" s="30" t="s">
        <v>1164</v>
      </c>
      <c r="D80" s="31" t="s">
        <v>76</v>
      </c>
      <c r="E80" s="31" t="s">
        <v>1544</v>
      </c>
      <c r="F80" s="31" t="s">
        <v>1144</v>
      </c>
      <c r="G80" s="31" t="s">
        <v>1545</v>
      </c>
      <c r="H80" s="31"/>
      <c r="I80" s="31" t="s">
        <v>1480</v>
      </c>
      <c r="J80" s="31" t="s">
        <v>791</v>
      </c>
      <c r="K80" s="31"/>
      <c r="L80" s="31" t="s">
        <v>1519</v>
      </c>
      <c r="M80" s="31" t="s">
        <v>1396</v>
      </c>
      <c r="N80" s="31" t="s">
        <v>1397</v>
      </c>
      <c r="O80" s="31"/>
      <c r="P80" s="31"/>
      <c r="Q80" s="31" t="s">
        <v>674</v>
      </c>
      <c r="R80" s="31"/>
      <c r="S80" s="31">
        <v>0</v>
      </c>
      <c r="T80" s="31">
        <v>1</v>
      </c>
      <c r="U80" s="31">
        <v>0</v>
      </c>
      <c r="V80" s="31"/>
      <c r="W80" s="31">
        <v>0</v>
      </c>
      <c r="X80" s="31" t="s">
        <v>1275</v>
      </c>
      <c r="Y80" s="31" t="s">
        <v>1532</v>
      </c>
      <c r="Z80" s="31" t="s">
        <v>1172</v>
      </c>
      <c r="AA80" s="31" t="s">
        <v>791</v>
      </c>
      <c r="AB80" s="31" t="s">
        <v>1519</v>
      </c>
      <c r="AC80" s="31" t="s">
        <v>1519</v>
      </c>
      <c r="AD80" s="31" t="s">
        <v>1275</v>
      </c>
      <c r="AE80" s="31" t="s">
        <v>1236</v>
      </c>
    </row>
    <row r="81" spans="1:31" ht="30">
      <c r="A81" s="30" t="s">
        <v>1546</v>
      </c>
      <c r="B81" s="30" t="s">
        <v>1547</v>
      </c>
      <c r="C81" s="30" t="s">
        <v>15</v>
      </c>
      <c r="D81" s="31" t="s">
        <v>1548</v>
      </c>
      <c r="E81" s="31" t="s">
        <v>1549</v>
      </c>
      <c r="F81" s="31" t="s">
        <v>1144</v>
      </c>
      <c r="G81" s="31" t="s">
        <v>1550</v>
      </c>
      <c r="H81" s="31"/>
      <c r="I81" s="31"/>
      <c r="J81" s="31" t="s">
        <v>1551</v>
      </c>
      <c r="K81" s="31"/>
      <c r="L81" s="31" t="s">
        <v>1552</v>
      </c>
      <c r="M81" s="31"/>
      <c r="N81" s="31"/>
      <c r="O81" s="31"/>
      <c r="P81" s="31"/>
      <c r="Q81" s="31" t="s">
        <v>674</v>
      </c>
      <c r="R81" s="31"/>
      <c r="S81" s="31">
        <v>0</v>
      </c>
      <c r="T81" s="31">
        <v>1</v>
      </c>
      <c r="U81" s="31">
        <v>0</v>
      </c>
      <c r="V81" s="31"/>
      <c r="W81" s="31">
        <v>0</v>
      </c>
      <c r="X81" s="31" t="s">
        <v>1553</v>
      </c>
      <c r="Y81" s="31" t="s">
        <v>1554</v>
      </c>
      <c r="Z81" s="31" t="s">
        <v>1409</v>
      </c>
      <c r="AA81" s="31" t="s">
        <v>1555</v>
      </c>
      <c r="AB81" s="31" t="s">
        <v>1553</v>
      </c>
      <c r="AC81" s="31" t="s">
        <v>770</v>
      </c>
      <c r="AD81" s="31" t="s">
        <v>1553</v>
      </c>
      <c r="AE81" s="31" t="s">
        <v>1236</v>
      </c>
    </row>
    <row r="82" spans="1:31">
      <c r="A82" s="30" t="s">
        <v>1556</v>
      </c>
      <c r="B82" s="30" t="s">
        <v>1557</v>
      </c>
      <c r="C82" s="30" t="s">
        <v>15</v>
      </c>
      <c r="D82" s="31" t="s">
        <v>1548</v>
      </c>
      <c r="E82" s="31" t="s">
        <v>1558</v>
      </c>
      <c r="F82" s="31" t="s">
        <v>1144</v>
      </c>
      <c r="G82" s="31" t="s">
        <v>1559</v>
      </c>
      <c r="H82" s="31"/>
      <c r="I82" s="31"/>
      <c r="J82" s="31" t="s">
        <v>1551</v>
      </c>
      <c r="K82" s="31"/>
      <c r="L82" s="31" t="s">
        <v>1560</v>
      </c>
      <c r="M82" s="31"/>
      <c r="N82" s="31"/>
      <c r="O82" s="31"/>
      <c r="P82" s="31"/>
      <c r="Q82" s="31" t="s">
        <v>674</v>
      </c>
      <c r="R82" s="31"/>
      <c r="S82" s="31">
        <v>0</v>
      </c>
      <c r="T82" s="31">
        <v>0</v>
      </c>
      <c r="U82" s="31">
        <v>0</v>
      </c>
      <c r="V82" s="31"/>
      <c r="W82" s="31">
        <v>0</v>
      </c>
      <c r="X82" s="31" t="s">
        <v>1553</v>
      </c>
      <c r="Y82" s="31" t="s">
        <v>1554</v>
      </c>
      <c r="Z82" s="31" t="s">
        <v>1561</v>
      </c>
      <c r="AA82" s="31" t="s">
        <v>1562</v>
      </c>
      <c r="AB82" s="31" t="s">
        <v>1563</v>
      </c>
      <c r="AC82" s="31" t="s">
        <v>770</v>
      </c>
      <c r="AD82" s="31" t="s">
        <v>1553</v>
      </c>
      <c r="AE82" s="31" t="s">
        <v>1236</v>
      </c>
    </row>
    <row r="83" spans="1:31">
      <c r="A83" s="30" t="s">
        <v>1564</v>
      </c>
      <c r="B83" s="30" t="s">
        <v>1565</v>
      </c>
      <c r="C83" s="30" t="s">
        <v>15</v>
      </c>
      <c r="D83" s="31" t="s">
        <v>1548</v>
      </c>
      <c r="E83" s="31" t="s">
        <v>1566</v>
      </c>
      <c r="F83" s="31" t="s">
        <v>1144</v>
      </c>
      <c r="G83" s="31" t="s">
        <v>1567</v>
      </c>
      <c r="H83" s="31"/>
      <c r="I83" s="31"/>
      <c r="J83" s="31" t="s">
        <v>1568</v>
      </c>
      <c r="K83" s="31"/>
      <c r="L83" s="31" t="s">
        <v>770</v>
      </c>
      <c r="M83" s="31"/>
      <c r="N83" s="31"/>
      <c r="O83" s="31"/>
      <c r="P83" s="31"/>
      <c r="Q83" s="31" t="s">
        <v>674</v>
      </c>
      <c r="R83" s="31"/>
      <c r="S83" s="31">
        <v>0</v>
      </c>
      <c r="T83" s="31">
        <v>1</v>
      </c>
      <c r="U83" s="31">
        <v>0</v>
      </c>
      <c r="V83" s="31"/>
      <c r="W83" s="31">
        <v>0</v>
      </c>
      <c r="X83" s="31" t="s">
        <v>1569</v>
      </c>
      <c r="Y83" s="31" t="s">
        <v>1554</v>
      </c>
      <c r="Z83" s="31" t="s">
        <v>1570</v>
      </c>
      <c r="AA83" s="31" t="s">
        <v>1571</v>
      </c>
      <c r="AB83" s="31" t="s">
        <v>770</v>
      </c>
      <c r="AC83" s="31" t="s">
        <v>770</v>
      </c>
      <c r="AD83" s="31" t="s">
        <v>1553</v>
      </c>
      <c r="AE83" s="31" t="s">
        <v>1236</v>
      </c>
    </row>
    <row r="84" spans="1:31">
      <c r="A84" s="30" t="s">
        <v>1572</v>
      </c>
      <c r="B84" s="30" t="s">
        <v>1573</v>
      </c>
      <c r="C84" s="30" t="s">
        <v>15</v>
      </c>
      <c r="D84" s="31" t="s">
        <v>81</v>
      </c>
      <c r="E84" s="31" t="s">
        <v>1574</v>
      </c>
      <c r="F84" s="31" t="s">
        <v>1144</v>
      </c>
      <c r="G84" s="31" t="s">
        <v>1575</v>
      </c>
      <c r="H84" s="31"/>
      <c r="I84" s="31"/>
      <c r="J84" s="31" t="s">
        <v>1576</v>
      </c>
      <c r="K84" s="31"/>
      <c r="L84" s="31" t="s">
        <v>1577</v>
      </c>
      <c r="M84" s="31"/>
      <c r="N84" s="31"/>
      <c r="O84" s="31"/>
      <c r="P84" s="31"/>
      <c r="Q84" s="31" t="s">
        <v>674</v>
      </c>
      <c r="R84" s="31"/>
      <c r="S84" s="31">
        <v>0</v>
      </c>
      <c r="T84" s="31">
        <v>1</v>
      </c>
      <c r="U84" s="31">
        <v>0</v>
      </c>
      <c r="V84" s="31"/>
      <c r="W84" s="31">
        <v>0</v>
      </c>
      <c r="X84" s="31" t="s">
        <v>1578</v>
      </c>
      <c r="Y84" s="31" t="s">
        <v>1158</v>
      </c>
      <c r="Z84" s="31" t="s">
        <v>1182</v>
      </c>
      <c r="AA84" s="31" t="s">
        <v>1183</v>
      </c>
      <c r="AB84" s="31" t="s">
        <v>1575</v>
      </c>
      <c r="AC84" s="31" t="s">
        <v>770</v>
      </c>
      <c r="AD84" s="31" t="s">
        <v>1579</v>
      </c>
      <c r="AE84" s="31" t="s">
        <v>1236</v>
      </c>
    </row>
    <row r="85" spans="1:31" ht="30">
      <c r="A85" s="30" t="s">
        <v>1580</v>
      </c>
      <c r="B85" s="30" t="s">
        <v>1581</v>
      </c>
      <c r="C85" s="30" t="s">
        <v>15</v>
      </c>
      <c r="D85" s="31" t="s">
        <v>81</v>
      </c>
      <c r="E85" s="31" t="s">
        <v>1582</v>
      </c>
      <c r="F85" s="31" t="s">
        <v>1144</v>
      </c>
      <c r="G85" s="31" t="s">
        <v>1583</v>
      </c>
      <c r="H85" s="31"/>
      <c r="I85" s="31"/>
      <c r="J85" s="31" t="s">
        <v>1584</v>
      </c>
      <c r="K85" s="31"/>
      <c r="L85" s="31" t="s">
        <v>1585</v>
      </c>
      <c r="M85" s="31"/>
      <c r="N85" s="31"/>
      <c r="O85" s="31"/>
      <c r="P85" s="31"/>
      <c r="Q85" s="31" t="s">
        <v>674</v>
      </c>
      <c r="R85" s="31"/>
      <c r="S85" s="31">
        <v>0</v>
      </c>
      <c r="T85" s="31">
        <v>2</v>
      </c>
      <c r="U85" s="31">
        <v>0</v>
      </c>
      <c r="V85" s="31"/>
      <c r="W85" s="31">
        <v>0</v>
      </c>
      <c r="X85" s="31" t="s">
        <v>1586</v>
      </c>
      <c r="Y85" s="31" t="s">
        <v>1587</v>
      </c>
      <c r="Z85" s="31" t="s">
        <v>1588</v>
      </c>
      <c r="AA85" s="31" t="s">
        <v>1589</v>
      </c>
      <c r="AB85" s="31" t="s">
        <v>1579</v>
      </c>
      <c r="AC85" s="31" t="s">
        <v>770</v>
      </c>
      <c r="AD85" s="31" t="s">
        <v>1579</v>
      </c>
      <c r="AE85" s="31" t="s">
        <v>1590</v>
      </c>
    </row>
    <row r="86" spans="1:31">
      <c r="A86" s="30" t="s">
        <v>1591</v>
      </c>
      <c r="B86" s="30" t="s">
        <v>1592</v>
      </c>
      <c r="C86" s="30" t="s">
        <v>15</v>
      </c>
      <c r="D86" s="31" t="s">
        <v>93</v>
      </c>
      <c r="E86" s="31" t="s">
        <v>1593</v>
      </c>
      <c r="F86" s="31" t="s">
        <v>1144</v>
      </c>
      <c r="G86" s="31" t="s">
        <v>1594</v>
      </c>
      <c r="H86" s="31"/>
      <c r="I86" s="31"/>
      <c r="J86" s="31" t="s">
        <v>1595</v>
      </c>
      <c r="K86" s="31"/>
      <c r="L86" s="31" t="s">
        <v>1577</v>
      </c>
      <c r="M86" s="31"/>
      <c r="N86" s="31"/>
      <c r="O86" s="31"/>
      <c r="P86" s="31"/>
      <c r="Q86" s="31" t="s">
        <v>674</v>
      </c>
      <c r="R86" s="31"/>
      <c r="S86" s="31">
        <v>0</v>
      </c>
      <c r="T86" s="31">
        <v>0</v>
      </c>
      <c r="U86" s="31">
        <v>0</v>
      </c>
      <c r="V86" s="31"/>
      <c r="W86" s="31">
        <v>0</v>
      </c>
      <c r="X86" s="31" t="s">
        <v>1596</v>
      </c>
      <c r="Y86" s="31" t="s">
        <v>1158</v>
      </c>
      <c r="Z86" s="31" t="s">
        <v>1182</v>
      </c>
      <c r="AA86" s="31" t="s">
        <v>1183</v>
      </c>
      <c r="AB86" s="31" t="s">
        <v>1597</v>
      </c>
      <c r="AC86" s="31" t="s">
        <v>770</v>
      </c>
      <c r="AD86" s="31" t="s">
        <v>1598</v>
      </c>
      <c r="AE86" s="31" t="s">
        <v>1236</v>
      </c>
    </row>
    <row r="87" spans="1:31">
      <c r="A87" s="30" t="s">
        <v>1599</v>
      </c>
      <c r="B87" s="30" t="s">
        <v>1600</v>
      </c>
      <c r="C87" s="30" t="s">
        <v>15</v>
      </c>
      <c r="D87" s="31" t="s">
        <v>93</v>
      </c>
      <c r="E87" s="31" t="s">
        <v>1601</v>
      </c>
      <c r="F87" s="31" t="s">
        <v>1144</v>
      </c>
      <c r="G87" s="31" t="s">
        <v>1602</v>
      </c>
      <c r="H87" s="31"/>
      <c r="I87" s="31"/>
      <c r="J87" s="31" t="s">
        <v>1603</v>
      </c>
      <c r="K87" s="31"/>
      <c r="L87" s="31" t="s">
        <v>1604</v>
      </c>
      <c r="M87" s="31"/>
      <c r="N87" s="31"/>
      <c r="O87" s="31"/>
      <c r="P87" s="31"/>
      <c r="Q87" s="31" t="s">
        <v>674</v>
      </c>
      <c r="R87" s="31"/>
      <c r="S87" s="31">
        <v>0</v>
      </c>
      <c r="T87" s="31">
        <v>1</v>
      </c>
      <c r="U87" s="31">
        <v>0</v>
      </c>
      <c r="V87" s="31"/>
      <c r="W87" s="31">
        <v>0</v>
      </c>
      <c r="X87" s="31" t="s">
        <v>1598</v>
      </c>
      <c r="Y87" s="31" t="s">
        <v>1201</v>
      </c>
      <c r="Z87" s="31" t="s">
        <v>1202</v>
      </c>
      <c r="AA87" s="31" t="s">
        <v>1605</v>
      </c>
      <c r="AB87" s="31" t="s">
        <v>770</v>
      </c>
      <c r="AC87" s="31" t="s">
        <v>1604</v>
      </c>
      <c r="AD87" s="31" t="s">
        <v>1598</v>
      </c>
      <c r="AE87" s="31" t="s">
        <v>1236</v>
      </c>
    </row>
    <row r="88" spans="1:31">
      <c r="A88" s="30" t="s">
        <v>1606</v>
      </c>
      <c r="B88" s="30" t="s">
        <v>1607</v>
      </c>
      <c r="C88" s="30" t="s">
        <v>15</v>
      </c>
      <c r="D88" s="31" t="s">
        <v>93</v>
      </c>
      <c r="E88" s="31" t="s">
        <v>1608</v>
      </c>
      <c r="F88" s="31" t="s">
        <v>1144</v>
      </c>
      <c r="G88" s="31" t="s">
        <v>1461</v>
      </c>
      <c r="H88" s="31"/>
      <c r="I88" s="31"/>
      <c r="J88" s="31" t="s">
        <v>1609</v>
      </c>
      <c r="K88" s="31"/>
      <c r="L88" s="31" t="s">
        <v>1531</v>
      </c>
      <c r="M88" s="31"/>
      <c r="N88" s="31"/>
      <c r="O88" s="31"/>
      <c r="P88" s="31"/>
      <c r="Q88" s="31" t="s">
        <v>674</v>
      </c>
      <c r="R88" s="31"/>
      <c r="S88" s="31">
        <v>0</v>
      </c>
      <c r="T88" s="31">
        <v>0</v>
      </c>
      <c r="U88" s="31">
        <v>0</v>
      </c>
      <c r="V88" s="31"/>
      <c r="W88" s="31">
        <v>0</v>
      </c>
      <c r="X88" s="31" t="s">
        <v>1598</v>
      </c>
      <c r="Y88" s="31" t="s">
        <v>1221</v>
      </c>
      <c r="Z88" s="31" t="s">
        <v>1193</v>
      </c>
      <c r="AA88" s="31" t="s">
        <v>1465</v>
      </c>
      <c r="AB88" s="31" t="s">
        <v>770</v>
      </c>
      <c r="AC88" s="31" t="s">
        <v>770</v>
      </c>
      <c r="AD88" s="31" t="s">
        <v>1598</v>
      </c>
      <c r="AE88" s="31" t="s">
        <v>1236</v>
      </c>
    </row>
    <row r="89" spans="1:31" ht="30">
      <c r="A89" s="30" t="s">
        <v>1610</v>
      </c>
      <c r="B89" s="30" t="s">
        <v>1611</v>
      </c>
      <c r="C89" s="30" t="s">
        <v>15</v>
      </c>
      <c r="D89" s="31" t="s">
        <v>93</v>
      </c>
      <c r="E89" s="31" t="s">
        <v>1612</v>
      </c>
      <c r="F89" s="31" t="s">
        <v>1144</v>
      </c>
      <c r="G89" s="31" t="s">
        <v>1613</v>
      </c>
      <c r="H89" s="31"/>
      <c r="I89" s="31"/>
      <c r="J89" s="31" t="s">
        <v>1614</v>
      </c>
      <c r="K89" s="31"/>
      <c r="L89" s="31" t="s">
        <v>1615</v>
      </c>
      <c r="M89" s="31"/>
      <c r="N89" s="31"/>
      <c r="O89" s="31"/>
      <c r="P89" s="31"/>
      <c r="Q89" s="31" t="s">
        <v>674</v>
      </c>
      <c r="R89" s="31"/>
      <c r="S89" s="31">
        <v>0</v>
      </c>
      <c r="T89" s="31">
        <v>2</v>
      </c>
      <c r="U89" s="31">
        <v>0</v>
      </c>
      <c r="V89" s="31"/>
      <c r="W89" s="31">
        <v>0</v>
      </c>
      <c r="X89" s="31" t="s">
        <v>1598</v>
      </c>
      <c r="Y89" s="31" t="s">
        <v>1221</v>
      </c>
      <c r="Z89" s="31" t="s">
        <v>1539</v>
      </c>
      <c r="AA89" s="31" t="s">
        <v>1616</v>
      </c>
      <c r="AB89" s="31" t="s">
        <v>1598</v>
      </c>
      <c r="AC89" s="31" t="s">
        <v>1541</v>
      </c>
      <c r="AD89" s="31" t="s">
        <v>1598</v>
      </c>
      <c r="AE89" s="31" t="s">
        <v>1236</v>
      </c>
    </row>
    <row r="90" spans="1:31">
      <c r="A90" s="30" t="s">
        <v>1617</v>
      </c>
      <c r="B90" s="30" t="s">
        <v>1618</v>
      </c>
      <c r="C90" s="30" t="s">
        <v>1164</v>
      </c>
      <c r="D90" s="31" t="s">
        <v>93</v>
      </c>
      <c r="E90" s="31" t="s">
        <v>1619</v>
      </c>
      <c r="F90" s="31" t="s">
        <v>1144</v>
      </c>
      <c r="G90" s="31" t="s">
        <v>1620</v>
      </c>
      <c r="H90" s="31"/>
      <c r="I90" s="31" t="s">
        <v>1480</v>
      </c>
      <c r="J90" s="31" t="s">
        <v>791</v>
      </c>
      <c r="K90" s="31"/>
      <c r="L90" s="31" t="s">
        <v>1598</v>
      </c>
      <c r="M90" s="31" t="s">
        <v>1396</v>
      </c>
      <c r="N90" s="31" t="s">
        <v>1397</v>
      </c>
      <c r="O90" s="31"/>
      <c r="P90" s="31"/>
      <c r="Q90" s="31" t="s">
        <v>674</v>
      </c>
      <c r="R90" s="31"/>
      <c r="S90" s="31">
        <v>0</v>
      </c>
      <c r="T90" s="31">
        <v>0</v>
      </c>
      <c r="U90" s="31">
        <v>0</v>
      </c>
      <c r="V90" s="31"/>
      <c r="W90" s="31">
        <v>0</v>
      </c>
      <c r="X90" s="31" t="s">
        <v>1621</v>
      </c>
      <c r="Y90" s="31" t="s">
        <v>1221</v>
      </c>
      <c r="Z90" s="31" t="s">
        <v>1172</v>
      </c>
      <c r="AA90" s="31" t="s">
        <v>791</v>
      </c>
      <c r="AB90" s="31" t="s">
        <v>1598</v>
      </c>
      <c r="AC90" s="31" t="s">
        <v>1598</v>
      </c>
      <c r="AD90" s="31" t="s">
        <v>1622</v>
      </c>
      <c r="AE90" s="31" t="s">
        <v>1236</v>
      </c>
    </row>
    <row r="91" spans="1:31" ht="30">
      <c r="A91" s="30" t="s">
        <v>1623</v>
      </c>
      <c r="B91" s="30" t="s">
        <v>1624</v>
      </c>
      <c r="C91" s="30" t="s">
        <v>15</v>
      </c>
      <c r="D91" s="31" t="s">
        <v>97</v>
      </c>
      <c r="E91" s="31" t="s">
        <v>1625</v>
      </c>
      <c r="F91" s="31" t="s">
        <v>1144</v>
      </c>
      <c r="G91" s="31" t="s">
        <v>1550</v>
      </c>
      <c r="H91" s="31"/>
      <c r="I91" s="31"/>
      <c r="J91" s="31" t="s">
        <v>1626</v>
      </c>
      <c r="K91" s="31"/>
      <c r="L91" s="31" t="s">
        <v>1627</v>
      </c>
      <c r="M91" s="31"/>
      <c r="N91" s="31"/>
      <c r="O91" s="31"/>
      <c r="P91" s="31"/>
      <c r="Q91" s="31" t="s">
        <v>674</v>
      </c>
      <c r="R91" s="31"/>
      <c r="S91" s="31">
        <v>0</v>
      </c>
      <c r="T91" s="31">
        <v>1</v>
      </c>
      <c r="U91" s="31">
        <v>0</v>
      </c>
      <c r="V91" s="31"/>
      <c r="W91" s="31">
        <v>0</v>
      </c>
      <c r="X91" s="31" t="s">
        <v>1628</v>
      </c>
      <c r="Y91" s="31" t="s">
        <v>1408</v>
      </c>
      <c r="Z91" s="31" t="s">
        <v>1409</v>
      </c>
      <c r="AA91" s="31" t="s">
        <v>1410</v>
      </c>
      <c r="AB91" s="31" t="s">
        <v>1628</v>
      </c>
      <c r="AC91" s="31" t="s">
        <v>770</v>
      </c>
      <c r="AD91" s="31" t="s">
        <v>1628</v>
      </c>
      <c r="AE91" s="31" t="s">
        <v>1236</v>
      </c>
    </row>
    <row r="92" spans="1:31">
      <c r="A92" s="30" t="s">
        <v>1629</v>
      </c>
      <c r="B92" s="30" t="s">
        <v>1630</v>
      </c>
      <c r="C92" s="30" t="s">
        <v>15</v>
      </c>
      <c r="D92" s="31" t="s">
        <v>97</v>
      </c>
      <c r="E92" s="31" t="s">
        <v>1631</v>
      </c>
      <c r="F92" s="31" t="s">
        <v>1144</v>
      </c>
      <c r="G92" s="31" t="s">
        <v>1438</v>
      </c>
      <c r="H92" s="31"/>
      <c r="I92" s="31"/>
      <c r="J92" s="31" t="s">
        <v>1626</v>
      </c>
      <c r="K92" s="31"/>
      <c r="L92" s="31" t="s">
        <v>1632</v>
      </c>
      <c r="M92" s="31"/>
      <c r="N92" s="31"/>
      <c r="O92" s="31"/>
      <c r="P92" s="31"/>
      <c r="Q92" s="31" t="s">
        <v>674</v>
      </c>
      <c r="R92" s="31"/>
      <c r="S92" s="31">
        <v>0</v>
      </c>
      <c r="T92" s="31">
        <v>0</v>
      </c>
      <c r="U92" s="31">
        <v>0</v>
      </c>
      <c r="V92" s="31"/>
      <c r="W92" s="31">
        <v>0</v>
      </c>
      <c r="X92" s="31" t="s">
        <v>1628</v>
      </c>
      <c r="Y92" s="31" t="s">
        <v>1408</v>
      </c>
      <c r="Z92" s="31" t="s">
        <v>1417</v>
      </c>
      <c r="AA92" s="31" t="s">
        <v>1439</v>
      </c>
      <c r="AB92" s="31" t="s">
        <v>1633</v>
      </c>
      <c r="AC92" s="31" t="s">
        <v>770</v>
      </c>
      <c r="AD92" s="31" t="s">
        <v>1628</v>
      </c>
      <c r="AE92" s="31" t="s">
        <v>1236</v>
      </c>
    </row>
    <row r="93" spans="1:31">
      <c r="A93" s="30" t="s">
        <v>1634</v>
      </c>
      <c r="B93" s="30" t="s">
        <v>1635</v>
      </c>
      <c r="C93" s="30" t="s">
        <v>15</v>
      </c>
      <c r="D93" s="31" t="s">
        <v>127</v>
      </c>
      <c r="E93" s="31" t="s">
        <v>1636</v>
      </c>
      <c r="F93" s="31" t="s">
        <v>1144</v>
      </c>
      <c r="G93" s="31" t="s">
        <v>1444</v>
      </c>
      <c r="H93" s="31"/>
      <c r="I93" s="31"/>
      <c r="J93" s="31" t="s">
        <v>1637</v>
      </c>
      <c r="K93" s="31"/>
      <c r="L93" s="31" t="s">
        <v>1577</v>
      </c>
      <c r="M93" s="31"/>
      <c r="N93" s="31"/>
      <c r="O93" s="31"/>
      <c r="P93" s="31"/>
      <c r="Q93" s="31" t="s">
        <v>674</v>
      </c>
      <c r="R93" s="31"/>
      <c r="S93" s="31">
        <v>0</v>
      </c>
      <c r="T93" s="31">
        <v>0</v>
      </c>
      <c r="U93" s="31">
        <v>0</v>
      </c>
      <c r="V93" s="31"/>
      <c r="W93" s="31">
        <v>0</v>
      </c>
      <c r="X93" s="31" t="s">
        <v>1638</v>
      </c>
      <c r="Y93" s="31" t="s">
        <v>1158</v>
      </c>
      <c r="Z93" s="31" t="s">
        <v>1182</v>
      </c>
      <c r="AA93" s="31" t="s">
        <v>1183</v>
      </c>
      <c r="AB93" s="31" t="s">
        <v>1639</v>
      </c>
      <c r="AC93" s="31" t="s">
        <v>770</v>
      </c>
      <c r="AD93" s="31" t="s">
        <v>1640</v>
      </c>
      <c r="AE93" s="31" t="s">
        <v>1236</v>
      </c>
    </row>
    <row r="94" spans="1:31">
      <c r="A94" s="30" t="s">
        <v>1641</v>
      </c>
      <c r="B94" s="30" t="s">
        <v>1642</v>
      </c>
      <c r="C94" s="30" t="s">
        <v>15</v>
      </c>
      <c r="D94" s="31" t="s">
        <v>127</v>
      </c>
      <c r="E94" s="31" t="s">
        <v>1643</v>
      </c>
      <c r="F94" s="31" t="s">
        <v>1144</v>
      </c>
      <c r="G94" s="31" t="s">
        <v>1644</v>
      </c>
      <c r="H94" s="31"/>
      <c r="I94" s="31"/>
      <c r="J94" s="31" t="s">
        <v>1645</v>
      </c>
      <c r="K94" s="31"/>
      <c r="L94" s="31" t="s">
        <v>1646</v>
      </c>
      <c r="M94" s="31"/>
      <c r="N94" s="31"/>
      <c r="O94" s="31"/>
      <c r="P94" s="31"/>
      <c r="Q94" s="31" t="s">
        <v>674</v>
      </c>
      <c r="R94" s="31"/>
      <c r="S94" s="31">
        <v>0</v>
      </c>
      <c r="T94" s="31">
        <v>1</v>
      </c>
      <c r="U94" s="31">
        <v>0</v>
      </c>
      <c r="V94" s="31"/>
      <c r="W94" s="31">
        <v>0</v>
      </c>
      <c r="X94" s="31" t="s">
        <v>1640</v>
      </c>
      <c r="Y94" s="31" t="s">
        <v>1201</v>
      </c>
      <c r="Z94" s="31" t="s">
        <v>1202</v>
      </c>
      <c r="AA94" s="31" t="s">
        <v>1647</v>
      </c>
      <c r="AB94" s="31" t="s">
        <v>770</v>
      </c>
      <c r="AC94" s="31" t="s">
        <v>1646</v>
      </c>
      <c r="AD94" s="31" t="s">
        <v>1640</v>
      </c>
      <c r="AE94" s="31" t="s">
        <v>1236</v>
      </c>
    </row>
    <row r="95" spans="1:31">
      <c r="A95" s="30" t="s">
        <v>1648</v>
      </c>
      <c r="B95" s="30" t="s">
        <v>1649</v>
      </c>
      <c r="C95" s="30" t="s">
        <v>15</v>
      </c>
      <c r="D95" s="31" t="s">
        <v>127</v>
      </c>
      <c r="E95" s="31" t="s">
        <v>1650</v>
      </c>
      <c r="F95" s="31" t="s">
        <v>1144</v>
      </c>
      <c r="G95" s="31" t="s">
        <v>1461</v>
      </c>
      <c r="H95" s="31"/>
      <c r="I95" s="31"/>
      <c r="J95" s="31" t="s">
        <v>1651</v>
      </c>
      <c r="K95" s="31"/>
      <c r="L95" s="31" t="s">
        <v>1531</v>
      </c>
      <c r="M95" s="31"/>
      <c r="N95" s="31"/>
      <c r="O95" s="31"/>
      <c r="P95" s="31"/>
      <c r="Q95" s="31" t="s">
        <v>674</v>
      </c>
      <c r="R95" s="31"/>
      <c r="S95" s="31">
        <v>0</v>
      </c>
      <c r="T95" s="31">
        <v>0</v>
      </c>
      <c r="U95" s="31">
        <v>0</v>
      </c>
      <c r="V95" s="31"/>
      <c r="W95" s="31">
        <v>0</v>
      </c>
      <c r="X95" s="31" t="s">
        <v>1640</v>
      </c>
      <c r="Y95" s="31" t="s">
        <v>1221</v>
      </c>
      <c r="Z95" s="31" t="s">
        <v>1193</v>
      </c>
      <c r="AA95" s="31" t="s">
        <v>1465</v>
      </c>
      <c r="AB95" s="31" t="s">
        <v>770</v>
      </c>
      <c r="AC95" s="31" t="s">
        <v>770</v>
      </c>
      <c r="AD95" s="31" t="s">
        <v>1640</v>
      </c>
      <c r="AE95" s="31" t="s">
        <v>1236</v>
      </c>
    </row>
    <row r="96" spans="1:31">
      <c r="A96" s="30" t="s">
        <v>1652</v>
      </c>
      <c r="B96" s="30" t="s">
        <v>1653</v>
      </c>
      <c r="C96" s="30" t="s">
        <v>1164</v>
      </c>
      <c r="D96" s="31" t="s">
        <v>127</v>
      </c>
      <c r="E96" s="31" t="s">
        <v>1654</v>
      </c>
      <c r="F96" s="31" t="s">
        <v>1144</v>
      </c>
      <c r="G96" s="31" t="s">
        <v>1275</v>
      </c>
      <c r="H96" s="31"/>
      <c r="I96" s="31" t="s">
        <v>1480</v>
      </c>
      <c r="J96" s="31" t="s">
        <v>791</v>
      </c>
      <c r="K96" s="31"/>
      <c r="L96" s="31" t="s">
        <v>1640</v>
      </c>
      <c r="M96" s="31" t="s">
        <v>1396</v>
      </c>
      <c r="N96" s="31" t="s">
        <v>1397</v>
      </c>
      <c r="O96" s="31"/>
      <c r="P96" s="31"/>
      <c r="Q96" s="31" t="s">
        <v>674</v>
      </c>
      <c r="R96" s="31"/>
      <c r="S96" s="31">
        <v>0</v>
      </c>
      <c r="T96" s="31">
        <v>1</v>
      </c>
      <c r="U96" s="31">
        <v>0</v>
      </c>
      <c r="V96" s="31"/>
      <c r="W96" s="31">
        <v>0</v>
      </c>
      <c r="X96" s="31" t="s">
        <v>1275</v>
      </c>
      <c r="Y96" s="31" t="s">
        <v>1221</v>
      </c>
      <c r="Z96" s="31" t="s">
        <v>1172</v>
      </c>
      <c r="AA96" s="31" t="s">
        <v>791</v>
      </c>
      <c r="AB96" s="31" t="s">
        <v>1640</v>
      </c>
      <c r="AC96" s="31" t="s">
        <v>1640</v>
      </c>
      <c r="AD96" s="31" t="s">
        <v>1275</v>
      </c>
      <c r="AE96" s="31" t="s">
        <v>1236</v>
      </c>
    </row>
    <row r="97" spans="1:31" ht="30">
      <c r="A97" s="30" t="s">
        <v>1655</v>
      </c>
      <c r="B97" s="30" t="s">
        <v>1656</v>
      </c>
      <c r="C97" s="30" t="s">
        <v>15</v>
      </c>
      <c r="D97" s="31" t="s">
        <v>132</v>
      </c>
      <c r="E97" s="31" t="s">
        <v>1657</v>
      </c>
      <c r="F97" s="31" t="s">
        <v>1144</v>
      </c>
      <c r="G97" s="31" t="s">
        <v>1550</v>
      </c>
      <c r="H97" s="31"/>
      <c r="I97" s="31"/>
      <c r="J97" s="31" t="s">
        <v>1658</v>
      </c>
      <c r="K97" s="31"/>
      <c r="L97" s="31" t="s">
        <v>1659</v>
      </c>
      <c r="M97" s="31"/>
      <c r="N97" s="31"/>
      <c r="O97" s="31"/>
      <c r="P97" s="31"/>
      <c r="Q97" s="31" t="s">
        <v>674</v>
      </c>
      <c r="R97" s="31"/>
      <c r="S97" s="31">
        <v>0</v>
      </c>
      <c r="T97" s="31">
        <v>1</v>
      </c>
      <c r="U97" s="31">
        <v>0</v>
      </c>
      <c r="V97" s="31"/>
      <c r="W97" s="31">
        <v>0</v>
      </c>
      <c r="X97" s="31" t="s">
        <v>1660</v>
      </c>
      <c r="Y97" s="31" t="s">
        <v>1408</v>
      </c>
      <c r="Z97" s="31" t="s">
        <v>1409</v>
      </c>
      <c r="AA97" s="31" t="s">
        <v>1661</v>
      </c>
      <c r="AB97" s="31" t="s">
        <v>1660</v>
      </c>
      <c r="AC97" s="31" t="s">
        <v>770</v>
      </c>
      <c r="AD97" s="31" t="s">
        <v>1660</v>
      </c>
      <c r="AE97" s="31" t="s">
        <v>1236</v>
      </c>
    </row>
    <row r="98" spans="1:31">
      <c r="A98" s="30" t="s">
        <v>1662</v>
      </c>
      <c r="B98" s="30" t="s">
        <v>1663</v>
      </c>
      <c r="C98" s="30" t="s">
        <v>15</v>
      </c>
      <c r="D98" s="31" t="s">
        <v>132</v>
      </c>
      <c r="E98" s="31" t="s">
        <v>1664</v>
      </c>
      <c r="F98" s="31" t="s">
        <v>1144</v>
      </c>
      <c r="G98" s="31" t="s">
        <v>1438</v>
      </c>
      <c r="H98" s="31"/>
      <c r="I98" s="31"/>
      <c r="J98" s="31" t="s">
        <v>1658</v>
      </c>
      <c r="K98" s="31"/>
      <c r="L98" s="31" t="s">
        <v>1632</v>
      </c>
      <c r="M98" s="31"/>
      <c r="N98" s="31"/>
      <c r="O98" s="31"/>
      <c r="P98" s="31"/>
      <c r="Q98" s="31" t="s">
        <v>674</v>
      </c>
      <c r="R98" s="31"/>
      <c r="S98" s="31">
        <v>0</v>
      </c>
      <c r="T98" s="31">
        <v>0</v>
      </c>
      <c r="U98" s="31">
        <v>0</v>
      </c>
      <c r="V98" s="31"/>
      <c r="W98" s="31">
        <v>0</v>
      </c>
      <c r="X98" s="31" t="s">
        <v>1660</v>
      </c>
      <c r="Y98" s="31" t="s">
        <v>1408</v>
      </c>
      <c r="Z98" s="31" t="s">
        <v>1417</v>
      </c>
      <c r="AA98" s="31" t="s">
        <v>1439</v>
      </c>
      <c r="AB98" s="31" t="s">
        <v>1633</v>
      </c>
      <c r="AC98" s="31" t="s">
        <v>770</v>
      </c>
      <c r="AD98" s="31" t="s">
        <v>1660</v>
      </c>
      <c r="AE98" s="31" t="s">
        <v>1236</v>
      </c>
    </row>
    <row r="99" spans="1:31">
      <c r="A99" s="30" t="s">
        <v>1665</v>
      </c>
      <c r="B99" s="30" t="s">
        <v>1666</v>
      </c>
      <c r="C99" s="30" t="s">
        <v>15</v>
      </c>
      <c r="D99" s="31" t="s">
        <v>137</v>
      </c>
      <c r="E99" s="31" t="s">
        <v>1667</v>
      </c>
      <c r="F99" s="31" t="s">
        <v>1144</v>
      </c>
      <c r="G99" s="31" t="s">
        <v>1376</v>
      </c>
      <c r="H99" s="31"/>
      <c r="I99" s="31"/>
      <c r="J99" s="31" t="s">
        <v>1668</v>
      </c>
      <c r="K99" s="31"/>
      <c r="L99" s="31" t="s">
        <v>1577</v>
      </c>
      <c r="M99" s="31"/>
      <c r="N99" s="31"/>
      <c r="O99" s="31"/>
      <c r="P99" s="31"/>
      <c r="Q99" s="31" t="s">
        <v>674</v>
      </c>
      <c r="R99" s="31"/>
      <c r="S99" s="31">
        <v>0</v>
      </c>
      <c r="T99" s="31">
        <v>0</v>
      </c>
      <c r="U99" s="31">
        <v>0</v>
      </c>
      <c r="V99" s="31"/>
      <c r="W99" s="31">
        <v>0</v>
      </c>
      <c r="X99" s="31" t="s">
        <v>1669</v>
      </c>
      <c r="Y99" s="31" t="s">
        <v>1158</v>
      </c>
      <c r="Z99" s="31" t="s">
        <v>1182</v>
      </c>
      <c r="AA99" s="31" t="s">
        <v>1183</v>
      </c>
      <c r="AB99" s="31" t="s">
        <v>1639</v>
      </c>
      <c r="AC99" s="31" t="s">
        <v>770</v>
      </c>
      <c r="AD99" s="31" t="s">
        <v>1670</v>
      </c>
      <c r="AE99" s="31" t="s">
        <v>1236</v>
      </c>
    </row>
    <row r="100" spans="1:31">
      <c r="A100" s="30" t="s">
        <v>1671</v>
      </c>
      <c r="B100" s="30" t="s">
        <v>1672</v>
      </c>
      <c r="C100" s="30" t="s">
        <v>15</v>
      </c>
      <c r="D100" s="31" t="s">
        <v>137</v>
      </c>
      <c r="E100" s="31" t="s">
        <v>1673</v>
      </c>
      <c r="F100" s="31" t="s">
        <v>1144</v>
      </c>
      <c r="G100" s="31" t="s">
        <v>1674</v>
      </c>
      <c r="H100" s="31"/>
      <c r="I100" s="31"/>
      <c r="J100" s="31" t="s">
        <v>1675</v>
      </c>
      <c r="K100" s="31"/>
      <c r="L100" s="31" t="s">
        <v>1676</v>
      </c>
      <c r="M100" s="31"/>
      <c r="N100" s="31"/>
      <c r="O100" s="31"/>
      <c r="P100" s="31"/>
      <c r="Q100" s="31" t="s">
        <v>674</v>
      </c>
      <c r="R100" s="31"/>
      <c r="S100" s="31">
        <v>0</v>
      </c>
      <c r="T100" s="31">
        <v>1</v>
      </c>
      <c r="U100" s="31">
        <v>0</v>
      </c>
      <c r="V100" s="31"/>
      <c r="W100" s="31">
        <v>0</v>
      </c>
      <c r="X100" s="31" t="s">
        <v>1670</v>
      </c>
      <c r="Y100" s="31" t="s">
        <v>1201</v>
      </c>
      <c r="Z100" s="31" t="s">
        <v>1202</v>
      </c>
      <c r="AA100" s="31" t="s">
        <v>1677</v>
      </c>
      <c r="AB100" s="31" t="s">
        <v>770</v>
      </c>
      <c r="AC100" s="31" t="s">
        <v>1676</v>
      </c>
      <c r="AD100" s="31" t="s">
        <v>1670</v>
      </c>
      <c r="AE100" s="31" t="s">
        <v>1236</v>
      </c>
    </row>
    <row r="101" spans="1:31" ht="30">
      <c r="A101" s="30" t="s">
        <v>1678</v>
      </c>
      <c r="B101" s="30" t="s">
        <v>1679</v>
      </c>
      <c r="C101" s="30" t="s">
        <v>15</v>
      </c>
      <c r="D101" s="31" t="s">
        <v>137</v>
      </c>
      <c r="E101" s="31" t="s">
        <v>1680</v>
      </c>
      <c r="F101" s="31" t="s">
        <v>1144</v>
      </c>
      <c r="G101" s="31" t="s">
        <v>1681</v>
      </c>
      <c r="H101" s="31"/>
      <c r="I101" s="31"/>
      <c r="J101" s="31" t="s">
        <v>1682</v>
      </c>
      <c r="K101" s="31"/>
      <c r="L101" s="31" t="s">
        <v>1683</v>
      </c>
      <c r="M101" s="31"/>
      <c r="N101" s="31"/>
      <c r="O101" s="31"/>
      <c r="P101" s="31"/>
      <c r="Q101" s="31" t="s">
        <v>674</v>
      </c>
      <c r="R101" s="31"/>
      <c r="S101" s="31">
        <v>0</v>
      </c>
      <c r="T101" s="31">
        <v>1</v>
      </c>
      <c r="U101" s="31">
        <v>0</v>
      </c>
      <c r="V101" s="31"/>
      <c r="W101" s="31">
        <v>0</v>
      </c>
      <c r="X101" s="31" t="s">
        <v>1684</v>
      </c>
      <c r="Y101" s="31" t="s">
        <v>1355</v>
      </c>
      <c r="Z101" s="31" t="s">
        <v>1368</v>
      </c>
      <c r="AA101" s="31" t="s">
        <v>1685</v>
      </c>
      <c r="AB101" s="31" t="s">
        <v>1686</v>
      </c>
      <c r="AC101" s="31" t="s">
        <v>770</v>
      </c>
      <c r="AD101" s="31" t="s">
        <v>1687</v>
      </c>
      <c r="AE101" s="31" t="s">
        <v>1688</v>
      </c>
    </row>
    <row r="102" spans="1:31">
      <c r="A102" s="30" t="s">
        <v>1689</v>
      </c>
      <c r="B102" s="30" t="s">
        <v>1690</v>
      </c>
      <c r="C102" s="30" t="s">
        <v>1164</v>
      </c>
      <c r="D102" s="31" t="s">
        <v>137</v>
      </c>
      <c r="E102" s="31" t="s">
        <v>1691</v>
      </c>
      <c r="F102" s="31" t="s">
        <v>1144</v>
      </c>
      <c r="G102" s="31" t="s">
        <v>1275</v>
      </c>
      <c r="H102" s="31"/>
      <c r="I102" s="31" t="s">
        <v>1480</v>
      </c>
      <c r="J102" s="31" t="s">
        <v>791</v>
      </c>
      <c r="K102" s="31"/>
      <c r="L102" s="31" t="s">
        <v>1670</v>
      </c>
      <c r="M102" s="31" t="s">
        <v>1396</v>
      </c>
      <c r="N102" s="31" t="s">
        <v>1397</v>
      </c>
      <c r="O102" s="31"/>
      <c r="P102" s="31"/>
      <c r="Q102" s="31" t="s">
        <v>674</v>
      </c>
      <c r="R102" s="31"/>
      <c r="S102" s="31">
        <v>0</v>
      </c>
      <c r="T102" s="31">
        <v>0</v>
      </c>
      <c r="U102" s="31">
        <v>0</v>
      </c>
      <c r="V102" s="31"/>
      <c r="W102" s="31">
        <v>0</v>
      </c>
      <c r="X102" s="31" t="s">
        <v>1275</v>
      </c>
      <c r="Y102" s="31" t="s">
        <v>976</v>
      </c>
      <c r="Z102" s="31" t="s">
        <v>1172</v>
      </c>
      <c r="AA102" s="31" t="s">
        <v>791</v>
      </c>
      <c r="AB102" s="31" t="s">
        <v>1670</v>
      </c>
      <c r="AC102" s="31" t="s">
        <v>1670</v>
      </c>
      <c r="AD102" s="31" t="s">
        <v>1692</v>
      </c>
      <c r="AE102" s="31" t="s">
        <v>1236</v>
      </c>
    </row>
    <row r="103" spans="1:31" ht="30">
      <c r="A103" s="30" t="s">
        <v>1693</v>
      </c>
      <c r="B103" s="30" t="s">
        <v>1694</v>
      </c>
      <c r="C103" s="30" t="s">
        <v>15</v>
      </c>
      <c r="D103" s="31" t="s">
        <v>1695</v>
      </c>
      <c r="E103" s="31" t="s">
        <v>1696</v>
      </c>
      <c r="F103" s="31" t="s">
        <v>1144</v>
      </c>
      <c r="G103" s="31" t="s">
        <v>1376</v>
      </c>
      <c r="H103" s="31"/>
      <c r="I103" s="31"/>
      <c r="J103" s="31" t="s">
        <v>1697</v>
      </c>
      <c r="K103" s="31"/>
      <c r="L103" s="31" t="s">
        <v>1577</v>
      </c>
      <c r="M103" s="31"/>
      <c r="N103" s="31"/>
      <c r="O103" s="31"/>
      <c r="P103" s="31"/>
      <c r="Q103" s="31" t="s">
        <v>674</v>
      </c>
      <c r="R103" s="31"/>
      <c r="S103" s="31">
        <v>0</v>
      </c>
      <c r="T103" s="31">
        <v>0</v>
      </c>
      <c r="U103" s="31">
        <v>0</v>
      </c>
      <c r="V103" s="31"/>
      <c r="W103" s="31">
        <v>0</v>
      </c>
      <c r="X103" s="31" t="s">
        <v>1698</v>
      </c>
      <c r="Y103" s="31" t="s">
        <v>1158</v>
      </c>
      <c r="Z103" s="31" t="s">
        <v>1182</v>
      </c>
      <c r="AA103" s="31" t="s">
        <v>1183</v>
      </c>
      <c r="AB103" s="31" t="s">
        <v>1699</v>
      </c>
      <c r="AC103" s="31" t="s">
        <v>770</v>
      </c>
      <c r="AD103" s="31" t="s">
        <v>1700</v>
      </c>
      <c r="AE103" s="31" t="s">
        <v>1236</v>
      </c>
    </row>
    <row r="104" spans="1:31" ht="30">
      <c r="A104" s="30" t="s">
        <v>1701</v>
      </c>
      <c r="B104" s="30" t="s">
        <v>1702</v>
      </c>
      <c r="C104" s="30" t="s">
        <v>15</v>
      </c>
      <c r="D104" s="31" t="s">
        <v>1695</v>
      </c>
      <c r="E104" s="31" t="s">
        <v>1703</v>
      </c>
      <c r="F104" s="31" t="s">
        <v>1144</v>
      </c>
      <c r="G104" s="31" t="s">
        <v>1704</v>
      </c>
      <c r="H104" s="31"/>
      <c r="I104" s="31"/>
      <c r="J104" s="31" t="s">
        <v>1705</v>
      </c>
      <c r="K104" s="31"/>
      <c r="L104" s="31" t="s">
        <v>1706</v>
      </c>
      <c r="M104" s="31"/>
      <c r="N104" s="31"/>
      <c r="O104" s="31"/>
      <c r="P104" s="31"/>
      <c r="Q104" s="31" t="s">
        <v>674</v>
      </c>
      <c r="R104" s="31"/>
      <c r="S104" s="31">
        <v>0</v>
      </c>
      <c r="T104" s="31">
        <v>1</v>
      </c>
      <c r="U104" s="31">
        <v>0</v>
      </c>
      <c r="V104" s="31"/>
      <c r="W104" s="31">
        <v>0</v>
      </c>
      <c r="X104" s="31" t="s">
        <v>1707</v>
      </c>
      <c r="Y104" s="31" t="s">
        <v>1355</v>
      </c>
      <c r="Z104" s="31" t="s">
        <v>1356</v>
      </c>
      <c r="AA104" s="31" t="s">
        <v>1708</v>
      </c>
      <c r="AB104" s="31" t="s">
        <v>770</v>
      </c>
      <c r="AC104" s="31" t="s">
        <v>770</v>
      </c>
      <c r="AD104" s="31" t="s">
        <v>1709</v>
      </c>
      <c r="AE104" s="31" t="s">
        <v>1688</v>
      </c>
    </row>
    <row r="105" spans="1:31">
      <c r="A105" s="30" t="s">
        <v>1710</v>
      </c>
      <c r="B105" s="30" t="s">
        <v>1711</v>
      </c>
      <c r="C105" s="30" t="s">
        <v>15</v>
      </c>
      <c r="D105" s="31" t="s">
        <v>1712</v>
      </c>
      <c r="E105" s="31" t="s">
        <v>1713</v>
      </c>
      <c r="F105" s="31" t="s">
        <v>1144</v>
      </c>
      <c r="G105" s="31" t="s">
        <v>1594</v>
      </c>
      <c r="H105" s="31"/>
      <c r="I105" s="31"/>
      <c r="J105" s="31" t="s">
        <v>1714</v>
      </c>
      <c r="K105" s="31"/>
      <c r="L105" s="31" t="s">
        <v>1577</v>
      </c>
      <c r="M105" s="31"/>
      <c r="N105" s="31"/>
      <c r="O105" s="31"/>
      <c r="P105" s="31"/>
      <c r="Q105" s="31" t="s">
        <v>674</v>
      </c>
      <c r="R105" s="31"/>
      <c r="S105" s="31">
        <v>0</v>
      </c>
      <c r="T105" s="31">
        <v>0</v>
      </c>
      <c r="U105" s="31">
        <v>0</v>
      </c>
      <c r="V105" s="31"/>
      <c r="W105" s="31">
        <v>0</v>
      </c>
      <c r="X105" s="31" t="s">
        <v>1715</v>
      </c>
      <c r="Y105" s="31" t="s">
        <v>1158</v>
      </c>
      <c r="Z105" s="31" t="s">
        <v>1182</v>
      </c>
      <c r="AA105" s="31" t="s">
        <v>1183</v>
      </c>
      <c r="AB105" s="31" t="s">
        <v>1716</v>
      </c>
      <c r="AC105" s="31" t="s">
        <v>770</v>
      </c>
      <c r="AD105" s="31" t="s">
        <v>1717</v>
      </c>
      <c r="AE105" s="31" t="s">
        <v>1236</v>
      </c>
    </row>
    <row r="106" spans="1:31" ht="30">
      <c r="A106" s="30" t="s">
        <v>1718</v>
      </c>
      <c r="B106" s="30" t="s">
        <v>1719</v>
      </c>
      <c r="C106" s="30" t="s">
        <v>15</v>
      </c>
      <c r="D106" s="31" t="s">
        <v>1712</v>
      </c>
      <c r="E106" s="31" t="s">
        <v>1720</v>
      </c>
      <c r="F106" s="31" t="s">
        <v>1144</v>
      </c>
      <c r="G106" s="31" t="s">
        <v>1721</v>
      </c>
      <c r="H106" s="31"/>
      <c r="I106" s="31"/>
      <c r="J106" s="31" t="s">
        <v>1722</v>
      </c>
      <c r="K106" s="31"/>
      <c r="L106" s="31" t="s">
        <v>1723</v>
      </c>
      <c r="M106" s="31"/>
      <c r="N106" s="31"/>
      <c r="O106" s="31"/>
      <c r="P106" s="31"/>
      <c r="Q106" s="31" t="s">
        <v>674</v>
      </c>
      <c r="R106" s="31"/>
      <c r="S106" s="31">
        <v>0</v>
      </c>
      <c r="T106" s="31">
        <v>1</v>
      </c>
      <c r="U106" s="31">
        <v>0</v>
      </c>
      <c r="V106" s="31"/>
      <c r="W106" s="31">
        <v>0</v>
      </c>
      <c r="X106" s="31" t="s">
        <v>1472</v>
      </c>
      <c r="Y106" s="31" t="s">
        <v>1355</v>
      </c>
      <c r="Z106" s="31" t="s">
        <v>1356</v>
      </c>
      <c r="AA106" s="31" t="s">
        <v>1724</v>
      </c>
      <c r="AB106" s="31" t="s">
        <v>1725</v>
      </c>
      <c r="AC106" s="31" t="s">
        <v>770</v>
      </c>
      <c r="AD106" s="31" t="s">
        <v>1359</v>
      </c>
      <c r="AE106" s="31" t="s">
        <v>1688</v>
      </c>
    </row>
    <row r="107" spans="1:31" ht="30">
      <c r="A107" s="30" t="s">
        <v>1726</v>
      </c>
      <c r="B107" s="30" t="s">
        <v>1727</v>
      </c>
      <c r="C107" s="30" t="s">
        <v>15</v>
      </c>
      <c r="D107" s="31" t="s">
        <v>1712</v>
      </c>
      <c r="E107" s="31" t="s">
        <v>1728</v>
      </c>
      <c r="F107" s="31" t="s">
        <v>1144</v>
      </c>
      <c r="G107" s="31" t="s">
        <v>1729</v>
      </c>
      <c r="H107" s="31"/>
      <c r="I107" s="31"/>
      <c r="J107" s="31" t="s">
        <v>1730</v>
      </c>
      <c r="K107" s="31"/>
      <c r="L107" s="31" t="s">
        <v>1731</v>
      </c>
      <c r="M107" s="31"/>
      <c r="N107" s="31"/>
      <c r="O107" s="31"/>
      <c r="P107" s="31"/>
      <c r="Q107" s="31" t="s">
        <v>674</v>
      </c>
      <c r="R107" s="31"/>
      <c r="S107" s="31">
        <v>0</v>
      </c>
      <c r="T107" s="31">
        <v>1</v>
      </c>
      <c r="U107" s="31">
        <v>0</v>
      </c>
      <c r="V107" s="31"/>
      <c r="W107" s="31">
        <v>0</v>
      </c>
      <c r="X107" s="31" t="s">
        <v>1684</v>
      </c>
      <c r="Y107" s="31" t="s">
        <v>1355</v>
      </c>
      <c r="Z107" s="31" t="s">
        <v>1368</v>
      </c>
      <c r="AA107" s="31" t="s">
        <v>1732</v>
      </c>
      <c r="AB107" s="31" t="s">
        <v>1733</v>
      </c>
      <c r="AC107" s="31" t="s">
        <v>770</v>
      </c>
      <c r="AD107" s="31" t="s">
        <v>1687</v>
      </c>
      <c r="AE107" s="31" t="s">
        <v>1688</v>
      </c>
    </row>
    <row r="108" spans="1:31">
      <c r="A108" s="30" t="s">
        <v>1734</v>
      </c>
      <c r="B108" s="30" t="s">
        <v>1735</v>
      </c>
      <c r="C108" s="30" t="s">
        <v>1164</v>
      </c>
      <c r="D108" s="31" t="s">
        <v>1712</v>
      </c>
      <c r="E108" s="31" t="s">
        <v>1736</v>
      </c>
      <c r="F108" s="31" t="s">
        <v>1144</v>
      </c>
      <c r="G108" s="31" t="s">
        <v>1737</v>
      </c>
      <c r="H108" s="31"/>
      <c r="I108" s="31" t="s">
        <v>1480</v>
      </c>
      <c r="J108" s="31" t="s">
        <v>791</v>
      </c>
      <c r="K108" s="31"/>
      <c r="L108" s="31" t="s">
        <v>1717</v>
      </c>
      <c r="M108" s="31" t="s">
        <v>1396</v>
      </c>
      <c r="N108" s="31" t="s">
        <v>1397</v>
      </c>
      <c r="O108" s="31"/>
      <c r="P108" s="31"/>
      <c r="Q108" s="31" t="s">
        <v>674</v>
      </c>
      <c r="R108" s="31"/>
      <c r="S108" s="31">
        <v>0</v>
      </c>
      <c r="T108" s="31">
        <v>1</v>
      </c>
      <c r="U108" s="31">
        <v>0</v>
      </c>
      <c r="V108" s="31"/>
      <c r="W108" s="31">
        <v>0</v>
      </c>
      <c r="X108" s="31" t="s">
        <v>1738</v>
      </c>
      <c r="Y108" s="31" t="s">
        <v>1739</v>
      </c>
      <c r="Z108" s="31" t="s">
        <v>1172</v>
      </c>
      <c r="AA108" s="31" t="s">
        <v>791</v>
      </c>
      <c r="AB108" s="31" t="s">
        <v>1717</v>
      </c>
      <c r="AC108" s="31" t="s">
        <v>1717</v>
      </c>
      <c r="AD108" s="31" t="s">
        <v>1740</v>
      </c>
      <c r="AE108" s="31" t="s">
        <v>1236</v>
      </c>
    </row>
    <row r="109" spans="1:31">
      <c r="A109" s="30" t="s">
        <v>1741</v>
      </c>
      <c r="B109" s="30" t="s">
        <v>1742</v>
      </c>
      <c r="C109" s="30" t="s">
        <v>15</v>
      </c>
      <c r="D109" s="31" t="s">
        <v>1743</v>
      </c>
      <c r="E109" s="31" t="s">
        <v>1744</v>
      </c>
      <c r="F109" s="31" t="s">
        <v>1144</v>
      </c>
      <c r="G109" s="31" t="s">
        <v>1376</v>
      </c>
      <c r="H109" s="31"/>
      <c r="I109" s="31"/>
      <c r="J109" s="31" t="s">
        <v>1745</v>
      </c>
      <c r="K109" s="31"/>
      <c r="L109" s="31" t="s">
        <v>1577</v>
      </c>
      <c r="M109" s="31"/>
      <c r="N109" s="31"/>
      <c r="O109" s="31"/>
      <c r="P109" s="31"/>
      <c r="Q109" s="31" t="s">
        <v>674</v>
      </c>
      <c r="R109" s="31"/>
      <c r="S109" s="31">
        <v>0</v>
      </c>
      <c r="T109" s="31">
        <v>0</v>
      </c>
      <c r="U109" s="31">
        <v>0</v>
      </c>
      <c r="V109" s="31"/>
      <c r="W109" s="31">
        <v>0</v>
      </c>
      <c r="X109" s="31" t="s">
        <v>1746</v>
      </c>
      <c r="Y109" s="31" t="s">
        <v>1158</v>
      </c>
      <c r="Z109" s="31" t="s">
        <v>1182</v>
      </c>
      <c r="AA109" s="31" t="s">
        <v>1183</v>
      </c>
      <c r="AB109" s="31" t="s">
        <v>1747</v>
      </c>
      <c r="AC109" s="31" t="s">
        <v>770</v>
      </c>
      <c r="AD109" s="31" t="s">
        <v>1748</v>
      </c>
      <c r="AE109" s="31" t="s">
        <v>1236</v>
      </c>
    </row>
    <row r="110" spans="1:31" ht="30">
      <c r="A110" s="30" t="s">
        <v>1749</v>
      </c>
      <c r="B110" s="30" t="s">
        <v>1750</v>
      </c>
      <c r="C110" s="30" t="s">
        <v>15</v>
      </c>
      <c r="D110" s="31" t="s">
        <v>1743</v>
      </c>
      <c r="E110" s="31" t="s">
        <v>1751</v>
      </c>
      <c r="F110" s="31" t="s">
        <v>1144</v>
      </c>
      <c r="G110" s="31" t="s">
        <v>1752</v>
      </c>
      <c r="H110" s="31"/>
      <c r="I110" s="31"/>
      <c r="J110" s="31" t="s">
        <v>1753</v>
      </c>
      <c r="K110" s="31"/>
      <c r="L110" s="31" t="s">
        <v>1754</v>
      </c>
      <c r="M110" s="31"/>
      <c r="N110" s="31"/>
      <c r="O110" s="31"/>
      <c r="P110" s="31"/>
      <c r="Q110" s="31" t="s">
        <v>674</v>
      </c>
      <c r="R110" s="31"/>
      <c r="S110" s="31">
        <v>0</v>
      </c>
      <c r="T110" s="31">
        <v>0</v>
      </c>
      <c r="U110" s="31">
        <v>0</v>
      </c>
      <c r="V110" s="31"/>
      <c r="W110" s="31">
        <v>0</v>
      </c>
      <c r="X110" s="31" t="s">
        <v>1472</v>
      </c>
      <c r="Y110" s="31" t="s">
        <v>1355</v>
      </c>
      <c r="Z110" s="31" t="s">
        <v>1356</v>
      </c>
      <c r="AA110" s="31" t="s">
        <v>1755</v>
      </c>
      <c r="AB110" s="31" t="s">
        <v>1756</v>
      </c>
      <c r="AC110" s="31" t="s">
        <v>770</v>
      </c>
      <c r="AD110" s="31" t="s">
        <v>1757</v>
      </c>
      <c r="AE110" s="31" t="s">
        <v>1688</v>
      </c>
    </row>
    <row r="111" spans="1:31" ht="30">
      <c r="A111" s="30" t="s">
        <v>1758</v>
      </c>
      <c r="B111" s="30" t="s">
        <v>1759</v>
      </c>
      <c r="C111" s="30" t="s">
        <v>15</v>
      </c>
      <c r="D111" s="31" t="s">
        <v>1760</v>
      </c>
      <c r="E111" s="31" t="s">
        <v>1761</v>
      </c>
      <c r="F111" s="31" t="s">
        <v>1144</v>
      </c>
      <c r="G111" s="31" t="s">
        <v>1376</v>
      </c>
      <c r="H111" s="31"/>
      <c r="I111" s="31"/>
      <c r="J111" s="31" t="s">
        <v>1762</v>
      </c>
      <c r="K111" s="31"/>
      <c r="L111" s="31" t="s">
        <v>1577</v>
      </c>
      <c r="M111" s="31"/>
      <c r="N111" s="31"/>
      <c r="O111" s="31"/>
      <c r="P111" s="31"/>
      <c r="Q111" s="31" t="s">
        <v>674</v>
      </c>
      <c r="R111" s="31"/>
      <c r="S111" s="31">
        <v>0</v>
      </c>
      <c r="T111" s="31">
        <v>0</v>
      </c>
      <c r="U111" s="31">
        <v>0</v>
      </c>
      <c r="V111" s="31"/>
      <c r="W111" s="31">
        <v>0</v>
      </c>
      <c r="X111" s="31" t="s">
        <v>1763</v>
      </c>
      <c r="Y111" s="31" t="s">
        <v>1158</v>
      </c>
      <c r="Z111" s="31" t="s">
        <v>1182</v>
      </c>
      <c r="AA111" s="31" t="s">
        <v>1183</v>
      </c>
      <c r="AB111" s="31" t="s">
        <v>1764</v>
      </c>
      <c r="AC111" s="31" t="s">
        <v>770</v>
      </c>
      <c r="AD111" s="31" t="s">
        <v>1765</v>
      </c>
      <c r="AE111" s="31" t="s">
        <v>1236</v>
      </c>
    </row>
    <row r="112" spans="1:31" ht="30">
      <c r="A112" s="30" t="s">
        <v>1766</v>
      </c>
      <c r="B112" s="30" t="s">
        <v>1767</v>
      </c>
      <c r="C112" s="30" t="s">
        <v>15</v>
      </c>
      <c r="D112" s="31" t="s">
        <v>1760</v>
      </c>
      <c r="E112" s="31" t="s">
        <v>1768</v>
      </c>
      <c r="F112" s="31" t="s">
        <v>1144</v>
      </c>
      <c r="G112" s="31" t="s">
        <v>1769</v>
      </c>
      <c r="H112" s="31"/>
      <c r="I112" s="31"/>
      <c r="J112" s="31" t="s">
        <v>1770</v>
      </c>
      <c r="K112" s="31"/>
      <c r="L112" s="31" t="s">
        <v>1771</v>
      </c>
      <c r="M112" s="31"/>
      <c r="N112" s="31"/>
      <c r="O112" s="31"/>
      <c r="P112" s="31"/>
      <c r="Q112" s="31" t="s">
        <v>674</v>
      </c>
      <c r="R112" s="31"/>
      <c r="S112" s="31">
        <v>0</v>
      </c>
      <c r="T112" s="31">
        <v>2</v>
      </c>
      <c r="U112" s="31">
        <v>0</v>
      </c>
      <c r="V112" s="31"/>
      <c r="W112" s="31">
        <v>0</v>
      </c>
      <c r="X112" s="31" t="s">
        <v>1765</v>
      </c>
      <c r="Y112" s="31" t="s">
        <v>1772</v>
      </c>
      <c r="Z112" s="31" t="s">
        <v>1409</v>
      </c>
      <c r="AA112" s="31" t="s">
        <v>1773</v>
      </c>
      <c r="AB112" s="31" t="s">
        <v>1765</v>
      </c>
      <c r="AC112" s="31" t="s">
        <v>770</v>
      </c>
      <c r="AD112" s="31" t="s">
        <v>1765</v>
      </c>
      <c r="AE112" s="31" t="s">
        <v>1236</v>
      </c>
    </row>
    <row r="113" spans="1:31">
      <c r="A113" s="30" t="s">
        <v>1774</v>
      </c>
      <c r="B113" s="30" t="s">
        <v>1775</v>
      </c>
      <c r="C113" s="30" t="s">
        <v>15</v>
      </c>
      <c r="D113" s="31" t="s">
        <v>1760</v>
      </c>
      <c r="E113" s="31" t="s">
        <v>1776</v>
      </c>
      <c r="F113" s="31" t="s">
        <v>1144</v>
      </c>
      <c r="G113" s="31" t="s">
        <v>1777</v>
      </c>
      <c r="H113" s="31"/>
      <c r="I113" s="31"/>
      <c r="J113" s="31" t="s">
        <v>1770</v>
      </c>
      <c r="K113" s="31"/>
      <c r="L113" s="31" t="s">
        <v>1778</v>
      </c>
      <c r="M113" s="31"/>
      <c r="N113" s="31"/>
      <c r="O113" s="31"/>
      <c r="P113" s="31"/>
      <c r="Q113" s="31" t="s">
        <v>674</v>
      </c>
      <c r="R113" s="31"/>
      <c r="S113" s="31">
        <v>0</v>
      </c>
      <c r="T113" s="31">
        <v>1</v>
      </c>
      <c r="U113" s="31">
        <v>0</v>
      </c>
      <c r="V113" s="31"/>
      <c r="W113" s="31">
        <v>0</v>
      </c>
      <c r="X113" s="31" t="s">
        <v>1765</v>
      </c>
      <c r="Y113" s="31" t="s">
        <v>1772</v>
      </c>
      <c r="Z113" s="31" t="s">
        <v>1779</v>
      </c>
      <c r="AA113" s="31" t="s">
        <v>1780</v>
      </c>
      <c r="AB113" s="31" t="s">
        <v>1781</v>
      </c>
      <c r="AC113" s="31" t="s">
        <v>770</v>
      </c>
      <c r="AD113" s="31" t="s">
        <v>1765</v>
      </c>
      <c r="AE113" s="31" t="s">
        <v>1236</v>
      </c>
    </row>
    <row r="114" spans="1:31" ht="30">
      <c r="A114" s="30" t="s">
        <v>1782</v>
      </c>
      <c r="B114" s="30" t="s">
        <v>1783</v>
      </c>
      <c r="C114" s="30" t="s">
        <v>15</v>
      </c>
      <c r="D114" s="31" t="s">
        <v>1760</v>
      </c>
      <c r="E114" s="31" t="s">
        <v>1784</v>
      </c>
      <c r="F114" s="31" t="s">
        <v>1144</v>
      </c>
      <c r="G114" s="31" t="s">
        <v>1785</v>
      </c>
      <c r="H114" s="31"/>
      <c r="I114" s="31"/>
      <c r="J114" s="31" t="s">
        <v>1786</v>
      </c>
      <c r="K114" s="31"/>
      <c r="L114" s="31" t="s">
        <v>770</v>
      </c>
      <c r="M114" s="31"/>
      <c r="N114" s="31"/>
      <c r="O114" s="31"/>
      <c r="P114" s="31"/>
      <c r="Q114" s="31" t="s">
        <v>674</v>
      </c>
      <c r="R114" s="31"/>
      <c r="S114" s="31">
        <v>0</v>
      </c>
      <c r="T114" s="31">
        <v>0</v>
      </c>
      <c r="U114" s="31">
        <v>0</v>
      </c>
      <c r="V114" s="31"/>
      <c r="W114" s="31">
        <v>0</v>
      </c>
      <c r="X114" s="31" t="s">
        <v>1787</v>
      </c>
      <c r="Y114" s="31" t="s">
        <v>1772</v>
      </c>
      <c r="Z114" s="31" t="s">
        <v>1570</v>
      </c>
      <c r="AA114" s="31" t="s">
        <v>1788</v>
      </c>
      <c r="AB114" s="31" t="s">
        <v>770</v>
      </c>
      <c r="AC114" s="31" t="s">
        <v>770</v>
      </c>
      <c r="AD114" s="31" t="s">
        <v>1765</v>
      </c>
      <c r="AE114" s="31" t="s">
        <v>1236</v>
      </c>
    </row>
    <row r="115" spans="1:31" ht="30">
      <c r="A115" s="30" t="s">
        <v>1789</v>
      </c>
      <c r="B115" s="30" t="s">
        <v>1790</v>
      </c>
      <c r="C115" s="30" t="s">
        <v>15</v>
      </c>
      <c r="D115" s="31" t="s">
        <v>54</v>
      </c>
      <c r="E115" s="31" t="s">
        <v>1791</v>
      </c>
      <c r="F115" s="31" t="s">
        <v>1144</v>
      </c>
      <c r="G115" s="31" t="s">
        <v>1792</v>
      </c>
      <c r="H115" s="31"/>
      <c r="I115" s="31"/>
      <c r="J115" s="31" t="s">
        <v>1793</v>
      </c>
      <c r="K115" s="31"/>
      <c r="L115" s="31" t="s">
        <v>1577</v>
      </c>
      <c r="M115" s="31"/>
      <c r="N115" s="31"/>
      <c r="O115" s="31"/>
      <c r="P115" s="31"/>
      <c r="Q115" s="31" t="s">
        <v>674</v>
      </c>
      <c r="R115" s="31"/>
      <c r="S115" s="31">
        <v>0</v>
      </c>
      <c r="T115" s="31">
        <v>0</v>
      </c>
      <c r="U115" s="31">
        <v>0</v>
      </c>
      <c r="V115" s="31"/>
      <c r="W115" s="31">
        <v>0</v>
      </c>
      <c r="X115" s="31" t="s">
        <v>1794</v>
      </c>
      <c r="Y115" s="31" t="s">
        <v>1158</v>
      </c>
      <c r="Z115" s="31" t="s">
        <v>1182</v>
      </c>
      <c r="AA115" s="31" t="s">
        <v>1183</v>
      </c>
      <c r="AB115" s="31" t="s">
        <v>1792</v>
      </c>
      <c r="AC115" s="31" t="s">
        <v>770</v>
      </c>
      <c r="AD115" s="31" t="s">
        <v>1795</v>
      </c>
      <c r="AE115" s="31" t="s">
        <v>1236</v>
      </c>
    </row>
    <row r="116" spans="1:31">
      <c r="A116" s="30" t="s">
        <v>1796</v>
      </c>
      <c r="B116" s="30" t="s">
        <v>1797</v>
      </c>
      <c r="C116" s="30" t="s">
        <v>15</v>
      </c>
      <c r="D116" s="31" t="s">
        <v>54</v>
      </c>
      <c r="E116" s="31" t="s">
        <v>1798</v>
      </c>
      <c r="F116" s="31" t="s">
        <v>1144</v>
      </c>
      <c r="G116" s="31" t="s">
        <v>1799</v>
      </c>
      <c r="H116" s="31"/>
      <c r="I116" s="31"/>
      <c r="J116" s="31" t="s">
        <v>1800</v>
      </c>
      <c r="K116" s="31"/>
      <c r="L116" s="31" t="s">
        <v>1801</v>
      </c>
      <c r="M116" s="31"/>
      <c r="N116" s="31"/>
      <c r="O116" s="31"/>
      <c r="P116" s="31"/>
      <c r="Q116" s="31" t="s">
        <v>674</v>
      </c>
      <c r="R116" s="31"/>
      <c r="S116" s="31">
        <v>0</v>
      </c>
      <c r="T116" s="31">
        <v>1</v>
      </c>
      <c r="U116" s="31">
        <v>0</v>
      </c>
      <c r="V116" s="31"/>
      <c r="W116" s="31">
        <v>0</v>
      </c>
      <c r="X116" s="31" t="s">
        <v>1795</v>
      </c>
      <c r="Y116" s="31" t="s">
        <v>1201</v>
      </c>
      <c r="Z116" s="31" t="s">
        <v>1202</v>
      </c>
      <c r="AA116" s="31" t="s">
        <v>1802</v>
      </c>
      <c r="AB116" s="31" t="s">
        <v>770</v>
      </c>
      <c r="AC116" s="31" t="s">
        <v>1801</v>
      </c>
      <c r="AD116" s="31" t="s">
        <v>1795</v>
      </c>
      <c r="AE116" s="31" t="s">
        <v>1236</v>
      </c>
    </row>
    <row r="117" spans="1:31" ht="30">
      <c r="A117" s="30" t="s">
        <v>1803</v>
      </c>
      <c r="B117" s="30" t="s">
        <v>1804</v>
      </c>
      <c r="C117" s="30" t="s">
        <v>15</v>
      </c>
      <c r="D117" s="31" t="s">
        <v>1805</v>
      </c>
      <c r="E117" s="31" t="s">
        <v>1806</v>
      </c>
      <c r="F117" s="31" t="s">
        <v>1144</v>
      </c>
      <c r="G117" s="31" t="s">
        <v>1807</v>
      </c>
      <c r="H117" s="31"/>
      <c r="I117" s="31"/>
      <c r="J117" s="31" t="s">
        <v>1808</v>
      </c>
      <c r="K117" s="31"/>
      <c r="L117" s="31" t="s">
        <v>1809</v>
      </c>
      <c r="M117" s="31"/>
      <c r="N117" s="31"/>
      <c r="O117" s="31"/>
      <c r="P117" s="31"/>
      <c r="Q117" s="31" t="s">
        <v>674</v>
      </c>
      <c r="R117" s="31"/>
      <c r="S117" s="31">
        <v>0</v>
      </c>
      <c r="T117" s="31">
        <v>2</v>
      </c>
      <c r="U117" s="31">
        <v>0</v>
      </c>
      <c r="V117" s="31"/>
      <c r="W117" s="31">
        <v>0</v>
      </c>
      <c r="X117" s="31" t="s">
        <v>1810</v>
      </c>
      <c r="Y117" s="31" t="s">
        <v>1811</v>
      </c>
      <c r="Z117" s="31" t="s">
        <v>1812</v>
      </c>
      <c r="AA117" s="31" t="s">
        <v>1183</v>
      </c>
      <c r="AB117" s="31" t="s">
        <v>1813</v>
      </c>
      <c r="AC117" s="31" t="s">
        <v>770</v>
      </c>
      <c r="AD117" s="31" t="s">
        <v>1814</v>
      </c>
      <c r="AE117" s="31" t="s">
        <v>1815</v>
      </c>
    </row>
    <row r="118" spans="1:31" ht="30">
      <c r="A118" s="30" t="s">
        <v>1816</v>
      </c>
      <c r="B118" s="30" t="s">
        <v>1817</v>
      </c>
      <c r="C118" s="30" t="s">
        <v>15</v>
      </c>
      <c r="D118" s="31" t="s">
        <v>1805</v>
      </c>
      <c r="E118" s="31" t="s">
        <v>1818</v>
      </c>
      <c r="F118" s="31" t="s">
        <v>1144</v>
      </c>
      <c r="G118" s="31" t="s">
        <v>1819</v>
      </c>
      <c r="H118" s="31"/>
      <c r="I118" s="31"/>
      <c r="J118" s="31" t="s">
        <v>1820</v>
      </c>
      <c r="K118" s="31"/>
      <c r="L118" s="31" t="s">
        <v>1821</v>
      </c>
      <c r="M118" s="31"/>
      <c r="N118" s="31"/>
      <c r="O118" s="31"/>
      <c r="P118" s="31"/>
      <c r="Q118" s="31" t="s">
        <v>674</v>
      </c>
      <c r="R118" s="31"/>
      <c r="S118" s="31">
        <v>0</v>
      </c>
      <c r="T118" s="31">
        <v>2</v>
      </c>
      <c r="U118" s="31">
        <v>0</v>
      </c>
      <c r="V118" s="31"/>
      <c r="W118" s="31">
        <v>0</v>
      </c>
      <c r="X118" s="31" t="s">
        <v>1822</v>
      </c>
      <c r="Y118" s="31" t="s">
        <v>1823</v>
      </c>
      <c r="Z118" s="31" t="s">
        <v>1824</v>
      </c>
      <c r="AA118" s="31" t="s">
        <v>1825</v>
      </c>
      <c r="AB118" s="31" t="s">
        <v>1826</v>
      </c>
      <c r="AC118" s="31" t="s">
        <v>770</v>
      </c>
      <c r="AD118" s="31" t="s">
        <v>1814</v>
      </c>
      <c r="AE118" s="31" t="s">
        <v>1815</v>
      </c>
    </row>
    <row r="119" spans="1:31" ht="30">
      <c r="A119" s="30" t="s">
        <v>1827</v>
      </c>
      <c r="B119" s="30" t="s">
        <v>1828</v>
      </c>
      <c r="C119" s="30" t="s">
        <v>15</v>
      </c>
      <c r="D119" s="31" t="s">
        <v>1805</v>
      </c>
      <c r="E119" s="31" t="s">
        <v>1829</v>
      </c>
      <c r="F119" s="31" t="s">
        <v>1144</v>
      </c>
      <c r="G119" s="31" t="s">
        <v>1830</v>
      </c>
      <c r="H119" s="31"/>
      <c r="I119" s="31"/>
      <c r="J119" s="31" t="s">
        <v>1831</v>
      </c>
      <c r="K119" s="31"/>
      <c r="L119" s="31" t="s">
        <v>1832</v>
      </c>
      <c r="M119" s="31"/>
      <c r="N119" s="31"/>
      <c r="O119" s="31"/>
      <c r="P119" s="31"/>
      <c r="Q119" s="31" t="s">
        <v>674</v>
      </c>
      <c r="R119" s="31"/>
      <c r="S119" s="31">
        <v>0</v>
      </c>
      <c r="T119" s="31">
        <v>1</v>
      </c>
      <c r="U119" s="31">
        <v>0</v>
      </c>
      <c r="V119" s="31"/>
      <c r="W119" s="31">
        <v>0</v>
      </c>
      <c r="X119" s="31" t="s">
        <v>1833</v>
      </c>
      <c r="Y119" s="31" t="s">
        <v>1554</v>
      </c>
      <c r="Z119" s="31" t="s">
        <v>1834</v>
      </c>
      <c r="AA119" s="31" t="s">
        <v>1835</v>
      </c>
      <c r="AB119" s="31" t="s">
        <v>770</v>
      </c>
      <c r="AC119" s="31" t="s">
        <v>770</v>
      </c>
      <c r="AD119" s="31" t="s">
        <v>1814</v>
      </c>
      <c r="AE119" s="31" t="s">
        <v>1815</v>
      </c>
    </row>
    <row r="120" spans="1:31">
      <c r="A120" s="30" t="s">
        <v>1836</v>
      </c>
      <c r="B120" s="30" t="s">
        <v>1837</v>
      </c>
      <c r="C120" s="30" t="s">
        <v>15</v>
      </c>
      <c r="D120" s="31" t="s">
        <v>1805</v>
      </c>
      <c r="E120" s="31" t="s">
        <v>1838</v>
      </c>
      <c r="F120" s="31" t="s">
        <v>1144</v>
      </c>
      <c r="G120" s="31" t="s">
        <v>1839</v>
      </c>
      <c r="H120" s="31"/>
      <c r="I120" s="31"/>
      <c r="J120" s="31" t="s">
        <v>1840</v>
      </c>
      <c r="K120" s="31"/>
      <c r="L120" s="31" t="s">
        <v>770</v>
      </c>
      <c r="M120" s="31"/>
      <c r="N120" s="31"/>
      <c r="O120" s="31"/>
      <c r="P120" s="31"/>
      <c r="Q120" s="31" t="s">
        <v>674</v>
      </c>
      <c r="R120" s="31"/>
      <c r="S120" s="31">
        <v>0</v>
      </c>
      <c r="T120" s="31">
        <v>1</v>
      </c>
      <c r="U120" s="31">
        <v>0</v>
      </c>
      <c r="V120" s="31"/>
      <c r="W120" s="31">
        <v>0</v>
      </c>
      <c r="X120" s="31" t="s">
        <v>1841</v>
      </c>
      <c r="Y120" s="31" t="s">
        <v>1811</v>
      </c>
      <c r="Z120" s="31" t="s">
        <v>1570</v>
      </c>
      <c r="AA120" s="31" t="s">
        <v>1571</v>
      </c>
      <c r="AB120" s="31" t="s">
        <v>770</v>
      </c>
      <c r="AC120" s="31" t="s">
        <v>770</v>
      </c>
      <c r="AD120" s="31" t="s">
        <v>1814</v>
      </c>
      <c r="AE120" s="31" t="s">
        <v>1236</v>
      </c>
    </row>
    <row r="121" spans="1:31">
      <c r="A121" s="30" t="s">
        <v>1842</v>
      </c>
      <c r="B121" s="30" t="s">
        <v>1843</v>
      </c>
      <c r="C121" s="30" t="s">
        <v>15</v>
      </c>
      <c r="D121" s="31" t="s">
        <v>184</v>
      </c>
      <c r="E121" s="31" t="s">
        <v>1844</v>
      </c>
      <c r="F121" s="31" t="s">
        <v>1144</v>
      </c>
      <c r="G121" s="31" t="s">
        <v>1845</v>
      </c>
      <c r="H121" s="31"/>
      <c r="I121" s="31"/>
      <c r="J121" s="31" t="s">
        <v>1846</v>
      </c>
      <c r="K121" s="31"/>
      <c r="L121" s="31" t="s">
        <v>1577</v>
      </c>
      <c r="M121" s="31"/>
      <c r="N121" s="31"/>
      <c r="O121" s="31"/>
      <c r="P121" s="31"/>
      <c r="Q121" s="31" t="s">
        <v>674</v>
      </c>
      <c r="R121" s="31"/>
      <c r="S121" s="31">
        <v>0</v>
      </c>
      <c r="T121" s="31">
        <v>1</v>
      </c>
      <c r="U121" s="31">
        <v>0</v>
      </c>
      <c r="V121" s="31"/>
      <c r="W121" s="31">
        <v>0</v>
      </c>
      <c r="X121" s="31" t="s">
        <v>1847</v>
      </c>
      <c r="Y121" s="31" t="s">
        <v>1158</v>
      </c>
      <c r="Z121" s="31" t="s">
        <v>1182</v>
      </c>
      <c r="AA121" s="31" t="s">
        <v>1183</v>
      </c>
      <c r="AB121" s="31" t="s">
        <v>1848</v>
      </c>
      <c r="AC121" s="31" t="s">
        <v>770</v>
      </c>
      <c r="AD121" s="31" t="s">
        <v>1849</v>
      </c>
      <c r="AE121" s="31" t="s">
        <v>1236</v>
      </c>
    </row>
    <row r="122" spans="1:31">
      <c r="A122" s="30" t="s">
        <v>1850</v>
      </c>
      <c r="B122" s="30" t="s">
        <v>1851</v>
      </c>
      <c r="C122" s="30" t="s">
        <v>15</v>
      </c>
      <c r="D122" s="31" t="s">
        <v>184</v>
      </c>
      <c r="E122" s="31" t="s">
        <v>1852</v>
      </c>
      <c r="F122" s="31" t="s">
        <v>1144</v>
      </c>
      <c r="G122" s="31" t="s">
        <v>1438</v>
      </c>
      <c r="H122" s="31"/>
      <c r="I122" s="31"/>
      <c r="J122" s="31" t="s">
        <v>1853</v>
      </c>
      <c r="K122" s="31"/>
      <c r="L122" s="31" t="s">
        <v>1632</v>
      </c>
      <c r="M122" s="31"/>
      <c r="N122" s="31"/>
      <c r="O122" s="31"/>
      <c r="P122" s="31"/>
      <c r="Q122" s="31" t="s">
        <v>674</v>
      </c>
      <c r="R122" s="31"/>
      <c r="S122" s="31">
        <v>0</v>
      </c>
      <c r="T122" s="31">
        <v>1</v>
      </c>
      <c r="U122" s="31">
        <v>0</v>
      </c>
      <c r="V122" s="31"/>
      <c r="W122" s="31">
        <v>0</v>
      </c>
      <c r="X122" s="31" t="s">
        <v>1849</v>
      </c>
      <c r="Y122" s="31" t="s">
        <v>1854</v>
      </c>
      <c r="Z122" s="31" t="s">
        <v>1417</v>
      </c>
      <c r="AA122" s="31" t="s">
        <v>1439</v>
      </c>
      <c r="AB122" s="31" t="s">
        <v>1855</v>
      </c>
      <c r="AC122" s="31" t="s">
        <v>770</v>
      </c>
      <c r="AD122" s="31" t="s">
        <v>1849</v>
      </c>
      <c r="AE122" s="31" t="s">
        <v>1236</v>
      </c>
    </row>
    <row r="123" spans="1:31">
      <c r="A123" s="30" t="s">
        <v>1856</v>
      </c>
      <c r="B123" s="30" t="s">
        <v>1857</v>
      </c>
      <c r="C123" s="30" t="s">
        <v>15</v>
      </c>
      <c r="D123" s="31" t="s">
        <v>208</v>
      </c>
      <c r="E123" s="31" t="s">
        <v>1858</v>
      </c>
      <c r="F123" s="31" t="s">
        <v>1144</v>
      </c>
      <c r="G123" s="31" t="s">
        <v>1376</v>
      </c>
      <c r="H123" s="31"/>
      <c r="I123" s="31"/>
      <c r="J123" s="31" t="s">
        <v>1859</v>
      </c>
      <c r="K123" s="31"/>
      <c r="L123" s="31" t="s">
        <v>1577</v>
      </c>
      <c r="M123" s="31"/>
      <c r="N123" s="31"/>
      <c r="O123" s="31"/>
      <c r="P123" s="31"/>
      <c r="Q123" s="31" t="s">
        <v>674</v>
      </c>
      <c r="R123" s="31"/>
      <c r="S123" s="31">
        <v>0</v>
      </c>
      <c r="T123" s="31">
        <v>1</v>
      </c>
      <c r="U123" s="31">
        <v>0</v>
      </c>
      <c r="V123" s="31"/>
      <c r="W123" s="31">
        <v>0</v>
      </c>
      <c r="X123" s="31" t="s">
        <v>1860</v>
      </c>
      <c r="Y123" s="31" t="s">
        <v>1158</v>
      </c>
      <c r="Z123" s="31" t="s">
        <v>1182</v>
      </c>
      <c r="AA123" s="31" t="s">
        <v>1183</v>
      </c>
      <c r="AB123" s="31" t="s">
        <v>1639</v>
      </c>
      <c r="AC123" s="31" t="s">
        <v>770</v>
      </c>
      <c r="AD123" s="31" t="s">
        <v>1861</v>
      </c>
      <c r="AE123" s="31" t="s">
        <v>1236</v>
      </c>
    </row>
    <row r="124" spans="1:31" ht="30">
      <c r="A124" s="30" t="s">
        <v>1862</v>
      </c>
      <c r="B124" s="30" t="s">
        <v>1863</v>
      </c>
      <c r="C124" s="30" t="s">
        <v>15</v>
      </c>
      <c r="D124" s="31" t="s">
        <v>208</v>
      </c>
      <c r="E124" s="31" t="s">
        <v>1864</v>
      </c>
      <c r="F124" s="31" t="s">
        <v>1144</v>
      </c>
      <c r="G124" s="31" t="s">
        <v>1865</v>
      </c>
      <c r="H124" s="31"/>
      <c r="I124" s="31"/>
      <c r="J124" s="31" t="s">
        <v>1866</v>
      </c>
      <c r="K124" s="31"/>
      <c r="L124" s="31" t="s">
        <v>1659</v>
      </c>
      <c r="M124" s="31"/>
      <c r="N124" s="31"/>
      <c r="O124" s="31"/>
      <c r="P124" s="31"/>
      <c r="Q124" s="31" t="s">
        <v>674</v>
      </c>
      <c r="R124" s="31"/>
      <c r="S124" s="31">
        <v>0</v>
      </c>
      <c r="T124" s="31">
        <v>2</v>
      </c>
      <c r="U124" s="31">
        <v>0</v>
      </c>
      <c r="V124" s="31"/>
      <c r="W124" s="31">
        <v>0</v>
      </c>
      <c r="X124" s="31" t="s">
        <v>1472</v>
      </c>
      <c r="Y124" s="31" t="s">
        <v>1355</v>
      </c>
      <c r="Z124" s="31" t="s">
        <v>1356</v>
      </c>
      <c r="AA124" s="31" t="s">
        <v>1755</v>
      </c>
      <c r="AB124" s="31" t="s">
        <v>1867</v>
      </c>
      <c r="AC124" s="31" t="s">
        <v>770</v>
      </c>
      <c r="AD124" s="31" t="s">
        <v>1868</v>
      </c>
      <c r="AE124" s="31" t="s">
        <v>1688</v>
      </c>
    </row>
    <row r="125" spans="1:31" ht="30">
      <c r="A125" s="30" t="s">
        <v>1869</v>
      </c>
      <c r="B125" s="30" t="s">
        <v>1870</v>
      </c>
      <c r="C125" s="30" t="s">
        <v>15</v>
      </c>
      <c r="D125" s="31" t="s">
        <v>208</v>
      </c>
      <c r="E125" s="31" t="s">
        <v>1871</v>
      </c>
      <c r="F125" s="31" t="s">
        <v>1144</v>
      </c>
      <c r="G125" s="31" t="s">
        <v>1872</v>
      </c>
      <c r="H125" s="31"/>
      <c r="I125" s="31"/>
      <c r="J125" s="31" t="s">
        <v>1873</v>
      </c>
      <c r="K125" s="31"/>
      <c r="L125" s="31" t="s">
        <v>1659</v>
      </c>
      <c r="M125" s="31"/>
      <c r="N125" s="31"/>
      <c r="O125" s="31"/>
      <c r="P125" s="31"/>
      <c r="Q125" s="31" t="s">
        <v>674</v>
      </c>
      <c r="R125" s="31"/>
      <c r="S125" s="31">
        <v>0</v>
      </c>
      <c r="T125" s="31">
        <v>1</v>
      </c>
      <c r="U125" s="31">
        <v>0</v>
      </c>
      <c r="V125" s="31"/>
      <c r="W125" s="31">
        <v>0</v>
      </c>
      <c r="X125" s="31" t="s">
        <v>1472</v>
      </c>
      <c r="Y125" s="31" t="s">
        <v>1355</v>
      </c>
      <c r="Z125" s="31" t="s">
        <v>1356</v>
      </c>
      <c r="AA125" s="31" t="s">
        <v>1874</v>
      </c>
      <c r="AB125" s="31" t="s">
        <v>1875</v>
      </c>
      <c r="AC125" s="31" t="s">
        <v>770</v>
      </c>
      <c r="AD125" s="31" t="s">
        <v>1868</v>
      </c>
      <c r="AE125" s="31" t="s">
        <v>1688</v>
      </c>
    </row>
    <row r="126" spans="1:31">
      <c r="A126" s="30" t="s">
        <v>1876</v>
      </c>
      <c r="B126" s="30" t="s">
        <v>1877</v>
      </c>
      <c r="C126" s="30" t="s">
        <v>15</v>
      </c>
      <c r="D126" s="31" t="s">
        <v>1878</v>
      </c>
      <c r="E126" s="31" t="s">
        <v>1879</v>
      </c>
      <c r="F126" s="31" t="s">
        <v>1144</v>
      </c>
      <c r="G126" s="31" t="s">
        <v>1376</v>
      </c>
      <c r="H126" s="31"/>
      <c r="I126" s="31"/>
      <c r="J126" s="31" t="s">
        <v>1880</v>
      </c>
      <c r="K126" s="31"/>
      <c r="L126" s="31" t="s">
        <v>1577</v>
      </c>
      <c r="M126" s="31"/>
      <c r="N126" s="31"/>
      <c r="O126" s="31"/>
      <c r="P126" s="31"/>
      <c r="Q126" s="31" t="s">
        <v>674</v>
      </c>
      <c r="R126" s="31"/>
      <c r="S126" s="31">
        <v>0</v>
      </c>
      <c r="T126" s="31">
        <v>0</v>
      </c>
      <c r="U126" s="31">
        <v>0</v>
      </c>
      <c r="V126" s="31"/>
      <c r="W126" s="31">
        <v>0</v>
      </c>
      <c r="X126" s="31" t="s">
        <v>1881</v>
      </c>
      <c r="Y126" s="31" t="s">
        <v>1158</v>
      </c>
      <c r="Z126" s="31" t="s">
        <v>1182</v>
      </c>
      <c r="AA126" s="31" t="s">
        <v>1183</v>
      </c>
      <c r="AB126" s="31" t="s">
        <v>1882</v>
      </c>
      <c r="AC126" s="31" t="s">
        <v>770</v>
      </c>
      <c r="AD126" s="31" t="s">
        <v>1883</v>
      </c>
      <c r="AE126" s="31" t="s">
        <v>1236</v>
      </c>
    </row>
    <row r="127" spans="1:31">
      <c r="A127" s="30" t="s">
        <v>1884</v>
      </c>
      <c r="B127" s="30" t="s">
        <v>1885</v>
      </c>
      <c r="C127" s="30" t="s">
        <v>15</v>
      </c>
      <c r="D127" s="31" t="s">
        <v>1878</v>
      </c>
      <c r="E127" s="31" t="s">
        <v>1886</v>
      </c>
      <c r="F127" s="31" t="s">
        <v>1144</v>
      </c>
      <c r="G127" s="31" t="s">
        <v>1887</v>
      </c>
      <c r="H127" s="31"/>
      <c r="I127" s="31"/>
      <c r="J127" s="31" t="s">
        <v>1888</v>
      </c>
      <c r="K127" s="31"/>
      <c r="L127" s="31" t="s">
        <v>1889</v>
      </c>
      <c r="M127" s="31"/>
      <c r="N127" s="31"/>
      <c r="O127" s="31"/>
      <c r="P127" s="31"/>
      <c r="Q127" s="31" t="s">
        <v>674</v>
      </c>
      <c r="R127" s="31"/>
      <c r="S127" s="31">
        <v>0</v>
      </c>
      <c r="T127" s="31">
        <v>1</v>
      </c>
      <c r="U127" s="31">
        <v>0</v>
      </c>
      <c r="V127" s="31"/>
      <c r="W127" s="31">
        <v>0</v>
      </c>
      <c r="X127" s="31" t="s">
        <v>1883</v>
      </c>
      <c r="Y127" s="31" t="s">
        <v>1201</v>
      </c>
      <c r="Z127" s="31" t="s">
        <v>1202</v>
      </c>
      <c r="AA127" s="31" t="s">
        <v>1890</v>
      </c>
      <c r="AB127" s="31" t="s">
        <v>770</v>
      </c>
      <c r="AC127" s="31" t="s">
        <v>1889</v>
      </c>
      <c r="AD127" s="31" t="s">
        <v>1883</v>
      </c>
      <c r="AE127" s="31" t="s">
        <v>1236</v>
      </c>
    </row>
    <row r="128" spans="1:31" ht="30">
      <c r="A128" s="30" t="s">
        <v>1891</v>
      </c>
      <c r="B128" s="30" t="s">
        <v>1892</v>
      </c>
      <c r="C128" s="30" t="s">
        <v>15</v>
      </c>
      <c r="D128" s="31" t="s">
        <v>1878</v>
      </c>
      <c r="E128" s="31" t="s">
        <v>1893</v>
      </c>
      <c r="F128" s="31" t="s">
        <v>1144</v>
      </c>
      <c r="G128" s="31" t="s">
        <v>1894</v>
      </c>
      <c r="H128" s="31"/>
      <c r="I128" s="31"/>
      <c r="J128" s="31" t="s">
        <v>1895</v>
      </c>
      <c r="K128" s="31"/>
      <c r="L128" s="31" t="s">
        <v>1659</v>
      </c>
      <c r="M128" s="31"/>
      <c r="N128" s="31"/>
      <c r="O128" s="31"/>
      <c r="P128" s="31"/>
      <c r="Q128" s="31" t="s">
        <v>674</v>
      </c>
      <c r="R128" s="31"/>
      <c r="S128" s="31">
        <v>0</v>
      </c>
      <c r="T128" s="31">
        <v>2</v>
      </c>
      <c r="U128" s="31">
        <v>0</v>
      </c>
      <c r="V128" s="31"/>
      <c r="W128" s="31">
        <v>0</v>
      </c>
      <c r="X128" s="31" t="s">
        <v>1472</v>
      </c>
      <c r="Y128" s="31" t="s">
        <v>1355</v>
      </c>
      <c r="Z128" s="31" t="s">
        <v>1356</v>
      </c>
      <c r="AA128" s="31" t="s">
        <v>1896</v>
      </c>
      <c r="AB128" s="31" t="s">
        <v>1897</v>
      </c>
      <c r="AC128" s="31" t="s">
        <v>770</v>
      </c>
      <c r="AD128" s="31" t="s">
        <v>1868</v>
      </c>
      <c r="AE128" s="31" t="s">
        <v>1688</v>
      </c>
    </row>
    <row r="129" spans="1:31" ht="30">
      <c r="A129" s="30" t="s">
        <v>1898</v>
      </c>
      <c r="B129" s="30" t="s">
        <v>1899</v>
      </c>
      <c r="C129" s="30" t="s">
        <v>15</v>
      </c>
      <c r="D129" s="31" t="s">
        <v>166</v>
      </c>
      <c r="E129" s="31" t="s">
        <v>1900</v>
      </c>
      <c r="F129" s="31" t="s">
        <v>1144</v>
      </c>
      <c r="G129" s="31" t="s">
        <v>1376</v>
      </c>
      <c r="H129" s="31"/>
      <c r="I129" s="31"/>
      <c r="J129" s="31" t="s">
        <v>1901</v>
      </c>
      <c r="K129" s="31"/>
      <c r="L129" s="31" t="s">
        <v>1577</v>
      </c>
      <c r="M129" s="31"/>
      <c r="N129" s="31"/>
      <c r="O129" s="31"/>
      <c r="P129" s="31"/>
      <c r="Q129" s="31" t="s">
        <v>674</v>
      </c>
      <c r="R129" s="31"/>
      <c r="S129" s="31">
        <v>0</v>
      </c>
      <c r="T129" s="31">
        <v>0</v>
      </c>
      <c r="U129" s="31">
        <v>0</v>
      </c>
      <c r="V129" s="31"/>
      <c r="W129" s="31">
        <v>0</v>
      </c>
      <c r="X129" s="31" t="s">
        <v>1902</v>
      </c>
      <c r="Y129" s="31" t="s">
        <v>1158</v>
      </c>
      <c r="Z129" s="31" t="s">
        <v>1182</v>
      </c>
      <c r="AA129" s="31" t="s">
        <v>1183</v>
      </c>
      <c r="AB129" s="31" t="s">
        <v>1639</v>
      </c>
      <c r="AC129" s="31" t="s">
        <v>770</v>
      </c>
      <c r="AD129" s="31" t="s">
        <v>1903</v>
      </c>
      <c r="AE129" s="31" t="s">
        <v>1236</v>
      </c>
    </row>
    <row r="130" spans="1:31" ht="30">
      <c r="A130" s="30" t="s">
        <v>1904</v>
      </c>
      <c r="B130" s="30" t="s">
        <v>1905</v>
      </c>
      <c r="C130" s="30" t="s">
        <v>15</v>
      </c>
      <c r="D130" s="31" t="s">
        <v>166</v>
      </c>
      <c r="E130" s="31" t="s">
        <v>1906</v>
      </c>
      <c r="F130" s="31" t="s">
        <v>1144</v>
      </c>
      <c r="G130" s="31" t="s">
        <v>770</v>
      </c>
      <c r="H130" s="31"/>
      <c r="I130" s="31"/>
      <c r="J130" s="31" t="s">
        <v>1907</v>
      </c>
      <c r="K130" s="31"/>
      <c r="L130" s="31" t="s">
        <v>1908</v>
      </c>
      <c r="M130" s="31"/>
      <c r="N130" s="31"/>
      <c r="O130" s="31"/>
      <c r="P130" s="31"/>
      <c r="Q130" s="31" t="s">
        <v>674</v>
      </c>
      <c r="R130" s="31"/>
      <c r="S130" s="31">
        <v>0</v>
      </c>
      <c r="T130" s="31">
        <v>1</v>
      </c>
      <c r="U130" s="31">
        <v>0</v>
      </c>
      <c r="V130" s="31"/>
      <c r="W130" s="31">
        <v>0</v>
      </c>
      <c r="X130" s="31" t="s">
        <v>1903</v>
      </c>
      <c r="Y130" s="31" t="s">
        <v>1201</v>
      </c>
      <c r="Z130" s="31" t="s">
        <v>1202</v>
      </c>
      <c r="AA130" s="31" t="s">
        <v>1909</v>
      </c>
      <c r="AB130" s="31" t="s">
        <v>770</v>
      </c>
      <c r="AC130" s="31" t="s">
        <v>1908</v>
      </c>
      <c r="AD130" s="31" t="s">
        <v>1903</v>
      </c>
      <c r="AE130" s="31" t="s">
        <v>1236</v>
      </c>
    </row>
    <row r="131" spans="1:31">
      <c r="A131" s="30" t="s">
        <v>1910</v>
      </c>
      <c r="B131" s="30" t="s">
        <v>1911</v>
      </c>
      <c r="C131" s="30" t="s">
        <v>15</v>
      </c>
      <c r="D131" s="31" t="s">
        <v>179</v>
      </c>
      <c r="E131" s="31" t="s">
        <v>1912</v>
      </c>
      <c r="F131" s="31" t="s">
        <v>1144</v>
      </c>
      <c r="G131" s="31" t="s">
        <v>1376</v>
      </c>
      <c r="H131" s="31"/>
      <c r="I131" s="31"/>
      <c r="J131" s="31" t="s">
        <v>1913</v>
      </c>
      <c r="K131" s="31"/>
      <c r="L131" s="31" t="s">
        <v>1577</v>
      </c>
      <c r="M131" s="31"/>
      <c r="N131" s="31"/>
      <c r="O131" s="31"/>
      <c r="P131" s="31"/>
      <c r="Q131" s="31" t="s">
        <v>674</v>
      </c>
      <c r="R131" s="31"/>
      <c r="S131" s="31">
        <v>0</v>
      </c>
      <c r="T131" s="31">
        <v>0</v>
      </c>
      <c r="U131" s="31">
        <v>0</v>
      </c>
      <c r="V131" s="31"/>
      <c r="W131" s="31">
        <v>0</v>
      </c>
      <c r="X131" s="31" t="s">
        <v>1914</v>
      </c>
      <c r="Y131" s="31" t="s">
        <v>1158</v>
      </c>
      <c r="Z131" s="31" t="s">
        <v>1182</v>
      </c>
      <c r="AA131" s="31" t="s">
        <v>1183</v>
      </c>
      <c r="AB131" s="31" t="s">
        <v>1915</v>
      </c>
      <c r="AC131" s="31" t="s">
        <v>770</v>
      </c>
      <c r="AD131" s="31" t="s">
        <v>1916</v>
      </c>
      <c r="AE131" s="31" t="s">
        <v>1236</v>
      </c>
    </row>
    <row r="132" spans="1:31">
      <c r="A132" s="30" t="s">
        <v>1917</v>
      </c>
      <c r="B132" s="30" t="s">
        <v>1918</v>
      </c>
      <c r="C132" s="30" t="s">
        <v>15</v>
      </c>
      <c r="D132" s="31" t="s">
        <v>115</v>
      </c>
      <c r="E132" s="31" t="s">
        <v>1919</v>
      </c>
      <c r="F132" s="31" t="s">
        <v>1144</v>
      </c>
      <c r="G132" s="31" t="s">
        <v>1376</v>
      </c>
      <c r="H132" s="31"/>
      <c r="I132" s="31"/>
      <c r="J132" s="31" t="s">
        <v>1920</v>
      </c>
      <c r="K132" s="31"/>
      <c r="L132" s="31" t="s">
        <v>1577</v>
      </c>
      <c r="M132" s="31"/>
      <c r="N132" s="31"/>
      <c r="O132" s="31"/>
      <c r="P132" s="31"/>
      <c r="Q132" s="31" t="s">
        <v>674</v>
      </c>
      <c r="R132" s="31"/>
      <c r="S132" s="31">
        <v>0</v>
      </c>
      <c r="T132" s="31">
        <v>0</v>
      </c>
      <c r="U132" s="31">
        <v>0</v>
      </c>
      <c r="V132" s="31"/>
      <c r="W132" s="31">
        <v>0</v>
      </c>
      <c r="X132" s="31" t="s">
        <v>1921</v>
      </c>
      <c r="Y132" s="31" t="s">
        <v>1158</v>
      </c>
      <c r="Z132" s="31" t="s">
        <v>1182</v>
      </c>
      <c r="AA132" s="31" t="s">
        <v>1183</v>
      </c>
      <c r="AB132" s="31" t="s">
        <v>1639</v>
      </c>
      <c r="AC132" s="31" t="s">
        <v>770</v>
      </c>
      <c r="AD132" s="31" t="s">
        <v>1922</v>
      </c>
      <c r="AE132" s="31" t="s">
        <v>1236</v>
      </c>
    </row>
    <row r="133" spans="1:31">
      <c r="A133" s="30" t="s">
        <v>1923</v>
      </c>
      <c r="B133" s="30" t="s">
        <v>1924</v>
      </c>
      <c r="C133" s="30" t="s">
        <v>15</v>
      </c>
      <c r="D133" s="31" t="s">
        <v>115</v>
      </c>
      <c r="E133" s="31" t="s">
        <v>1925</v>
      </c>
      <c r="F133" s="31" t="s">
        <v>1144</v>
      </c>
      <c r="G133" s="31" t="s">
        <v>1926</v>
      </c>
      <c r="H133" s="31"/>
      <c r="I133" s="31"/>
      <c r="J133" s="31" t="s">
        <v>1927</v>
      </c>
      <c r="K133" s="31"/>
      <c r="L133" s="31" t="s">
        <v>1928</v>
      </c>
      <c r="M133" s="31"/>
      <c r="N133" s="31"/>
      <c r="O133" s="31"/>
      <c r="P133" s="31"/>
      <c r="Q133" s="31" t="s">
        <v>674</v>
      </c>
      <c r="R133" s="31"/>
      <c r="S133" s="31">
        <v>0</v>
      </c>
      <c r="T133" s="31">
        <v>1</v>
      </c>
      <c r="U133" s="31">
        <v>0</v>
      </c>
      <c r="V133" s="31"/>
      <c r="W133" s="31">
        <v>0</v>
      </c>
      <c r="X133" s="31" t="s">
        <v>1922</v>
      </c>
      <c r="Y133" s="31" t="s">
        <v>1201</v>
      </c>
      <c r="Z133" s="31" t="s">
        <v>1202</v>
      </c>
      <c r="AA133" s="31" t="s">
        <v>1929</v>
      </c>
      <c r="AB133" s="31" t="s">
        <v>770</v>
      </c>
      <c r="AC133" s="31" t="s">
        <v>1928</v>
      </c>
      <c r="AD133" s="31" t="s">
        <v>1922</v>
      </c>
      <c r="AE133" s="31" t="s">
        <v>1236</v>
      </c>
    </row>
    <row r="134" spans="1:31" ht="30">
      <c r="A134" s="30" t="s">
        <v>1930</v>
      </c>
      <c r="B134" s="30" t="s">
        <v>1931</v>
      </c>
      <c r="C134" s="30" t="s">
        <v>15</v>
      </c>
      <c r="D134" s="31" t="s">
        <v>1932</v>
      </c>
      <c r="E134" s="31" t="s">
        <v>1933</v>
      </c>
      <c r="F134" s="31" t="s">
        <v>1144</v>
      </c>
      <c r="G134" s="31" t="s">
        <v>1376</v>
      </c>
      <c r="H134" s="31"/>
      <c r="I134" s="31"/>
      <c r="J134" s="31" t="s">
        <v>1934</v>
      </c>
      <c r="K134" s="31"/>
      <c r="L134" s="31" t="s">
        <v>1577</v>
      </c>
      <c r="M134" s="31"/>
      <c r="N134" s="31"/>
      <c r="O134" s="31"/>
      <c r="P134" s="31"/>
      <c r="Q134" s="31" t="s">
        <v>674</v>
      </c>
      <c r="R134" s="31"/>
      <c r="S134" s="31">
        <v>0</v>
      </c>
      <c r="T134" s="31">
        <v>0</v>
      </c>
      <c r="U134" s="31">
        <v>0</v>
      </c>
      <c r="V134" s="31"/>
      <c r="W134" s="31">
        <v>0</v>
      </c>
      <c r="X134" s="31" t="s">
        <v>1935</v>
      </c>
      <c r="Y134" s="31" t="s">
        <v>1158</v>
      </c>
      <c r="Z134" s="31" t="s">
        <v>1182</v>
      </c>
      <c r="AA134" s="31" t="s">
        <v>1183</v>
      </c>
      <c r="AB134" s="31" t="s">
        <v>1747</v>
      </c>
      <c r="AC134" s="31" t="s">
        <v>770</v>
      </c>
      <c r="AD134" s="31" t="s">
        <v>1936</v>
      </c>
      <c r="AE134" s="31" t="s">
        <v>1236</v>
      </c>
    </row>
    <row r="135" spans="1:31" ht="45">
      <c r="A135" s="30" t="s">
        <v>1937</v>
      </c>
      <c r="B135" s="30" t="s">
        <v>1938</v>
      </c>
      <c r="C135" s="30" t="s">
        <v>15</v>
      </c>
      <c r="D135" s="31" t="s">
        <v>1939</v>
      </c>
      <c r="E135" s="31" t="s">
        <v>1940</v>
      </c>
      <c r="F135" s="31" t="s">
        <v>1144</v>
      </c>
      <c r="G135" s="31" t="s">
        <v>1941</v>
      </c>
      <c r="H135" s="31"/>
      <c r="I135" s="31"/>
      <c r="J135" s="31" t="s">
        <v>1942</v>
      </c>
      <c r="K135" s="31"/>
      <c r="L135" s="31" t="s">
        <v>1943</v>
      </c>
      <c r="M135" s="31"/>
      <c r="N135" s="31"/>
      <c r="O135" s="31"/>
      <c r="P135" s="31"/>
      <c r="Q135" s="31" t="s">
        <v>674</v>
      </c>
      <c r="R135" s="31"/>
      <c r="S135" s="31">
        <v>0</v>
      </c>
      <c r="T135" s="31">
        <v>4</v>
      </c>
      <c r="U135" s="31">
        <v>0</v>
      </c>
      <c r="V135" s="31" t="s">
        <v>1944</v>
      </c>
      <c r="W135" s="31">
        <v>0</v>
      </c>
      <c r="X135" s="31" t="s">
        <v>1945</v>
      </c>
      <c r="Y135" s="31" t="s">
        <v>1587</v>
      </c>
      <c r="Z135" s="31" t="s">
        <v>1946</v>
      </c>
      <c r="AA135" s="31" t="s">
        <v>1947</v>
      </c>
      <c r="AB135" s="31" t="s">
        <v>770</v>
      </c>
      <c r="AC135" s="31" t="s">
        <v>770</v>
      </c>
      <c r="AD135" s="31" t="s">
        <v>1948</v>
      </c>
      <c r="AE135" s="31" t="s">
        <v>1949</v>
      </c>
    </row>
    <row r="136" spans="1:31" ht="30">
      <c r="A136" s="30" t="s">
        <v>1950</v>
      </c>
      <c r="B136" s="30" t="s">
        <v>1951</v>
      </c>
      <c r="C136" s="30" t="s">
        <v>1164</v>
      </c>
      <c r="D136" s="31" t="s">
        <v>1939</v>
      </c>
      <c r="E136" s="31" t="s">
        <v>1952</v>
      </c>
      <c r="F136" s="31" t="s">
        <v>1144</v>
      </c>
      <c r="G136" s="31" t="s">
        <v>1953</v>
      </c>
      <c r="H136" s="31"/>
      <c r="I136" s="31" t="s">
        <v>1954</v>
      </c>
      <c r="J136" s="31" t="s">
        <v>1955</v>
      </c>
      <c r="K136" s="31"/>
      <c r="L136" s="31" t="s">
        <v>1956</v>
      </c>
      <c r="M136" s="31" t="s">
        <v>1396</v>
      </c>
      <c r="N136" s="31" t="s">
        <v>1397</v>
      </c>
      <c r="O136" s="31"/>
      <c r="P136" s="31"/>
      <c r="Q136" s="31" t="s">
        <v>674</v>
      </c>
      <c r="R136" s="31"/>
      <c r="S136" s="31">
        <v>0</v>
      </c>
      <c r="T136" s="31">
        <v>1</v>
      </c>
      <c r="U136" s="31">
        <v>0</v>
      </c>
      <c r="V136" s="31"/>
      <c r="W136" s="31">
        <v>0</v>
      </c>
      <c r="X136" s="31" t="s">
        <v>1957</v>
      </c>
      <c r="Y136" s="31" t="s">
        <v>1587</v>
      </c>
      <c r="Z136" s="31" t="s">
        <v>1958</v>
      </c>
      <c r="AA136" s="31" t="s">
        <v>1959</v>
      </c>
      <c r="AB136" s="31" t="s">
        <v>770</v>
      </c>
      <c r="AC136" s="31" t="s">
        <v>770</v>
      </c>
      <c r="AD136" s="31" t="s">
        <v>1960</v>
      </c>
      <c r="AE136" s="31" t="s">
        <v>770</v>
      </c>
    </row>
    <row r="137" spans="1:31" ht="30">
      <c r="A137" s="30" t="s">
        <v>1961</v>
      </c>
      <c r="B137" s="30" t="s">
        <v>1962</v>
      </c>
      <c r="C137" s="30" t="s">
        <v>15</v>
      </c>
      <c r="D137" s="31" t="s">
        <v>1939</v>
      </c>
      <c r="E137" s="31" t="s">
        <v>1963</v>
      </c>
      <c r="F137" s="31" t="s">
        <v>1144</v>
      </c>
      <c r="G137" s="31" t="s">
        <v>1964</v>
      </c>
      <c r="H137" s="31"/>
      <c r="I137" s="31"/>
      <c r="J137" s="31" t="s">
        <v>1939</v>
      </c>
      <c r="K137" s="31"/>
      <c r="L137" s="31" t="s">
        <v>770</v>
      </c>
      <c r="M137" s="31"/>
      <c r="N137" s="31"/>
      <c r="O137" s="31"/>
      <c r="P137" s="31"/>
      <c r="Q137" s="31" t="s">
        <v>674</v>
      </c>
      <c r="R137" s="31"/>
      <c r="S137" s="31">
        <v>0</v>
      </c>
      <c r="T137" s="31">
        <v>0</v>
      </c>
      <c r="U137" s="31">
        <v>0</v>
      </c>
      <c r="V137" s="31"/>
      <c r="W137" s="31">
        <v>0</v>
      </c>
      <c r="X137" s="31" t="s">
        <v>1965</v>
      </c>
      <c r="Y137" s="31" t="s">
        <v>1587</v>
      </c>
      <c r="Z137" s="31" t="s">
        <v>1946</v>
      </c>
      <c r="AA137" s="31" t="s">
        <v>1183</v>
      </c>
      <c r="AB137" s="31" t="s">
        <v>770</v>
      </c>
      <c r="AC137" s="31" t="s">
        <v>770</v>
      </c>
      <c r="AD137" s="31" t="s">
        <v>1966</v>
      </c>
      <c r="AE137" s="31" t="s">
        <v>1967</v>
      </c>
    </row>
    <row r="138" spans="1:31" ht="45">
      <c r="A138" s="30" t="s">
        <v>1968</v>
      </c>
      <c r="B138" s="30" t="s">
        <v>1969</v>
      </c>
      <c r="C138" s="30" t="s">
        <v>15</v>
      </c>
      <c r="D138" s="31" t="s">
        <v>1970</v>
      </c>
      <c r="E138" s="31" t="s">
        <v>1971</v>
      </c>
      <c r="F138" s="31" t="s">
        <v>1144</v>
      </c>
      <c r="G138" s="31" t="s">
        <v>1972</v>
      </c>
      <c r="H138" s="31"/>
      <c r="I138" s="31"/>
      <c r="J138" s="31" t="s">
        <v>1970</v>
      </c>
      <c r="K138" s="31"/>
      <c r="L138" s="31" t="s">
        <v>1973</v>
      </c>
      <c r="M138" s="31"/>
      <c r="N138" s="31"/>
      <c r="O138" s="31"/>
      <c r="P138" s="31"/>
      <c r="Q138" s="31" t="s">
        <v>674</v>
      </c>
      <c r="R138" s="31"/>
      <c r="S138" s="31">
        <v>0</v>
      </c>
      <c r="T138" s="31">
        <v>2</v>
      </c>
      <c r="U138" s="31">
        <v>0</v>
      </c>
      <c r="V138" s="31" t="s">
        <v>1974</v>
      </c>
      <c r="W138" s="31">
        <v>0</v>
      </c>
      <c r="X138" s="31" t="s">
        <v>1975</v>
      </c>
      <c r="Y138" s="31" t="s">
        <v>1587</v>
      </c>
      <c r="Z138" s="31" t="s">
        <v>1946</v>
      </c>
      <c r="AA138" s="31" t="s">
        <v>1970</v>
      </c>
      <c r="AB138" s="31" t="s">
        <v>1976</v>
      </c>
      <c r="AC138" s="31" t="s">
        <v>1977</v>
      </c>
      <c r="AD138" s="31" t="s">
        <v>1978</v>
      </c>
      <c r="AE138" s="31" t="s">
        <v>770</v>
      </c>
    </row>
    <row r="139" spans="1:31" ht="45">
      <c r="A139" s="30" t="s">
        <v>1979</v>
      </c>
      <c r="B139" s="30" t="s">
        <v>1980</v>
      </c>
      <c r="C139" s="30" t="s">
        <v>15</v>
      </c>
      <c r="D139" s="31" t="s">
        <v>1939</v>
      </c>
      <c r="E139" s="31" t="s">
        <v>1981</v>
      </c>
      <c r="F139" s="31" t="s">
        <v>1144</v>
      </c>
      <c r="G139" s="31" t="s">
        <v>1982</v>
      </c>
      <c r="H139" s="31"/>
      <c r="I139" s="31"/>
      <c r="J139" s="31" t="s">
        <v>1983</v>
      </c>
      <c r="K139" s="31"/>
      <c r="L139" s="31" t="s">
        <v>770</v>
      </c>
      <c r="M139" s="31"/>
      <c r="N139" s="31"/>
      <c r="O139" s="31"/>
      <c r="P139" s="31"/>
      <c r="Q139" s="31" t="s">
        <v>674</v>
      </c>
      <c r="R139" s="31"/>
      <c r="S139" s="31">
        <v>0</v>
      </c>
      <c r="T139" s="31">
        <v>4</v>
      </c>
      <c r="U139" s="31">
        <v>0</v>
      </c>
      <c r="V139" s="31" t="s">
        <v>1984</v>
      </c>
      <c r="W139" s="31">
        <v>0</v>
      </c>
      <c r="X139" s="31" t="s">
        <v>1985</v>
      </c>
      <c r="Y139" s="31" t="s">
        <v>1587</v>
      </c>
      <c r="Z139" s="31" t="s">
        <v>1946</v>
      </c>
      <c r="AA139" s="31" t="s">
        <v>1986</v>
      </c>
      <c r="AB139" s="31" t="s">
        <v>770</v>
      </c>
      <c r="AC139" s="31" t="s">
        <v>770</v>
      </c>
      <c r="AD139" s="31" t="s">
        <v>1985</v>
      </c>
      <c r="AE139" s="31" t="s">
        <v>1987</v>
      </c>
    </row>
    <row r="140" spans="1:31" ht="30">
      <c r="A140" s="30" t="s">
        <v>1988</v>
      </c>
      <c r="B140" s="30" t="s">
        <v>1989</v>
      </c>
      <c r="C140" s="30" t="s">
        <v>15</v>
      </c>
      <c r="D140" s="31" t="s">
        <v>1939</v>
      </c>
      <c r="E140" s="31" t="s">
        <v>1990</v>
      </c>
      <c r="F140" s="31" t="s">
        <v>1144</v>
      </c>
      <c r="G140" s="31" t="s">
        <v>1991</v>
      </c>
      <c r="H140" s="31"/>
      <c r="I140" s="31"/>
      <c r="J140" s="31" t="s">
        <v>1802</v>
      </c>
      <c r="K140" s="31"/>
      <c r="L140" s="31" t="s">
        <v>770</v>
      </c>
      <c r="M140" s="31"/>
      <c r="N140" s="31"/>
      <c r="O140" s="31"/>
      <c r="P140" s="31"/>
      <c r="Q140" s="31" t="s">
        <v>674</v>
      </c>
      <c r="R140" s="31"/>
      <c r="S140" s="31">
        <v>0</v>
      </c>
      <c r="T140" s="31">
        <v>1</v>
      </c>
      <c r="U140" s="31">
        <v>0</v>
      </c>
      <c r="V140" s="31"/>
      <c r="W140" s="31">
        <v>0</v>
      </c>
      <c r="X140" s="31" t="s">
        <v>1992</v>
      </c>
      <c r="Y140" s="31" t="s">
        <v>1587</v>
      </c>
      <c r="Z140" s="31" t="s">
        <v>1946</v>
      </c>
      <c r="AA140" s="31" t="s">
        <v>1802</v>
      </c>
      <c r="AB140" s="31" t="s">
        <v>770</v>
      </c>
      <c r="AC140" s="31" t="s">
        <v>770</v>
      </c>
      <c r="AD140" s="31" t="s">
        <v>1993</v>
      </c>
      <c r="AE140" s="31" t="s">
        <v>770</v>
      </c>
    </row>
    <row r="141" spans="1:31" ht="60">
      <c r="A141" s="30" t="s">
        <v>1994</v>
      </c>
      <c r="B141" s="30" t="s">
        <v>1995</v>
      </c>
      <c r="C141" s="30" t="s">
        <v>15</v>
      </c>
      <c r="D141" s="31" t="s">
        <v>1939</v>
      </c>
      <c r="E141" s="31" t="s">
        <v>1996</v>
      </c>
      <c r="F141" s="31" t="s">
        <v>1144</v>
      </c>
      <c r="G141" s="31" t="s">
        <v>1997</v>
      </c>
      <c r="H141" s="31"/>
      <c r="I141" s="31"/>
      <c r="J141" s="31" t="s">
        <v>1998</v>
      </c>
      <c r="K141" s="31"/>
      <c r="L141" s="31" t="s">
        <v>770</v>
      </c>
      <c r="M141" s="31"/>
      <c r="N141" s="31"/>
      <c r="O141" s="31"/>
      <c r="P141" s="31"/>
      <c r="Q141" s="31" t="s">
        <v>674</v>
      </c>
      <c r="R141" s="31"/>
      <c r="S141" s="31">
        <v>0</v>
      </c>
      <c r="T141" s="31">
        <v>1</v>
      </c>
      <c r="U141" s="31">
        <v>0</v>
      </c>
      <c r="V141" s="31" t="s">
        <v>1999</v>
      </c>
      <c r="W141" s="31">
        <v>0</v>
      </c>
      <c r="X141" s="31" t="s">
        <v>1367</v>
      </c>
      <c r="Y141" s="31" t="s">
        <v>1587</v>
      </c>
      <c r="Z141" s="31" t="s">
        <v>1946</v>
      </c>
      <c r="AA141" s="31" t="s">
        <v>2000</v>
      </c>
      <c r="AB141" s="31" t="s">
        <v>770</v>
      </c>
      <c r="AC141" s="31" t="s">
        <v>770</v>
      </c>
      <c r="AD141" s="31" t="s">
        <v>1687</v>
      </c>
      <c r="AE141" s="31" t="s">
        <v>1688</v>
      </c>
    </row>
    <row r="142" spans="1:31" ht="30">
      <c r="A142" s="30" t="s">
        <v>2001</v>
      </c>
      <c r="B142" s="30" t="s">
        <v>2002</v>
      </c>
      <c r="C142" s="30" t="s">
        <v>15</v>
      </c>
      <c r="D142" s="31" t="s">
        <v>1939</v>
      </c>
      <c r="E142" s="31" t="s">
        <v>2003</v>
      </c>
      <c r="F142" s="31" t="s">
        <v>1144</v>
      </c>
      <c r="G142" s="31" t="s">
        <v>2004</v>
      </c>
      <c r="H142" s="31"/>
      <c r="I142" s="31"/>
      <c r="J142" s="31" t="s">
        <v>2005</v>
      </c>
      <c r="K142" s="31"/>
      <c r="L142" s="31" t="s">
        <v>770</v>
      </c>
      <c r="M142" s="31"/>
      <c r="N142" s="31"/>
      <c r="O142" s="31"/>
      <c r="P142" s="31"/>
      <c r="Q142" s="31" t="s">
        <v>674</v>
      </c>
      <c r="R142" s="31"/>
      <c r="S142" s="31">
        <v>0</v>
      </c>
      <c r="T142" s="31">
        <v>0</v>
      </c>
      <c r="U142" s="31">
        <v>0</v>
      </c>
      <c r="V142" s="31"/>
      <c r="W142" s="31">
        <v>0</v>
      </c>
      <c r="X142" s="31" t="s">
        <v>2006</v>
      </c>
      <c r="Y142" s="31" t="s">
        <v>1158</v>
      </c>
      <c r="Z142" s="31" t="s">
        <v>1946</v>
      </c>
      <c r="AA142" s="31" t="s">
        <v>2007</v>
      </c>
      <c r="AB142" s="31" t="s">
        <v>2008</v>
      </c>
      <c r="AC142" s="31" t="s">
        <v>770</v>
      </c>
      <c r="AD142" s="31" t="s">
        <v>2009</v>
      </c>
      <c r="AE142" s="31" t="s">
        <v>1688</v>
      </c>
    </row>
    <row r="143" spans="1:31" ht="30">
      <c r="A143" s="30" t="s">
        <v>2010</v>
      </c>
      <c r="B143" s="30" t="s">
        <v>2011</v>
      </c>
      <c r="C143" s="30" t="s">
        <v>15</v>
      </c>
      <c r="D143" s="31" t="s">
        <v>2012</v>
      </c>
      <c r="E143" s="31" t="s">
        <v>2013</v>
      </c>
      <c r="F143" s="31" t="s">
        <v>1144</v>
      </c>
      <c r="G143" s="31" t="s">
        <v>1376</v>
      </c>
      <c r="H143" s="31"/>
      <c r="I143" s="31"/>
      <c r="J143" s="31" t="s">
        <v>2014</v>
      </c>
      <c r="K143" s="31"/>
      <c r="L143" s="31" t="s">
        <v>1577</v>
      </c>
      <c r="M143" s="31"/>
      <c r="N143" s="31"/>
      <c r="O143" s="31"/>
      <c r="P143" s="31"/>
      <c r="Q143" s="31" t="s">
        <v>674</v>
      </c>
      <c r="R143" s="31"/>
      <c r="S143" s="31">
        <v>0</v>
      </c>
      <c r="T143" s="31">
        <v>1</v>
      </c>
      <c r="U143" s="31">
        <v>0</v>
      </c>
      <c r="V143" s="31"/>
      <c r="W143" s="31">
        <v>0</v>
      </c>
      <c r="X143" s="31" t="s">
        <v>2015</v>
      </c>
      <c r="Y143" s="31" t="s">
        <v>1158</v>
      </c>
      <c r="Z143" s="31" t="s">
        <v>1182</v>
      </c>
      <c r="AA143" s="31" t="s">
        <v>1183</v>
      </c>
      <c r="AB143" s="31" t="s">
        <v>1882</v>
      </c>
      <c r="AC143" s="31" t="s">
        <v>770</v>
      </c>
      <c r="AD143" s="31" t="s">
        <v>2016</v>
      </c>
      <c r="AE143" s="31" t="s">
        <v>1236</v>
      </c>
    </row>
    <row r="144" spans="1:31">
      <c r="A144" s="30" t="s">
        <v>2017</v>
      </c>
      <c r="B144" s="30" t="s">
        <v>2018</v>
      </c>
      <c r="C144" s="30" t="s">
        <v>15</v>
      </c>
      <c r="D144" s="31" t="s">
        <v>2019</v>
      </c>
      <c r="E144" s="31" t="s">
        <v>2020</v>
      </c>
      <c r="F144" s="31" t="s">
        <v>1144</v>
      </c>
      <c r="G144" s="31" t="s">
        <v>1376</v>
      </c>
      <c r="H144" s="31"/>
      <c r="I144" s="31"/>
      <c r="J144" s="31" t="s">
        <v>2014</v>
      </c>
      <c r="K144" s="31"/>
      <c r="L144" s="31" t="s">
        <v>1577</v>
      </c>
      <c r="M144" s="31"/>
      <c r="N144" s="31"/>
      <c r="O144" s="31"/>
      <c r="P144" s="31"/>
      <c r="Q144" s="31" t="s">
        <v>674</v>
      </c>
      <c r="R144" s="31"/>
      <c r="S144" s="31">
        <v>0</v>
      </c>
      <c r="T144" s="31">
        <v>1</v>
      </c>
      <c r="U144" s="31">
        <v>0</v>
      </c>
      <c r="V144" s="31"/>
      <c r="W144" s="31">
        <v>0</v>
      </c>
      <c r="X144" s="31" t="s">
        <v>2015</v>
      </c>
      <c r="Y144" s="31" t="s">
        <v>1158</v>
      </c>
      <c r="Z144" s="31" t="s">
        <v>1182</v>
      </c>
      <c r="AA144" s="31" t="s">
        <v>1183</v>
      </c>
      <c r="AB144" s="31" t="s">
        <v>2021</v>
      </c>
      <c r="AC144" s="31" t="s">
        <v>770</v>
      </c>
      <c r="AD144" s="31" t="s">
        <v>2016</v>
      </c>
      <c r="AE144" s="31" t="s">
        <v>1236</v>
      </c>
    </row>
    <row r="145" spans="1:31">
      <c r="A145" s="30" t="s">
        <v>2022</v>
      </c>
      <c r="B145" s="30" t="s">
        <v>2023</v>
      </c>
      <c r="C145" s="30" t="s">
        <v>15</v>
      </c>
      <c r="D145" s="31" t="s">
        <v>2019</v>
      </c>
      <c r="E145" s="31" t="s">
        <v>2024</v>
      </c>
      <c r="F145" s="31" t="s">
        <v>1144</v>
      </c>
      <c r="G145" s="31" t="s">
        <v>2025</v>
      </c>
      <c r="H145" s="31"/>
      <c r="I145" s="31"/>
      <c r="J145" s="31" t="s">
        <v>2026</v>
      </c>
      <c r="K145" s="31"/>
      <c r="L145" s="31" t="s">
        <v>2027</v>
      </c>
      <c r="M145" s="31"/>
      <c r="N145" s="31"/>
      <c r="O145" s="31"/>
      <c r="P145" s="31"/>
      <c r="Q145" s="31" t="s">
        <v>674</v>
      </c>
      <c r="R145" s="31"/>
      <c r="S145" s="31">
        <v>0</v>
      </c>
      <c r="T145" s="31">
        <v>1</v>
      </c>
      <c r="U145" s="31">
        <v>0</v>
      </c>
      <c r="V145" s="31"/>
      <c r="W145" s="31">
        <v>0</v>
      </c>
      <c r="X145" s="31" t="s">
        <v>2016</v>
      </c>
      <c r="Y145" s="31" t="s">
        <v>1201</v>
      </c>
      <c r="Z145" s="31" t="s">
        <v>1202</v>
      </c>
      <c r="AA145" s="31" t="s">
        <v>2028</v>
      </c>
      <c r="AB145" s="31" t="s">
        <v>770</v>
      </c>
      <c r="AC145" s="31" t="s">
        <v>2027</v>
      </c>
      <c r="AD145" s="31" t="s">
        <v>2016</v>
      </c>
      <c r="AE145" s="31" t="s">
        <v>1236</v>
      </c>
    </row>
    <row r="146" spans="1:31">
      <c r="A146" s="30" t="s">
        <v>2029</v>
      </c>
      <c r="B146" s="30" t="s">
        <v>2030</v>
      </c>
      <c r="C146" s="30" t="s">
        <v>15</v>
      </c>
      <c r="D146" s="31" t="s">
        <v>2031</v>
      </c>
      <c r="E146" s="31" t="s">
        <v>2032</v>
      </c>
      <c r="F146" s="31" t="s">
        <v>1144</v>
      </c>
      <c r="G146" s="31" t="s">
        <v>1376</v>
      </c>
      <c r="H146" s="31"/>
      <c r="I146" s="31"/>
      <c r="J146" s="31" t="s">
        <v>2014</v>
      </c>
      <c r="K146" s="31"/>
      <c r="L146" s="31" t="s">
        <v>1577</v>
      </c>
      <c r="M146" s="31"/>
      <c r="N146" s="31"/>
      <c r="O146" s="31"/>
      <c r="P146" s="31"/>
      <c r="Q146" s="31" t="s">
        <v>674</v>
      </c>
      <c r="R146" s="31"/>
      <c r="S146" s="31">
        <v>0</v>
      </c>
      <c r="T146" s="31">
        <v>1</v>
      </c>
      <c r="U146" s="31">
        <v>0</v>
      </c>
      <c r="V146" s="31"/>
      <c r="W146" s="31">
        <v>0</v>
      </c>
      <c r="X146" s="31" t="s">
        <v>2015</v>
      </c>
      <c r="Y146" s="31" t="s">
        <v>1158</v>
      </c>
      <c r="Z146" s="31" t="s">
        <v>1182</v>
      </c>
      <c r="AA146" s="31" t="s">
        <v>1183</v>
      </c>
      <c r="AB146" s="31" t="s">
        <v>2033</v>
      </c>
      <c r="AC146" s="31" t="s">
        <v>770</v>
      </c>
      <c r="AD146" s="31" t="s">
        <v>2016</v>
      </c>
      <c r="AE146" s="31" t="s">
        <v>1236</v>
      </c>
    </row>
    <row r="147" spans="1:31">
      <c r="A147" s="30" t="s">
        <v>2034</v>
      </c>
      <c r="B147" s="30" t="s">
        <v>2035</v>
      </c>
      <c r="C147" s="30" t="s">
        <v>15</v>
      </c>
      <c r="D147" s="31" t="s">
        <v>121</v>
      </c>
      <c r="E147" s="31" t="s">
        <v>2036</v>
      </c>
      <c r="F147" s="31" t="s">
        <v>1144</v>
      </c>
      <c r="G147" s="31" t="s">
        <v>1376</v>
      </c>
      <c r="H147" s="31"/>
      <c r="I147" s="31"/>
      <c r="J147" s="31" t="s">
        <v>2014</v>
      </c>
      <c r="K147" s="31"/>
      <c r="L147" s="31" t="s">
        <v>1577</v>
      </c>
      <c r="M147" s="31"/>
      <c r="N147" s="31"/>
      <c r="O147" s="31"/>
      <c r="P147" s="31"/>
      <c r="Q147" s="31" t="s">
        <v>674</v>
      </c>
      <c r="R147" s="31"/>
      <c r="S147" s="31">
        <v>0</v>
      </c>
      <c r="T147" s="31">
        <v>1</v>
      </c>
      <c r="U147" s="31">
        <v>0</v>
      </c>
      <c r="V147" s="31"/>
      <c r="W147" s="31">
        <v>0</v>
      </c>
      <c r="X147" s="31" t="s">
        <v>2015</v>
      </c>
      <c r="Y147" s="31" t="s">
        <v>1158</v>
      </c>
      <c r="Z147" s="31" t="s">
        <v>1182</v>
      </c>
      <c r="AA147" s="31" t="s">
        <v>1183</v>
      </c>
      <c r="AB147" s="31" t="s">
        <v>2037</v>
      </c>
      <c r="AC147" s="31" t="s">
        <v>770</v>
      </c>
      <c r="AD147" s="31" t="s">
        <v>2016</v>
      </c>
      <c r="AE147" s="31" t="s">
        <v>1236</v>
      </c>
    </row>
    <row r="148" spans="1:31">
      <c r="A148" s="30" t="s">
        <v>2038</v>
      </c>
      <c r="B148" s="30" t="s">
        <v>2039</v>
      </c>
      <c r="C148" s="30" t="s">
        <v>15</v>
      </c>
      <c r="D148" s="31" t="s">
        <v>121</v>
      </c>
      <c r="E148" s="31" t="s">
        <v>2040</v>
      </c>
      <c r="F148" s="31" t="s">
        <v>1144</v>
      </c>
      <c r="G148" s="31" t="s">
        <v>2041</v>
      </c>
      <c r="H148" s="31"/>
      <c r="I148" s="31"/>
      <c r="J148" s="31" t="s">
        <v>2042</v>
      </c>
      <c r="K148" s="31"/>
      <c r="L148" s="31" t="s">
        <v>2043</v>
      </c>
      <c r="M148" s="31"/>
      <c r="N148" s="31"/>
      <c r="O148" s="31"/>
      <c r="P148" s="31"/>
      <c r="Q148" s="31" t="s">
        <v>674</v>
      </c>
      <c r="R148" s="31"/>
      <c r="S148" s="31">
        <v>0</v>
      </c>
      <c r="T148" s="31">
        <v>1</v>
      </c>
      <c r="U148" s="31">
        <v>0</v>
      </c>
      <c r="V148" s="31"/>
      <c r="W148" s="31">
        <v>0</v>
      </c>
      <c r="X148" s="31" t="s">
        <v>2016</v>
      </c>
      <c r="Y148" s="31" t="s">
        <v>1201</v>
      </c>
      <c r="Z148" s="31" t="s">
        <v>1202</v>
      </c>
      <c r="AA148" s="31" t="s">
        <v>2040</v>
      </c>
      <c r="AB148" s="31" t="s">
        <v>770</v>
      </c>
      <c r="AC148" s="31" t="s">
        <v>2043</v>
      </c>
      <c r="AD148" s="31" t="s">
        <v>2016</v>
      </c>
      <c r="AE148" s="31" t="s">
        <v>1236</v>
      </c>
    </row>
    <row r="149" spans="1:31" ht="30">
      <c r="A149" s="30" t="s">
        <v>2044</v>
      </c>
      <c r="B149" s="30" t="s">
        <v>2045</v>
      </c>
      <c r="C149" s="30" t="s">
        <v>15</v>
      </c>
      <c r="D149" s="31" t="s">
        <v>121</v>
      </c>
      <c r="E149" s="31" t="s">
        <v>2046</v>
      </c>
      <c r="F149" s="31" t="s">
        <v>1144</v>
      </c>
      <c r="G149" s="31" t="s">
        <v>2047</v>
      </c>
      <c r="H149" s="31"/>
      <c r="I149" s="31"/>
      <c r="J149" s="31" t="s">
        <v>2048</v>
      </c>
      <c r="K149" s="31"/>
      <c r="L149" s="31" t="s">
        <v>1659</v>
      </c>
      <c r="M149" s="31"/>
      <c r="N149" s="31"/>
      <c r="O149" s="31"/>
      <c r="P149" s="31"/>
      <c r="Q149" s="31" t="s">
        <v>674</v>
      </c>
      <c r="R149" s="31"/>
      <c r="S149" s="31">
        <v>0</v>
      </c>
      <c r="T149" s="31">
        <v>1</v>
      </c>
      <c r="U149" s="31">
        <v>0</v>
      </c>
      <c r="V149" s="31"/>
      <c r="W149" s="31">
        <v>0</v>
      </c>
      <c r="X149" s="31" t="s">
        <v>1472</v>
      </c>
      <c r="Y149" s="31" t="s">
        <v>1355</v>
      </c>
      <c r="Z149" s="31" t="s">
        <v>1356</v>
      </c>
      <c r="AA149" s="31" t="s">
        <v>1755</v>
      </c>
      <c r="AB149" s="31" t="s">
        <v>1867</v>
      </c>
      <c r="AC149" s="31" t="s">
        <v>770</v>
      </c>
      <c r="AD149" s="31" t="s">
        <v>1868</v>
      </c>
      <c r="AE149" s="31" t="s">
        <v>1688</v>
      </c>
    </row>
  </sheetData>
  <autoFilter ref="A1:V1" xr:uid="{00000000-0009-0000-0000-000002000000}"/>
  <phoneticPr fontId="15" type="noConversion"/>
  <dataValidations count="4">
    <dataValidation type="list" allowBlank="1" sqref="A2:A200" xr:uid="{00000000-0002-0000-0200-000000000000}">
      <formula1>_xlfn._LONGTEXT("SCR-001,SCR-002,SCR-010,SCR-011,SCR-012,SCR-013,SCR-014,SCR-020,SCR-021,SCR-030,SCR-031,SCR-032,SCR-040,SCR-041,SCR-050,SCR-051,SCR-052,SCR-053,SCR-060,SCR-061,SCR-062,SCR-063,SCR-070,SCR-071,SCR-072,SCR-073,SCR-080,SCR-081,SCR-090,SCR-091,SCR-092,SCR-093",",SCR-094")</formula1>
    </dataValidation>
    <dataValidation type="list" allowBlank="1" sqref="C2:C200" xr:uid="{00000000-0002-0000-0200-000001000000}">
      <formula1>"Web,App (iOS),App (Android),Web + App,공통"</formula1>
    </dataValidation>
    <dataValidation type="list" allowBlank="1" sqref="Q2:Q200" xr:uid="{00000000-0002-0000-0200-000002000000}">
      <formula1>"작성중,검토중,확정,변경필요,삭제"</formula1>
    </dataValidation>
    <dataValidation type="list" allowBlank="1" sqref="R2:R200" xr:uid="{00000000-0002-0000-0200-000003000000}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93"/>
  <sheetViews>
    <sheetView workbookViewId="0"/>
  </sheetViews>
  <sheetFormatPr baseColWidth="10" defaultColWidth="8.83203125" defaultRowHeight="17" outlineLevelRow="1"/>
  <cols>
    <col min="1" max="2" width="10" customWidth="1"/>
    <col min="3" max="3" width="16" customWidth="1"/>
    <col min="4" max="4" width="12" customWidth="1"/>
    <col min="5" max="5" width="25" customWidth="1"/>
    <col min="6" max="6" width="30" customWidth="1"/>
    <col min="7" max="8" width="10" customWidth="1"/>
    <col min="9" max="9" width="22" customWidth="1"/>
    <col min="10" max="10" width="14" customWidth="1"/>
    <col min="11" max="12" width="20" customWidth="1"/>
    <col min="13" max="13" width="18" customWidth="1"/>
    <col min="14" max="14" width="10" customWidth="1"/>
    <col min="15" max="15" width="12" customWidth="1"/>
    <col min="16" max="17" width="16" customWidth="1"/>
    <col min="18" max="18" width="20" customWidth="1"/>
    <col min="19" max="19" width="18" customWidth="1"/>
    <col min="20" max="27" width="35" customWidth="1"/>
  </cols>
  <sheetData>
    <row r="1" spans="1:27" ht="18">
      <c r="A1" s="1" t="s">
        <v>2049</v>
      </c>
      <c r="B1" s="1" t="s">
        <v>3</v>
      </c>
      <c r="C1" s="1" t="s">
        <v>2050</v>
      </c>
      <c r="D1" s="1" t="s">
        <v>2051</v>
      </c>
      <c r="E1" s="1" t="s">
        <v>2052</v>
      </c>
      <c r="F1" s="1" t="s">
        <v>643</v>
      </c>
      <c r="G1" s="1" t="s">
        <v>2053</v>
      </c>
      <c r="H1" s="1" t="s">
        <v>2054</v>
      </c>
      <c r="I1" s="1" t="s">
        <v>2055</v>
      </c>
      <c r="J1" s="1" t="s">
        <v>2056</v>
      </c>
      <c r="K1" s="1" t="s">
        <v>2057</v>
      </c>
      <c r="L1" s="1" t="s">
        <v>2058</v>
      </c>
      <c r="M1" s="1" t="s">
        <v>2059</v>
      </c>
      <c r="N1" s="1" t="s">
        <v>10</v>
      </c>
      <c r="O1" s="1" t="s">
        <v>432</v>
      </c>
      <c r="P1" s="1" t="s">
        <v>433</v>
      </c>
      <c r="Q1" s="1" t="s">
        <v>2060</v>
      </c>
      <c r="R1" s="1" t="s">
        <v>2061</v>
      </c>
      <c r="S1" s="1" t="s">
        <v>11</v>
      </c>
      <c r="T1" s="27" t="s">
        <v>2062</v>
      </c>
      <c r="U1" s="27" t="s">
        <v>2063</v>
      </c>
      <c r="V1" s="27" t="s">
        <v>2064</v>
      </c>
      <c r="W1" s="27" t="s">
        <v>2065</v>
      </c>
      <c r="X1" s="27" t="s">
        <v>2066</v>
      </c>
      <c r="Y1" s="27" t="s">
        <v>2067</v>
      </c>
      <c r="Z1" s="27" t="s">
        <v>2068</v>
      </c>
      <c r="AA1" s="27" t="s">
        <v>2069</v>
      </c>
    </row>
    <row r="2" spans="1:27">
      <c r="A2" s="2" t="s">
        <v>2070</v>
      </c>
      <c r="B2" s="2" t="s">
        <v>2071</v>
      </c>
      <c r="C2" s="2" t="s">
        <v>2072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1"/>
      <c r="U2" s="31"/>
      <c r="V2" s="31"/>
      <c r="W2" s="31"/>
      <c r="X2" s="31"/>
      <c r="Y2" s="31"/>
      <c r="Z2" s="31"/>
      <c r="AA2" s="31"/>
    </row>
    <row r="3" spans="1:27" ht="30" outlineLevel="1">
      <c r="A3" s="32" t="s">
        <v>2073</v>
      </c>
      <c r="B3" s="32" t="s">
        <v>14</v>
      </c>
      <c r="C3" s="32" t="s">
        <v>2074</v>
      </c>
      <c r="D3" s="33" t="s">
        <v>2075</v>
      </c>
      <c r="E3" s="33" t="s">
        <v>2076</v>
      </c>
      <c r="F3" s="33" t="s">
        <v>2077</v>
      </c>
      <c r="G3" s="33" t="s">
        <v>2078</v>
      </c>
      <c r="H3" s="33" t="s">
        <v>2079</v>
      </c>
      <c r="I3" s="33" t="s">
        <v>2080</v>
      </c>
      <c r="J3" s="33"/>
      <c r="K3" s="33" t="s">
        <v>2081</v>
      </c>
      <c r="L3" s="33" t="s">
        <v>2082</v>
      </c>
      <c r="M3" s="33" t="s">
        <v>2083</v>
      </c>
      <c r="N3" s="33" t="s">
        <v>2084</v>
      </c>
      <c r="O3" s="33"/>
      <c r="P3" s="33" t="s">
        <v>13</v>
      </c>
      <c r="Q3" s="33" t="s">
        <v>13</v>
      </c>
      <c r="R3" s="33" t="s">
        <v>2085</v>
      </c>
      <c r="S3" s="33"/>
      <c r="T3" s="33" t="s">
        <v>2086</v>
      </c>
      <c r="U3" s="33" t="s">
        <v>2087</v>
      </c>
      <c r="V3" s="33" t="s">
        <v>2088</v>
      </c>
      <c r="W3" s="33" t="s">
        <v>2089</v>
      </c>
      <c r="X3" s="33" t="s">
        <v>2090</v>
      </c>
      <c r="Y3" s="33" t="s">
        <v>2091</v>
      </c>
      <c r="Z3" s="33" t="s">
        <v>2092</v>
      </c>
      <c r="AA3" s="33" t="s">
        <v>2093</v>
      </c>
    </row>
    <row r="4" spans="1:27" ht="30" outlineLevel="1">
      <c r="A4" s="32" t="s">
        <v>2094</v>
      </c>
      <c r="B4" s="32" t="s">
        <v>14</v>
      </c>
      <c r="C4" s="32" t="s">
        <v>2095</v>
      </c>
      <c r="D4" s="33" t="s">
        <v>2075</v>
      </c>
      <c r="E4" s="33" t="s">
        <v>2096</v>
      </c>
      <c r="F4" s="33" t="s">
        <v>2097</v>
      </c>
      <c r="G4" s="33" t="s">
        <v>2078</v>
      </c>
      <c r="H4" s="33" t="s">
        <v>2079</v>
      </c>
      <c r="I4" s="33" t="s">
        <v>2098</v>
      </c>
      <c r="J4" s="33"/>
      <c r="K4" s="33" t="s">
        <v>2099</v>
      </c>
      <c r="L4" s="33" t="s">
        <v>2100</v>
      </c>
      <c r="M4" s="33" t="s">
        <v>2101</v>
      </c>
      <c r="N4" s="33" t="s">
        <v>2084</v>
      </c>
      <c r="O4" s="33"/>
      <c r="P4" s="33" t="s">
        <v>13</v>
      </c>
      <c r="Q4" s="33" t="s">
        <v>13</v>
      </c>
      <c r="R4" s="33" t="s">
        <v>2085</v>
      </c>
      <c r="S4" s="33"/>
      <c r="T4" s="33" t="s">
        <v>2102</v>
      </c>
      <c r="U4" s="33" t="s">
        <v>2103</v>
      </c>
      <c r="V4" s="33" t="s">
        <v>2104</v>
      </c>
      <c r="W4" s="33" t="s">
        <v>2105</v>
      </c>
      <c r="X4" s="33" t="s">
        <v>2090</v>
      </c>
      <c r="Y4" s="33" t="s">
        <v>2106</v>
      </c>
      <c r="Z4" s="33" t="s">
        <v>2092</v>
      </c>
      <c r="AA4" s="33" t="s">
        <v>2107</v>
      </c>
    </row>
    <row r="5" spans="1:27" ht="30" outlineLevel="1">
      <c r="A5" s="32" t="s">
        <v>2108</v>
      </c>
      <c r="B5" s="32" t="s">
        <v>14</v>
      </c>
      <c r="C5" s="32" t="s">
        <v>2109</v>
      </c>
      <c r="D5" s="33" t="s">
        <v>2110</v>
      </c>
      <c r="E5" s="33" t="s">
        <v>2111</v>
      </c>
      <c r="F5" s="33" t="s">
        <v>2112</v>
      </c>
      <c r="G5" s="33" t="s">
        <v>2078</v>
      </c>
      <c r="H5" s="33" t="s">
        <v>2079</v>
      </c>
      <c r="I5" s="33" t="s">
        <v>2113</v>
      </c>
      <c r="J5" s="33"/>
      <c r="K5" s="33" t="s">
        <v>2114</v>
      </c>
      <c r="L5" s="33" t="s">
        <v>2115</v>
      </c>
      <c r="M5" s="33" t="s">
        <v>2116</v>
      </c>
      <c r="N5" s="33" t="s">
        <v>2084</v>
      </c>
      <c r="O5" s="33"/>
      <c r="P5" s="33" t="s">
        <v>13</v>
      </c>
      <c r="Q5" s="33" t="s">
        <v>13</v>
      </c>
      <c r="R5" s="33" t="s">
        <v>2085</v>
      </c>
      <c r="S5" s="33"/>
      <c r="T5" s="33" t="s">
        <v>2117</v>
      </c>
      <c r="U5" s="33" t="s">
        <v>2118</v>
      </c>
      <c r="V5" s="33" t="s">
        <v>2119</v>
      </c>
      <c r="W5" s="33" t="s">
        <v>2120</v>
      </c>
      <c r="X5" s="33" t="s">
        <v>2090</v>
      </c>
      <c r="Y5" s="33" t="s">
        <v>2121</v>
      </c>
      <c r="Z5" s="33" t="s">
        <v>2092</v>
      </c>
      <c r="AA5" s="33" t="s">
        <v>2122</v>
      </c>
    </row>
    <row r="6" spans="1:27" ht="45" outlineLevel="1">
      <c r="A6" s="32" t="s">
        <v>2123</v>
      </c>
      <c r="B6" s="32" t="s">
        <v>14</v>
      </c>
      <c r="C6" s="32" t="s">
        <v>2124</v>
      </c>
      <c r="D6" s="33" t="s">
        <v>2125</v>
      </c>
      <c r="E6" s="33" t="s">
        <v>2126</v>
      </c>
      <c r="F6" s="33" t="s">
        <v>2127</v>
      </c>
      <c r="G6" s="33" t="s">
        <v>2078</v>
      </c>
      <c r="H6" s="33" t="s">
        <v>2079</v>
      </c>
      <c r="I6" s="33" t="s">
        <v>2128</v>
      </c>
      <c r="J6" s="33"/>
      <c r="K6" s="33" t="s">
        <v>2129</v>
      </c>
      <c r="L6" s="33" t="s">
        <v>2130</v>
      </c>
      <c r="M6" s="33" t="s">
        <v>2131</v>
      </c>
      <c r="N6" s="33" t="s">
        <v>2084</v>
      </c>
      <c r="O6" s="33"/>
      <c r="P6" s="33" t="s">
        <v>13</v>
      </c>
      <c r="Q6" s="33" t="s">
        <v>13</v>
      </c>
      <c r="R6" s="33" t="s">
        <v>2085</v>
      </c>
      <c r="S6" s="33"/>
      <c r="T6" s="33" t="s">
        <v>2132</v>
      </c>
      <c r="U6" s="33" t="s">
        <v>2133</v>
      </c>
      <c r="V6" s="33" t="s">
        <v>2134</v>
      </c>
      <c r="W6" s="33" t="s">
        <v>2135</v>
      </c>
      <c r="X6" s="33" t="s">
        <v>2090</v>
      </c>
      <c r="Y6" s="33" t="s">
        <v>2136</v>
      </c>
      <c r="Z6" s="33" t="s">
        <v>2137</v>
      </c>
      <c r="AA6" s="33" t="s">
        <v>2138</v>
      </c>
    </row>
    <row r="7" spans="1:27" ht="30" outlineLevel="1">
      <c r="A7" s="32" t="s">
        <v>2139</v>
      </c>
      <c r="B7" s="32" t="s">
        <v>14</v>
      </c>
      <c r="C7" s="32" t="s">
        <v>2140</v>
      </c>
      <c r="D7" s="33" t="s">
        <v>2141</v>
      </c>
      <c r="E7" s="33" t="s">
        <v>2142</v>
      </c>
      <c r="F7" s="33" t="s">
        <v>2143</v>
      </c>
      <c r="G7" s="33"/>
      <c r="H7" s="33"/>
      <c r="I7" s="33" t="s">
        <v>2144</v>
      </c>
      <c r="J7" s="33"/>
      <c r="K7" s="33"/>
      <c r="L7" s="33"/>
      <c r="M7" s="33" t="s">
        <v>2145</v>
      </c>
      <c r="N7" s="33" t="s">
        <v>2084</v>
      </c>
      <c r="O7" s="33"/>
      <c r="P7" s="33" t="s">
        <v>13</v>
      </c>
      <c r="Q7" s="33" t="str">
        <f>IFERROR(VLOOKUP(G7,기능명세서!A:B,2,FALSE()),"")</f>
        <v/>
      </c>
      <c r="R7" s="33" t="str">
        <f>IFERROR(VLOOKUP(H7,API명세서!A:D,4,FALSE()),"")</f>
        <v/>
      </c>
      <c r="S7" s="33"/>
      <c r="T7" s="33" t="s">
        <v>2146</v>
      </c>
      <c r="U7" s="33" t="s">
        <v>2147</v>
      </c>
      <c r="V7" s="33" t="s">
        <v>2148</v>
      </c>
      <c r="W7" s="33" t="s">
        <v>2149</v>
      </c>
      <c r="X7" s="33" t="s">
        <v>2150</v>
      </c>
      <c r="Y7" s="33" t="s">
        <v>2151</v>
      </c>
      <c r="Z7" s="33" t="s">
        <v>2092</v>
      </c>
      <c r="AA7" s="33" t="s">
        <v>2152</v>
      </c>
    </row>
    <row r="8" spans="1:27">
      <c r="A8" s="2" t="s">
        <v>2153</v>
      </c>
      <c r="B8" s="2" t="s">
        <v>2154</v>
      </c>
      <c r="C8" s="2" t="s">
        <v>2155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1"/>
      <c r="U8" s="31"/>
      <c r="V8" s="31"/>
      <c r="W8" s="31"/>
      <c r="X8" s="31"/>
      <c r="Y8" s="31"/>
      <c r="Z8" s="31"/>
      <c r="AA8" s="31"/>
    </row>
    <row r="9" spans="1:27" ht="45" outlineLevel="1">
      <c r="A9" s="32" t="s">
        <v>2156</v>
      </c>
      <c r="B9" s="32" t="s">
        <v>24</v>
      </c>
      <c r="C9" s="32" t="s">
        <v>2157</v>
      </c>
      <c r="D9" s="33" t="s">
        <v>2158</v>
      </c>
      <c r="E9" s="33" t="s">
        <v>2159</v>
      </c>
      <c r="F9" s="33" t="s">
        <v>2160</v>
      </c>
      <c r="G9" s="33" t="s">
        <v>2161</v>
      </c>
      <c r="H9" s="33" t="s">
        <v>2162</v>
      </c>
      <c r="I9" s="33" t="s">
        <v>2163</v>
      </c>
      <c r="J9" s="33"/>
      <c r="K9" s="33"/>
      <c r="L9" s="33"/>
      <c r="M9" s="33" t="s">
        <v>2164</v>
      </c>
      <c r="N9" s="33" t="s">
        <v>2084</v>
      </c>
      <c r="O9" s="33"/>
      <c r="P9" s="33" t="s">
        <v>22</v>
      </c>
      <c r="Q9" s="33" t="s">
        <v>2165</v>
      </c>
      <c r="R9" s="33" t="s">
        <v>2166</v>
      </c>
      <c r="S9" s="33"/>
      <c r="T9" s="33" t="s">
        <v>2167</v>
      </c>
      <c r="U9" s="33" t="s">
        <v>2168</v>
      </c>
      <c r="V9" s="33" t="s">
        <v>2169</v>
      </c>
      <c r="W9" s="33" t="s">
        <v>2170</v>
      </c>
      <c r="X9" s="33" t="s">
        <v>2171</v>
      </c>
      <c r="Y9" s="33" t="s">
        <v>2172</v>
      </c>
      <c r="Z9" s="33" t="s">
        <v>2092</v>
      </c>
      <c r="AA9" s="33" t="s">
        <v>2173</v>
      </c>
    </row>
    <row r="10" spans="1:27" ht="30" outlineLevel="1">
      <c r="A10" s="32" t="s">
        <v>2174</v>
      </c>
      <c r="B10" s="32" t="s">
        <v>24</v>
      </c>
      <c r="C10" s="32" t="s">
        <v>2175</v>
      </c>
      <c r="D10" s="33" t="s">
        <v>2158</v>
      </c>
      <c r="E10" s="33" t="s">
        <v>2176</v>
      </c>
      <c r="F10" s="33" t="s">
        <v>2177</v>
      </c>
      <c r="G10" s="33" t="s">
        <v>2161</v>
      </c>
      <c r="H10" s="33" t="s">
        <v>2162</v>
      </c>
      <c r="I10" s="33" t="s">
        <v>2178</v>
      </c>
      <c r="J10" s="33"/>
      <c r="K10" s="33"/>
      <c r="L10" s="33"/>
      <c r="M10" s="33" t="s">
        <v>2179</v>
      </c>
      <c r="N10" s="33" t="s">
        <v>2084</v>
      </c>
      <c r="O10" s="33"/>
      <c r="P10" s="33" t="s">
        <v>22</v>
      </c>
      <c r="Q10" s="33" t="s">
        <v>2165</v>
      </c>
      <c r="R10" s="33" t="s">
        <v>2166</v>
      </c>
      <c r="S10" s="33"/>
      <c r="T10" s="33" t="s">
        <v>2180</v>
      </c>
      <c r="U10" s="33" t="s">
        <v>2181</v>
      </c>
      <c r="V10" s="33" t="s">
        <v>2182</v>
      </c>
      <c r="W10" s="33" t="s">
        <v>2183</v>
      </c>
      <c r="X10" s="33" t="s">
        <v>2171</v>
      </c>
      <c r="Y10" s="33" t="s">
        <v>2106</v>
      </c>
      <c r="Z10" s="33" t="s">
        <v>2092</v>
      </c>
      <c r="AA10" s="33" t="s">
        <v>2184</v>
      </c>
    </row>
    <row r="11" spans="1:27" ht="30" outlineLevel="1">
      <c r="A11" s="32" t="s">
        <v>2185</v>
      </c>
      <c r="B11" s="32" t="s">
        <v>24</v>
      </c>
      <c r="C11" s="32" t="s">
        <v>2186</v>
      </c>
      <c r="D11" s="33" t="s">
        <v>2158</v>
      </c>
      <c r="E11" s="33" t="s">
        <v>2187</v>
      </c>
      <c r="F11" s="33" t="s">
        <v>2188</v>
      </c>
      <c r="G11" s="33" t="s">
        <v>2161</v>
      </c>
      <c r="H11" s="33" t="s">
        <v>2189</v>
      </c>
      <c r="I11" s="33" t="s">
        <v>2190</v>
      </c>
      <c r="J11" s="33"/>
      <c r="K11" s="33"/>
      <c r="L11" s="33"/>
      <c r="M11" s="33" t="s">
        <v>2191</v>
      </c>
      <c r="N11" s="33" t="s">
        <v>2084</v>
      </c>
      <c r="O11" s="33"/>
      <c r="P11" s="33" t="s">
        <v>22</v>
      </c>
      <c r="Q11" s="33" t="s">
        <v>2165</v>
      </c>
      <c r="R11" s="33" t="s">
        <v>2192</v>
      </c>
      <c r="S11" s="33"/>
      <c r="T11" s="33" t="s">
        <v>2193</v>
      </c>
      <c r="U11" s="33" t="s">
        <v>2194</v>
      </c>
      <c r="V11" s="33" t="s">
        <v>2195</v>
      </c>
      <c r="W11" s="33" t="s">
        <v>2196</v>
      </c>
      <c r="X11" s="33" t="s">
        <v>2171</v>
      </c>
      <c r="Y11" s="33" t="s">
        <v>2197</v>
      </c>
      <c r="Z11" s="33" t="s">
        <v>2092</v>
      </c>
      <c r="AA11" s="33" t="s">
        <v>2198</v>
      </c>
    </row>
    <row r="12" spans="1:27" ht="30" outlineLevel="1">
      <c r="A12" s="32" t="s">
        <v>2199</v>
      </c>
      <c r="B12" s="32" t="s">
        <v>24</v>
      </c>
      <c r="C12" s="32" t="s">
        <v>2200</v>
      </c>
      <c r="D12" s="33" t="s">
        <v>2158</v>
      </c>
      <c r="E12" s="33" t="s">
        <v>2201</v>
      </c>
      <c r="F12" s="33" t="s">
        <v>2202</v>
      </c>
      <c r="G12" s="33" t="s">
        <v>2161</v>
      </c>
      <c r="H12" s="33" t="s">
        <v>2162</v>
      </c>
      <c r="I12" s="33" t="s">
        <v>2178</v>
      </c>
      <c r="J12" s="33"/>
      <c r="K12" s="33"/>
      <c r="L12" s="33"/>
      <c r="M12" s="33" t="s">
        <v>2203</v>
      </c>
      <c r="N12" s="33" t="s">
        <v>2084</v>
      </c>
      <c r="O12" s="33"/>
      <c r="P12" s="33" t="s">
        <v>22</v>
      </c>
      <c r="Q12" s="33" t="s">
        <v>2165</v>
      </c>
      <c r="R12" s="33" t="s">
        <v>2166</v>
      </c>
      <c r="S12" s="33"/>
      <c r="T12" s="33" t="s">
        <v>2204</v>
      </c>
      <c r="U12" s="33" t="s">
        <v>2181</v>
      </c>
      <c r="V12" s="33" t="s">
        <v>2182</v>
      </c>
      <c r="W12" s="33" t="s">
        <v>2205</v>
      </c>
      <c r="X12" s="33" t="s">
        <v>2171</v>
      </c>
      <c r="Y12" s="33" t="s">
        <v>2151</v>
      </c>
      <c r="Z12" s="33" t="s">
        <v>2092</v>
      </c>
      <c r="AA12" s="33" t="s">
        <v>2206</v>
      </c>
    </row>
    <row r="13" spans="1:27" ht="30" outlineLevel="1">
      <c r="A13" s="32" t="s">
        <v>2207</v>
      </c>
      <c r="B13" s="32" t="s">
        <v>24</v>
      </c>
      <c r="C13" s="32" t="s">
        <v>2208</v>
      </c>
      <c r="D13" s="33" t="s">
        <v>2209</v>
      </c>
      <c r="E13" s="33" t="s">
        <v>2210</v>
      </c>
      <c r="F13" s="33" t="s">
        <v>2211</v>
      </c>
      <c r="G13" s="33" t="s">
        <v>2161</v>
      </c>
      <c r="H13" s="33" t="s">
        <v>2212</v>
      </c>
      <c r="I13" s="33" t="s">
        <v>2213</v>
      </c>
      <c r="J13" s="33"/>
      <c r="K13" s="33"/>
      <c r="L13" s="33"/>
      <c r="M13" s="33" t="s">
        <v>2214</v>
      </c>
      <c r="N13" s="33" t="s">
        <v>2084</v>
      </c>
      <c r="O13" s="33"/>
      <c r="P13" s="33" t="s">
        <v>22</v>
      </c>
      <c r="Q13" s="33" t="s">
        <v>2165</v>
      </c>
      <c r="R13" s="33" t="s">
        <v>2215</v>
      </c>
      <c r="S13" s="33"/>
      <c r="T13" s="33" t="s">
        <v>2216</v>
      </c>
      <c r="U13" s="33" t="s">
        <v>2217</v>
      </c>
      <c r="V13" s="33" t="s">
        <v>2218</v>
      </c>
      <c r="W13" s="33" t="s">
        <v>2219</v>
      </c>
      <c r="X13" s="33" t="s">
        <v>2220</v>
      </c>
      <c r="Y13" s="33" t="s">
        <v>2221</v>
      </c>
      <c r="Z13" s="33" t="s">
        <v>2092</v>
      </c>
      <c r="AA13" s="33" t="s">
        <v>2222</v>
      </c>
    </row>
    <row r="14" spans="1:27" ht="30" outlineLevel="1">
      <c r="A14" s="32" t="s">
        <v>2223</v>
      </c>
      <c r="B14" s="32" t="s">
        <v>24</v>
      </c>
      <c r="C14" s="32" t="s">
        <v>2224</v>
      </c>
      <c r="D14" s="33" t="s">
        <v>2209</v>
      </c>
      <c r="E14" s="33" t="s">
        <v>2225</v>
      </c>
      <c r="F14" s="33" t="s">
        <v>2226</v>
      </c>
      <c r="G14" s="33" t="s">
        <v>2161</v>
      </c>
      <c r="H14" s="33" t="s">
        <v>2227</v>
      </c>
      <c r="I14" s="33" t="s">
        <v>2228</v>
      </c>
      <c r="J14" s="33"/>
      <c r="K14" s="33"/>
      <c r="L14" s="33"/>
      <c r="M14" s="33" t="s">
        <v>2229</v>
      </c>
      <c r="N14" s="33" t="s">
        <v>2084</v>
      </c>
      <c r="O14" s="33"/>
      <c r="P14" s="33" t="s">
        <v>22</v>
      </c>
      <c r="Q14" s="33" t="s">
        <v>2165</v>
      </c>
      <c r="R14" s="33" t="s">
        <v>2230</v>
      </c>
      <c r="S14" s="33"/>
      <c r="T14" s="33" t="s">
        <v>2231</v>
      </c>
      <c r="U14" s="33" t="s">
        <v>2232</v>
      </c>
      <c r="V14" s="33" t="s">
        <v>2233</v>
      </c>
      <c r="W14" s="33" t="s">
        <v>2234</v>
      </c>
      <c r="X14" s="33" t="s">
        <v>2220</v>
      </c>
      <c r="Y14" s="33" t="s">
        <v>2106</v>
      </c>
      <c r="Z14" s="33" t="s">
        <v>2092</v>
      </c>
      <c r="AA14" s="33" t="s">
        <v>2235</v>
      </c>
    </row>
    <row r="15" spans="1:27" ht="30" outlineLevel="1">
      <c r="A15" s="32" t="s">
        <v>2236</v>
      </c>
      <c r="B15" s="32" t="s">
        <v>24</v>
      </c>
      <c r="C15" s="32" t="s">
        <v>2237</v>
      </c>
      <c r="D15" s="33" t="s">
        <v>2209</v>
      </c>
      <c r="E15" s="33" t="s">
        <v>2238</v>
      </c>
      <c r="F15" s="33" t="s">
        <v>2239</v>
      </c>
      <c r="G15" s="33" t="s">
        <v>2161</v>
      </c>
      <c r="H15" s="33" t="s">
        <v>2189</v>
      </c>
      <c r="I15" s="33" t="s">
        <v>2240</v>
      </c>
      <c r="J15" s="33"/>
      <c r="K15" s="33"/>
      <c r="L15" s="33"/>
      <c r="M15" s="33" t="s">
        <v>2241</v>
      </c>
      <c r="N15" s="33" t="s">
        <v>2084</v>
      </c>
      <c r="O15" s="33"/>
      <c r="P15" s="33" t="s">
        <v>22</v>
      </c>
      <c r="Q15" s="33" t="s">
        <v>2165</v>
      </c>
      <c r="R15" s="33" t="s">
        <v>2192</v>
      </c>
      <c r="S15" s="33"/>
      <c r="T15" s="33"/>
      <c r="U15" s="33"/>
      <c r="V15" s="33"/>
      <c r="W15" s="33"/>
      <c r="X15" s="33"/>
      <c r="Y15" s="33"/>
      <c r="Z15" s="33"/>
      <c r="AA15" s="33"/>
    </row>
    <row r="16" spans="1:27" ht="30" outlineLevel="1">
      <c r="A16" s="32" t="s">
        <v>2242</v>
      </c>
      <c r="B16" s="32" t="s">
        <v>24</v>
      </c>
      <c r="C16" s="32" t="s">
        <v>2243</v>
      </c>
      <c r="D16" s="33" t="s">
        <v>2158</v>
      </c>
      <c r="E16" s="33" t="s">
        <v>2244</v>
      </c>
      <c r="F16" s="33" t="s">
        <v>2245</v>
      </c>
      <c r="G16" s="33" t="s">
        <v>2161</v>
      </c>
      <c r="H16" s="33" t="s">
        <v>2162</v>
      </c>
      <c r="I16" s="33" t="s">
        <v>2246</v>
      </c>
      <c r="J16" s="33"/>
      <c r="K16" s="33"/>
      <c r="L16" s="33"/>
      <c r="M16" s="33" t="s">
        <v>2247</v>
      </c>
      <c r="N16" s="33" t="s">
        <v>2084</v>
      </c>
      <c r="O16" s="33"/>
      <c r="P16" s="33" t="s">
        <v>22</v>
      </c>
      <c r="Q16" s="33" t="s">
        <v>2165</v>
      </c>
      <c r="R16" s="33" t="s">
        <v>2166</v>
      </c>
      <c r="S16" s="33"/>
      <c r="T16" s="33"/>
      <c r="U16" s="33"/>
      <c r="V16" s="33"/>
      <c r="W16" s="33"/>
      <c r="X16" s="33"/>
      <c r="Y16" s="33"/>
      <c r="Z16" s="33"/>
      <c r="AA16" s="33"/>
    </row>
    <row r="17" spans="1:27">
      <c r="A17" s="2" t="s">
        <v>2248</v>
      </c>
      <c r="B17" s="2" t="s">
        <v>2249</v>
      </c>
      <c r="C17" s="2" t="s">
        <v>2155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1"/>
      <c r="U17" s="31"/>
      <c r="V17" s="31"/>
      <c r="W17" s="31"/>
      <c r="X17" s="31"/>
      <c r="Y17" s="31"/>
      <c r="Z17" s="31"/>
      <c r="AA17" s="31"/>
    </row>
    <row r="18" spans="1:27" ht="30" outlineLevel="1">
      <c r="A18" s="32" t="s">
        <v>2250</v>
      </c>
      <c r="B18" s="32" t="s">
        <v>32</v>
      </c>
      <c r="C18" s="32" t="s">
        <v>2251</v>
      </c>
      <c r="D18" s="33" t="s">
        <v>2075</v>
      </c>
      <c r="E18" s="33" t="s">
        <v>2252</v>
      </c>
      <c r="F18" s="33" t="s">
        <v>2253</v>
      </c>
      <c r="G18" s="33" t="s">
        <v>2254</v>
      </c>
      <c r="H18" s="33" t="s">
        <v>2255</v>
      </c>
      <c r="I18" s="33" t="s">
        <v>2256</v>
      </c>
      <c r="J18" s="33"/>
      <c r="K18" s="33" t="s">
        <v>2257</v>
      </c>
      <c r="L18" s="33" t="s">
        <v>2258</v>
      </c>
      <c r="M18" s="33" t="s">
        <v>2259</v>
      </c>
      <c r="N18" s="33" t="s">
        <v>2084</v>
      </c>
      <c r="O18" s="33"/>
      <c r="P18" s="33" t="s">
        <v>33</v>
      </c>
      <c r="Q18" s="33" t="s">
        <v>2260</v>
      </c>
      <c r="R18" s="33" t="s">
        <v>2261</v>
      </c>
      <c r="S18" s="33"/>
      <c r="T18" s="33"/>
      <c r="U18" s="33"/>
      <c r="V18" s="33"/>
      <c r="W18" s="33"/>
      <c r="X18" s="33"/>
      <c r="Y18" s="33"/>
      <c r="Z18" s="33"/>
      <c r="AA18" s="33"/>
    </row>
    <row r="19" spans="1:27" ht="30" outlineLevel="1">
      <c r="A19" s="32" t="s">
        <v>2262</v>
      </c>
      <c r="B19" s="32" t="s">
        <v>32</v>
      </c>
      <c r="C19" s="32" t="s">
        <v>2263</v>
      </c>
      <c r="D19" s="33" t="s">
        <v>2110</v>
      </c>
      <c r="E19" s="33" t="s">
        <v>2264</v>
      </c>
      <c r="F19" s="33" t="s">
        <v>2265</v>
      </c>
      <c r="G19" s="33" t="s">
        <v>2254</v>
      </c>
      <c r="H19" s="33" t="s">
        <v>2255</v>
      </c>
      <c r="I19" s="33" t="s">
        <v>2266</v>
      </c>
      <c r="J19" s="33"/>
      <c r="K19" s="33" t="s">
        <v>2267</v>
      </c>
      <c r="L19" s="33" t="s">
        <v>2268</v>
      </c>
      <c r="M19" s="33" t="s">
        <v>2269</v>
      </c>
      <c r="N19" s="33" t="s">
        <v>2084</v>
      </c>
      <c r="O19" s="33"/>
      <c r="P19" s="33" t="s">
        <v>33</v>
      </c>
      <c r="Q19" s="33" t="s">
        <v>2260</v>
      </c>
      <c r="R19" s="33" t="s">
        <v>2261</v>
      </c>
      <c r="S19" s="33"/>
      <c r="T19" s="33"/>
      <c r="U19" s="33"/>
      <c r="V19" s="33"/>
      <c r="W19" s="33"/>
      <c r="X19" s="33"/>
      <c r="Y19" s="33"/>
      <c r="Z19" s="33"/>
      <c r="AA19" s="33"/>
    </row>
    <row r="20" spans="1:27" ht="30" outlineLevel="1">
      <c r="A20" s="32" t="s">
        <v>2270</v>
      </c>
      <c r="B20" s="32" t="s">
        <v>32</v>
      </c>
      <c r="C20" s="32" t="s">
        <v>2271</v>
      </c>
      <c r="D20" s="33" t="s">
        <v>2110</v>
      </c>
      <c r="E20" s="33" t="s">
        <v>2272</v>
      </c>
      <c r="F20" s="33" t="s">
        <v>2273</v>
      </c>
      <c r="G20" s="33" t="s">
        <v>2254</v>
      </c>
      <c r="H20" s="33" t="s">
        <v>2255</v>
      </c>
      <c r="I20" s="33" t="s">
        <v>2274</v>
      </c>
      <c r="J20" s="33"/>
      <c r="K20" s="33" t="s">
        <v>2267</v>
      </c>
      <c r="L20" s="33" t="s">
        <v>2275</v>
      </c>
      <c r="M20" s="33" t="s">
        <v>2276</v>
      </c>
      <c r="N20" s="33" t="s">
        <v>2084</v>
      </c>
      <c r="O20" s="33"/>
      <c r="P20" s="33" t="s">
        <v>33</v>
      </c>
      <c r="Q20" s="33" t="s">
        <v>2260</v>
      </c>
      <c r="R20" s="33" t="s">
        <v>2261</v>
      </c>
      <c r="S20" s="33"/>
      <c r="T20" s="33"/>
      <c r="U20" s="33"/>
      <c r="V20" s="33"/>
      <c r="W20" s="33"/>
      <c r="X20" s="33"/>
      <c r="Y20" s="33"/>
      <c r="Z20" s="33"/>
      <c r="AA20" s="33"/>
    </row>
    <row r="21" spans="1:27" ht="30" outlineLevel="1">
      <c r="A21" s="32" t="s">
        <v>2277</v>
      </c>
      <c r="B21" s="32" t="s">
        <v>32</v>
      </c>
      <c r="C21" s="32" t="s">
        <v>2278</v>
      </c>
      <c r="D21" s="33" t="s">
        <v>2110</v>
      </c>
      <c r="E21" s="33" t="s">
        <v>2279</v>
      </c>
      <c r="F21" s="33" t="s">
        <v>2273</v>
      </c>
      <c r="G21" s="33" t="s">
        <v>2254</v>
      </c>
      <c r="H21" s="33" t="s">
        <v>2255</v>
      </c>
      <c r="I21" s="33" t="s">
        <v>2274</v>
      </c>
      <c r="J21" s="33"/>
      <c r="K21" s="33" t="s">
        <v>2267</v>
      </c>
      <c r="L21" s="33" t="s">
        <v>2280</v>
      </c>
      <c r="M21" s="33" t="s">
        <v>2281</v>
      </c>
      <c r="N21" s="33" t="s">
        <v>2084</v>
      </c>
      <c r="O21" s="33"/>
      <c r="P21" s="33" t="s">
        <v>33</v>
      </c>
      <c r="Q21" s="33" t="s">
        <v>2260</v>
      </c>
      <c r="R21" s="33" t="s">
        <v>2261</v>
      </c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30" outlineLevel="1">
      <c r="A22" s="32" t="s">
        <v>2282</v>
      </c>
      <c r="B22" s="32" t="s">
        <v>32</v>
      </c>
      <c r="C22" s="32" t="s">
        <v>2283</v>
      </c>
      <c r="D22" s="33" t="s">
        <v>2209</v>
      </c>
      <c r="E22" s="33" t="s">
        <v>2284</v>
      </c>
      <c r="F22" s="33" t="s">
        <v>2285</v>
      </c>
      <c r="G22" s="33" t="s">
        <v>2254</v>
      </c>
      <c r="H22" s="33" t="s">
        <v>2255</v>
      </c>
      <c r="I22" s="33" t="s">
        <v>2286</v>
      </c>
      <c r="J22" s="33"/>
      <c r="K22" s="33"/>
      <c r="L22" s="33"/>
      <c r="M22" s="33" t="s">
        <v>2287</v>
      </c>
      <c r="N22" s="33" t="s">
        <v>2084</v>
      </c>
      <c r="O22" s="33"/>
      <c r="P22" s="33" t="s">
        <v>33</v>
      </c>
      <c r="Q22" s="33" t="s">
        <v>2260</v>
      </c>
      <c r="R22" s="33" t="s">
        <v>2261</v>
      </c>
      <c r="S22" s="33"/>
      <c r="T22" s="33"/>
      <c r="U22" s="33"/>
      <c r="V22" s="33"/>
      <c r="W22" s="33"/>
      <c r="X22" s="33"/>
      <c r="Y22" s="33"/>
      <c r="Z22" s="33"/>
      <c r="AA22" s="33"/>
    </row>
    <row r="23" spans="1:27" ht="30" outlineLevel="1">
      <c r="A23" s="32" t="s">
        <v>2288</v>
      </c>
      <c r="B23" s="32" t="s">
        <v>32</v>
      </c>
      <c r="C23" s="32" t="s">
        <v>2289</v>
      </c>
      <c r="D23" s="33" t="s">
        <v>2290</v>
      </c>
      <c r="E23" s="33" t="s">
        <v>2291</v>
      </c>
      <c r="F23" s="33" t="s">
        <v>2292</v>
      </c>
      <c r="G23" s="33" t="s">
        <v>2254</v>
      </c>
      <c r="H23" s="33" t="s">
        <v>2255</v>
      </c>
      <c r="I23" s="33" t="s">
        <v>2293</v>
      </c>
      <c r="J23" s="33"/>
      <c r="K23" s="33"/>
      <c r="L23" s="33"/>
      <c r="M23" s="33" t="s">
        <v>2294</v>
      </c>
      <c r="N23" s="33" t="s">
        <v>2084</v>
      </c>
      <c r="O23" s="33"/>
      <c r="P23" s="33" t="s">
        <v>33</v>
      </c>
      <c r="Q23" s="33" t="s">
        <v>2260</v>
      </c>
      <c r="R23" s="33" t="s">
        <v>2261</v>
      </c>
      <c r="S23" s="33"/>
      <c r="T23" s="33"/>
      <c r="U23" s="33"/>
      <c r="V23" s="33"/>
      <c r="W23" s="33"/>
      <c r="X23" s="33"/>
      <c r="Y23" s="33"/>
      <c r="Z23" s="33"/>
      <c r="AA23" s="33"/>
    </row>
    <row r="24" spans="1:27" ht="30" outlineLevel="1">
      <c r="A24" s="32" t="s">
        <v>2295</v>
      </c>
      <c r="B24" s="32" t="s">
        <v>32</v>
      </c>
      <c r="C24" s="32" t="s">
        <v>2296</v>
      </c>
      <c r="D24" s="33" t="s">
        <v>2125</v>
      </c>
      <c r="E24" s="33" t="s">
        <v>2297</v>
      </c>
      <c r="F24" s="33" t="s">
        <v>2298</v>
      </c>
      <c r="G24" s="33" t="s">
        <v>2254</v>
      </c>
      <c r="H24" s="33" t="s">
        <v>2255</v>
      </c>
      <c r="I24" s="33" t="s">
        <v>2299</v>
      </c>
      <c r="J24" s="33"/>
      <c r="K24" s="33"/>
      <c r="L24" s="33"/>
      <c r="M24" s="33" t="s">
        <v>2300</v>
      </c>
      <c r="N24" s="33" t="s">
        <v>2084</v>
      </c>
      <c r="O24" s="33"/>
      <c r="P24" s="33" t="s">
        <v>33</v>
      </c>
      <c r="Q24" s="33" t="s">
        <v>2260</v>
      </c>
      <c r="R24" s="33" t="s">
        <v>2261</v>
      </c>
      <c r="S24" s="33"/>
      <c r="T24" s="33"/>
      <c r="U24" s="33"/>
      <c r="V24" s="33"/>
      <c r="W24" s="33"/>
      <c r="X24" s="33"/>
      <c r="Y24" s="33"/>
      <c r="Z24" s="33"/>
      <c r="AA24" s="33"/>
    </row>
    <row r="25" spans="1:27" outlineLevel="1">
      <c r="A25" s="32" t="s">
        <v>2301</v>
      </c>
      <c r="B25" s="32" t="s">
        <v>32</v>
      </c>
      <c r="C25" s="32" t="s">
        <v>2302</v>
      </c>
      <c r="D25" s="33" t="s">
        <v>2125</v>
      </c>
      <c r="E25" s="33" t="s">
        <v>2303</v>
      </c>
      <c r="F25" s="33" t="s">
        <v>2304</v>
      </c>
      <c r="G25" s="33" t="s">
        <v>2305</v>
      </c>
      <c r="H25" s="33"/>
      <c r="I25" s="33" t="s">
        <v>2306</v>
      </c>
      <c r="J25" s="33"/>
      <c r="K25" s="33"/>
      <c r="L25" s="33"/>
      <c r="M25" s="33" t="s">
        <v>2307</v>
      </c>
      <c r="N25" s="33" t="s">
        <v>2084</v>
      </c>
      <c r="O25" s="33"/>
      <c r="P25" s="33" t="s">
        <v>33</v>
      </c>
      <c r="Q25" s="33" t="s">
        <v>44</v>
      </c>
      <c r="R25" s="33" t="str">
        <f>IFERROR(VLOOKUP(H25,API명세서!A:D,4,FALSE()),"")</f>
        <v/>
      </c>
      <c r="S25" s="33"/>
      <c r="T25" s="33"/>
      <c r="U25" s="33"/>
      <c r="V25" s="33"/>
      <c r="W25" s="33"/>
      <c r="X25" s="33"/>
      <c r="Y25" s="33"/>
      <c r="Z25" s="33"/>
      <c r="AA25" s="33"/>
    </row>
    <row r="26" spans="1:27">
      <c r="A26" s="2" t="s">
        <v>2308</v>
      </c>
      <c r="B26" s="2" t="s">
        <v>2309</v>
      </c>
      <c r="C26" s="2" t="s">
        <v>2310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1"/>
      <c r="U26" s="31"/>
      <c r="V26" s="31"/>
      <c r="W26" s="31"/>
      <c r="X26" s="31"/>
      <c r="Y26" s="31"/>
      <c r="Z26" s="31"/>
      <c r="AA26" s="31"/>
    </row>
    <row r="27" spans="1:27" ht="30" outlineLevel="1">
      <c r="A27" s="32" t="s">
        <v>2311</v>
      </c>
      <c r="B27" s="32" t="s">
        <v>38</v>
      </c>
      <c r="C27" s="32" t="s">
        <v>2312</v>
      </c>
      <c r="D27" s="33" t="s">
        <v>2158</v>
      </c>
      <c r="E27" s="33" t="s">
        <v>2313</v>
      </c>
      <c r="F27" s="33" t="s">
        <v>2314</v>
      </c>
      <c r="G27" s="33" t="s">
        <v>2315</v>
      </c>
      <c r="H27" s="33" t="s">
        <v>2316</v>
      </c>
      <c r="I27" s="33" t="s">
        <v>2317</v>
      </c>
      <c r="J27" s="33"/>
      <c r="K27" s="33"/>
      <c r="L27" s="33"/>
      <c r="M27" s="33" t="s">
        <v>2318</v>
      </c>
      <c r="N27" s="33" t="s">
        <v>2084</v>
      </c>
      <c r="O27" s="33"/>
      <c r="P27" s="33" t="s">
        <v>39</v>
      </c>
      <c r="Q27" s="33" t="s">
        <v>2319</v>
      </c>
      <c r="R27" s="33" t="s">
        <v>2320</v>
      </c>
      <c r="S27" s="33"/>
      <c r="T27" s="33"/>
      <c r="U27" s="33"/>
      <c r="V27" s="33"/>
      <c r="W27" s="33"/>
      <c r="X27" s="33"/>
      <c r="Y27" s="33"/>
      <c r="Z27" s="33"/>
      <c r="AA27" s="33"/>
    </row>
    <row r="28" spans="1:27" outlineLevel="1">
      <c r="A28" s="32" t="s">
        <v>2321</v>
      </c>
      <c r="B28" s="32" t="s">
        <v>38</v>
      </c>
      <c r="C28" s="32" t="s">
        <v>2322</v>
      </c>
      <c r="D28" s="33" t="s">
        <v>2323</v>
      </c>
      <c r="E28" s="33" t="s">
        <v>2324</v>
      </c>
      <c r="F28" s="33" t="s">
        <v>2325</v>
      </c>
      <c r="G28" s="33" t="s">
        <v>2315</v>
      </c>
      <c r="H28" s="33" t="s">
        <v>2316</v>
      </c>
      <c r="I28" s="33" t="s">
        <v>2326</v>
      </c>
      <c r="J28" s="33"/>
      <c r="K28" s="33"/>
      <c r="L28" s="33"/>
      <c r="M28" s="33" t="s">
        <v>2327</v>
      </c>
      <c r="N28" s="33" t="s">
        <v>2084</v>
      </c>
      <c r="O28" s="33"/>
      <c r="P28" s="33" t="s">
        <v>39</v>
      </c>
      <c r="Q28" s="33" t="s">
        <v>2319</v>
      </c>
      <c r="R28" s="33" t="s">
        <v>2320</v>
      </c>
      <c r="S28" s="33"/>
      <c r="T28" s="33"/>
      <c r="U28" s="33"/>
      <c r="V28" s="33"/>
      <c r="W28" s="33"/>
      <c r="X28" s="33"/>
      <c r="Y28" s="33"/>
      <c r="Z28" s="33"/>
      <c r="AA28" s="33"/>
    </row>
    <row r="29" spans="1:27" ht="30" outlineLevel="1">
      <c r="A29" s="32" t="s">
        <v>2328</v>
      </c>
      <c r="B29" s="32" t="s">
        <v>38</v>
      </c>
      <c r="C29" s="32" t="s">
        <v>2329</v>
      </c>
      <c r="D29" s="33" t="s">
        <v>2323</v>
      </c>
      <c r="E29" s="33" t="s">
        <v>2330</v>
      </c>
      <c r="F29" s="33" t="s">
        <v>2331</v>
      </c>
      <c r="G29" s="33" t="s">
        <v>2315</v>
      </c>
      <c r="H29" s="33" t="s">
        <v>2332</v>
      </c>
      <c r="I29" s="33" t="s">
        <v>2333</v>
      </c>
      <c r="J29" s="33"/>
      <c r="K29" s="33"/>
      <c r="L29" s="33"/>
      <c r="M29" s="33" t="s">
        <v>2334</v>
      </c>
      <c r="N29" s="33" t="s">
        <v>2084</v>
      </c>
      <c r="O29" s="33"/>
      <c r="P29" s="33" t="s">
        <v>39</v>
      </c>
      <c r="Q29" s="33" t="s">
        <v>2319</v>
      </c>
      <c r="R29" s="33" t="s">
        <v>2335</v>
      </c>
      <c r="S29" s="33"/>
      <c r="T29" s="33"/>
      <c r="U29" s="33"/>
      <c r="V29" s="33"/>
      <c r="W29" s="33"/>
      <c r="X29" s="33"/>
      <c r="Y29" s="33"/>
      <c r="Z29" s="33"/>
      <c r="AA29" s="33"/>
    </row>
    <row r="30" spans="1:27" outlineLevel="1">
      <c r="A30" s="32" t="s">
        <v>2336</v>
      </c>
      <c r="B30" s="32" t="s">
        <v>38</v>
      </c>
      <c r="C30" s="32" t="s">
        <v>2337</v>
      </c>
      <c r="D30" s="33" t="s">
        <v>2323</v>
      </c>
      <c r="E30" s="33" t="s">
        <v>2338</v>
      </c>
      <c r="F30" s="33" t="s">
        <v>2339</v>
      </c>
      <c r="G30" s="33" t="s">
        <v>2315</v>
      </c>
      <c r="H30" s="33" t="s">
        <v>2340</v>
      </c>
      <c r="I30" s="33" t="s">
        <v>2341</v>
      </c>
      <c r="J30" s="33"/>
      <c r="K30" s="33"/>
      <c r="L30" s="33"/>
      <c r="M30" s="33" t="s">
        <v>2342</v>
      </c>
      <c r="N30" s="33" t="s">
        <v>2084</v>
      </c>
      <c r="O30" s="33"/>
      <c r="P30" s="33" t="s">
        <v>39</v>
      </c>
      <c r="Q30" s="33" t="s">
        <v>2319</v>
      </c>
      <c r="R30" s="33" t="s">
        <v>2343</v>
      </c>
      <c r="S30" s="33"/>
      <c r="T30" s="33"/>
      <c r="U30" s="33"/>
      <c r="V30" s="33"/>
      <c r="W30" s="33"/>
      <c r="X30" s="33"/>
      <c r="Y30" s="33"/>
      <c r="Z30" s="33"/>
      <c r="AA30" s="33"/>
    </row>
    <row r="31" spans="1:27" outlineLevel="1">
      <c r="A31" s="32" t="s">
        <v>2344</v>
      </c>
      <c r="B31" s="32" t="s">
        <v>38</v>
      </c>
      <c r="C31" s="32" t="s">
        <v>2345</v>
      </c>
      <c r="D31" s="33" t="s">
        <v>2323</v>
      </c>
      <c r="E31" s="33" t="s">
        <v>2346</v>
      </c>
      <c r="F31" s="33" t="s">
        <v>2347</v>
      </c>
      <c r="G31" s="33" t="s">
        <v>2348</v>
      </c>
      <c r="H31" s="33" t="s">
        <v>2316</v>
      </c>
      <c r="I31" s="33" t="s">
        <v>2349</v>
      </c>
      <c r="J31" s="33"/>
      <c r="K31" s="33"/>
      <c r="L31" s="33"/>
      <c r="M31" s="33" t="s">
        <v>2350</v>
      </c>
      <c r="N31" s="33" t="s">
        <v>2084</v>
      </c>
      <c r="O31" s="33"/>
      <c r="P31" s="33" t="s">
        <v>39</v>
      </c>
      <c r="Q31" s="33" t="s">
        <v>2351</v>
      </c>
      <c r="R31" s="33" t="s">
        <v>2320</v>
      </c>
      <c r="S31" s="33"/>
      <c r="T31" s="33"/>
      <c r="U31" s="33"/>
      <c r="V31" s="33"/>
      <c r="W31" s="33"/>
      <c r="X31" s="33"/>
      <c r="Y31" s="33"/>
      <c r="Z31" s="33"/>
      <c r="AA31" s="33"/>
    </row>
    <row r="32" spans="1:27" outlineLevel="1">
      <c r="A32" s="32" t="s">
        <v>2352</v>
      </c>
      <c r="B32" s="32" t="s">
        <v>38</v>
      </c>
      <c r="C32" s="32" t="s">
        <v>2353</v>
      </c>
      <c r="D32" s="33" t="s">
        <v>2323</v>
      </c>
      <c r="E32" s="33" t="s">
        <v>2354</v>
      </c>
      <c r="F32" s="33" t="s">
        <v>2355</v>
      </c>
      <c r="G32" s="33" t="s">
        <v>2315</v>
      </c>
      <c r="H32" s="33" t="s">
        <v>2316</v>
      </c>
      <c r="I32" s="33" t="s">
        <v>2356</v>
      </c>
      <c r="J32" s="33"/>
      <c r="K32" s="33"/>
      <c r="L32" s="33"/>
      <c r="M32" s="33" t="s">
        <v>2357</v>
      </c>
      <c r="N32" s="33" t="s">
        <v>2084</v>
      </c>
      <c r="O32" s="33"/>
      <c r="P32" s="33" t="s">
        <v>39</v>
      </c>
      <c r="Q32" s="33" t="s">
        <v>2319</v>
      </c>
      <c r="R32" s="33" t="s">
        <v>2320</v>
      </c>
      <c r="S32" s="33"/>
      <c r="T32" s="33"/>
      <c r="U32" s="33"/>
      <c r="V32" s="33"/>
      <c r="W32" s="33"/>
      <c r="X32" s="33"/>
      <c r="Y32" s="33"/>
      <c r="Z32" s="33"/>
      <c r="AA32" s="33"/>
    </row>
    <row r="33" spans="1:27">
      <c r="A33" s="2" t="s">
        <v>2358</v>
      </c>
      <c r="B33" s="2" t="s">
        <v>2359</v>
      </c>
      <c r="C33" s="2" t="s">
        <v>2360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1"/>
      <c r="U33" s="31"/>
      <c r="V33" s="31"/>
      <c r="W33" s="31"/>
      <c r="X33" s="31"/>
      <c r="Y33" s="31"/>
      <c r="Z33" s="31"/>
      <c r="AA33" s="31"/>
    </row>
    <row r="34" spans="1:27" outlineLevel="1">
      <c r="A34" s="32" t="s">
        <v>2361</v>
      </c>
      <c r="B34" s="32" t="s">
        <v>43</v>
      </c>
      <c r="C34" s="32" t="s">
        <v>2362</v>
      </c>
      <c r="D34" s="33" t="s">
        <v>2075</v>
      </c>
      <c r="E34" s="33" t="s">
        <v>2363</v>
      </c>
      <c r="F34" s="33" t="s">
        <v>2364</v>
      </c>
      <c r="G34" s="33" t="s">
        <v>2305</v>
      </c>
      <c r="H34" s="33" t="s">
        <v>2365</v>
      </c>
      <c r="I34" s="33" t="s">
        <v>2366</v>
      </c>
      <c r="J34" s="33"/>
      <c r="K34" s="33" t="s">
        <v>2367</v>
      </c>
      <c r="L34" s="33" t="s">
        <v>2368</v>
      </c>
      <c r="M34" s="33" t="s">
        <v>2369</v>
      </c>
      <c r="N34" s="33" t="s">
        <v>2084</v>
      </c>
      <c r="O34" s="33"/>
      <c r="P34" s="33" t="s">
        <v>44</v>
      </c>
      <c r="Q34" s="33" t="s">
        <v>44</v>
      </c>
      <c r="R34" s="33" t="s">
        <v>2261</v>
      </c>
      <c r="S34" s="33"/>
      <c r="T34" s="33"/>
      <c r="U34" s="33"/>
      <c r="V34" s="33"/>
      <c r="W34" s="33"/>
      <c r="X34" s="33"/>
      <c r="Y34" s="33"/>
      <c r="Z34" s="33"/>
      <c r="AA34" s="33"/>
    </row>
    <row r="35" spans="1:27" outlineLevel="1">
      <c r="A35" s="32" t="s">
        <v>2370</v>
      </c>
      <c r="B35" s="32" t="s">
        <v>43</v>
      </c>
      <c r="C35" s="32" t="s">
        <v>2371</v>
      </c>
      <c r="D35" s="33" t="s">
        <v>2372</v>
      </c>
      <c r="E35" s="33" t="s">
        <v>2373</v>
      </c>
      <c r="F35" s="33" t="s">
        <v>2374</v>
      </c>
      <c r="G35" s="33" t="s">
        <v>2305</v>
      </c>
      <c r="H35" s="33" t="s">
        <v>2365</v>
      </c>
      <c r="I35" s="33" t="s">
        <v>2375</v>
      </c>
      <c r="J35" s="33"/>
      <c r="K35" s="33" t="s">
        <v>2114</v>
      </c>
      <c r="L35" s="33" t="s">
        <v>2376</v>
      </c>
      <c r="M35" s="33" t="s">
        <v>2377</v>
      </c>
      <c r="N35" s="33" t="s">
        <v>2084</v>
      </c>
      <c r="O35" s="33"/>
      <c r="P35" s="33" t="s">
        <v>44</v>
      </c>
      <c r="Q35" s="33" t="s">
        <v>44</v>
      </c>
      <c r="R35" s="33" t="s">
        <v>2261</v>
      </c>
      <c r="S35" s="33"/>
      <c r="T35" s="33"/>
      <c r="U35" s="33"/>
      <c r="V35" s="33"/>
      <c r="W35" s="33"/>
      <c r="X35" s="33"/>
      <c r="Y35" s="33"/>
      <c r="Z35" s="33"/>
      <c r="AA35" s="33"/>
    </row>
    <row r="36" spans="1:27" outlineLevel="1">
      <c r="A36" s="32" t="s">
        <v>2378</v>
      </c>
      <c r="B36" s="32" t="s">
        <v>43</v>
      </c>
      <c r="C36" s="32" t="s">
        <v>2379</v>
      </c>
      <c r="D36" s="33" t="s">
        <v>2075</v>
      </c>
      <c r="E36" s="33" t="s">
        <v>2380</v>
      </c>
      <c r="F36" s="33" t="s">
        <v>2381</v>
      </c>
      <c r="G36" s="33" t="s">
        <v>2305</v>
      </c>
      <c r="H36" s="33" t="s">
        <v>2365</v>
      </c>
      <c r="I36" s="33" t="s">
        <v>2382</v>
      </c>
      <c r="J36" s="33"/>
      <c r="K36" s="33" t="s">
        <v>2383</v>
      </c>
      <c r="L36" s="33" t="s">
        <v>2384</v>
      </c>
      <c r="M36" s="33" t="s">
        <v>2385</v>
      </c>
      <c r="N36" s="33" t="s">
        <v>2084</v>
      </c>
      <c r="O36" s="33"/>
      <c r="P36" s="33" t="s">
        <v>44</v>
      </c>
      <c r="Q36" s="33" t="s">
        <v>44</v>
      </c>
      <c r="R36" s="33" t="s">
        <v>2261</v>
      </c>
      <c r="S36" s="33"/>
      <c r="T36" s="33"/>
      <c r="U36" s="33"/>
      <c r="V36" s="33"/>
      <c r="W36" s="33"/>
      <c r="X36" s="33"/>
      <c r="Y36" s="33"/>
      <c r="Z36" s="33"/>
      <c r="AA36" s="33"/>
    </row>
    <row r="37" spans="1:27" ht="30" outlineLevel="1">
      <c r="A37" s="32" t="s">
        <v>2386</v>
      </c>
      <c r="B37" s="32" t="s">
        <v>43</v>
      </c>
      <c r="C37" s="32" t="s">
        <v>2387</v>
      </c>
      <c r="D37" s="33" t="s">
        <v>2075</v>
      </c>
      <c r="E37" s="33" t="s">
        <v>2388</v>
      </c>
      <c r="F37" s="33" t="s">
        <v>2389</v>
      </c>
      <c r="G37" s="33" t="s">
        <v>2305</v>
      </c>
      <c r="H37" s="33" t="s">
        <v>2365</v>
      </c>
      <c r="I37" s="33" t="s">
        <v>2390</v>
      </c>
      <c r="J37" s="33"/>
      <c r="K37" s="33" t="s">
        <v>2391</v>
      </c>
      <c r="L37" s="33" t="s">
        <v>2392</v>
      </c>
      <c r="M37" s="33" t="s">
        <v>2393</v>
      </c>
      <c r="N37" s="33" t="s">
        <v>2084</v>
      </c>
      <c r="O37" s="33"/>
      <c r="P37" s="33" t="s">
        <v>44</v>
      </c>
      <c r="Q37" s="33" t="s">
        <v>44</v>
      </c>
      <c r="R37" s="33" t="s">
        <v>2261</v>
      </c>
      <c r="S37" s="33"/>
      <c r="T37" s="33"/>
      <c r="U37" s="33"/>
      <c r="V37" s="33"/>
      <c r="W37" s="33"/>
      <c r="X37" s="33"/>
      <c r="Y37" s="33"/>
      <c r="Z37" s="33"/>
      <c r="AA37" s="33"/>
    </row>
    <row r="38" spans="1:27" outlineLevel="1">
      <c r="A38" s="32" t="s">
        <v>2394</v>
      </c>
      <c r="B38" s="32" t="s">
        <v>43</v>
      </c>
      <c r="C38" s="32" t="s">
        <v>2074</v>
      </c>
      <c r="D38" s="33" t="s">
        <v>2075</v>
      </c>
      <c r="E38" s="33" t="s">
        <v>2395</v>
      </c>
      <c r="F38" s="33" t="s">
        <v>2396</v>
      </c>
      <c r="G38" s="33" t="s">
        <v>2305</v>
      </c>
      <c r="H38" s="33" t="s">
        <v>2365</v>
      </c>
      <c r="I38" s="33" t="s">
        <v>2397</v>
      </c>
      <c r="J38" s="33"/>
      <c r="K38" s="33" t="s">
        <v>2398</v>
      </c>
      <c r="L38" s="33" t="s">
        <v>2399</v>
      </c>
      <c r="M38" s="33" t="s">
        <v>2083</v>
      </c>
      <c r="N38" s="33" t="s">
        <v>2084</v>
      </c>
      <c r="O38" s="33"/>
      <c r="P38" s="33" t="s">
        <v>44</v>
      </c>
      <c r="Q38" s="33" t="s">
        <v>44</v>
      </c>
      <c r="R38" s="33" t="s">
        <v>2261</v>
      </c>
      <c r="S38" s="33"/>
      <c r="T38" s="33"/>
      <c r="U38" s="33"/>
      <c r="V38" s="33"/>
      <c r="W38" s="33"/>
      <c r="X38" s="33"/>
      <c r="Y38" s="33"/>
      <c r="Z38" s="33"/>
      <c r="AA38" s="33"/>
    </row>
    <row r="39" spans="1:27" outlineLevel="1">
      <c r="A39" s="32" t="s">
        <v>2400</v>
      </c>
      <c r="B39" s="32" t="s">
        <v>43</v>
      </c>
      <c r="C39" s="32" t="s">
        <v>2401</v>
      </c>
      <c r="D39" s="33" t="s">
        <v>2075</v>
      </c>
      <c r="E39" s="33" t="s">
        <v>2402</v>
      </c>
      <c r="F39" s="33" t="s">
        <v>2403</v>
      </c>
      <c r="G39" s="33" t="s">
        <v>2305</v>
      </c>
      <c r="H39" s="33" t="s">
        <v>2365</v>
      </c>
      <c r="I39" s="33" t="s">
        <v>2404</v>
      </c>
      <c r="J39" s="33"/>
      <c r="K39" s="33" t="s">
        <v>2405</v>
      </c>
      <c r="L39" s="33" t="s">
        <v>2406</v>
      </c>
      <c r="M39" s="33" t="s">
        <v>2407</v>
      </c>
      <c r="N39" s="33" t="s">
        <v>2084</v>
      </c>
      <c r="O39" s="33"/>
      <c r="P39" s="33" t="s">
        <v>44</v>
      </c>
      <c r="Q39" s="33" t="s">
        <v>44</v>
      </c>
      <c r="R39" s="33" t="s">
        <v>2261</v>
      </c>
      <c r="S39" s="33"/>
      <c r="T39" s="33"/>
      <c r="U39" s="33"/>
      <c r="V39" s="33"/>
      <c r="W39" s="33"/>
      <c r="X39" s="33"/>
      <c r="Y39" s="33"/>
      <c r="Z39" s="33"/>
      <c r="AA39" s="33"/>
    </row>
    <row r="40" spans="1:27" outlineLevel="1">
      <c r="A40" s="32" t="s">
        <v>2408</v>
      </c>
      <c r="B40" s="32" t="s">
        <v>43</v>
      </c>
      <c r="C40" s="32" t="s">
        <v>2409</v>
      </c>
      <c r="D40" s="33" t="s">
        <v>2410</v>
      </c>
      <c r="E40" s="33" t="s">
        <v>2411</v>
      </c>
      <c r="F40" s="33" t="s">
        <v>2412</v>
      </c>
      <c r="G40" s="33" t="s">
        <v>2305</v>
      </c>
      <c r="H40" s="33" t="s">
        <v>2365</v>
      </c>
      <c r="I40" s="33" t="s">
        <v>2413</v>
      </c>
      <c r="J40" s="33"/>
      <c r="K40" s="33" t="s">
        <v>2414</v>
      </c>
      <c r="L40" s="33" t="s">
        <v>2415</v>
      </c>
      <c r="M40" s="33" t="s">
        <v>2416</v>
      </c>
      <c r="N40" s="33" t="s">
        <v>2084</v>
      </c>
      <c r="O40" s="33"/>
      <c r="P40" s="33" t="s">
        <v>44</v>
      </c>
      <c r="Q40" s="33" t="s">
        <v>44</v>
      </c>
      <c r="R40" s="33" t="s">
        <v>2261</v>
      </c>
      <c r="S40" s="33"/>
      <c r="T40" s="33"/>
      <c r="U40" s="33"/>
      <c r="V40" s="33"/>
      <c r="W40" s="33"/>
      <c r="X40" s="33"/>
      <c r="Y40" s="33"/>
      <c r="Z40" s="33"/>
      <c r="AA40" s="33"/>
    </row>
    <row r="41" spans="1:27" ht="30" outlineLevel="1">
      <c r="A41" s="32" t="s">
        <v>2417</v>
      </c>
      <c r="B41" s="32" t="s">
        <v>43</v>
      </c>
      <c r="C41" s="32" t="s">
        <v>2418</v>
      </c>
      <c r="D41" s="33" t="s">
        <v>2110</v>
      </c>
      <c r="E41" s="33" t="s">
        <v>2419</v>
      </c>
      <c r="F41" s="33" t="s">
        <v>2420</v>
      </c>
      <c r="G41" s="33" t="s">
        <v>2305</v>
      </c>
      <c r="H41" s="33" t="s">
        <v>2365</v>
      </c>
      <c r="I41" s="33" t="s">
        <v>2274</v>
      </c>
      <c r="J41" s="33"/>
      <c r="K41" s="33" t="s">
        <v>2267</v>
      </c>
      <c r="L41" s="33" t="s">
        <v>2421</v>
      </c>
      <c r="M41" s="33" t="s">
        <v>2422</v>
      </c>
      <c r="N41" s="33" t="s">
        <v>2084</v>
      </c>
      <c r="O41" s="33"/>
      <c r="P41" s="33" t="s">
        <v>44</v>
      </c>
      <c r="Q41" s="33" t="s">
        <v>44</v>
      </c>
      <c r="R41" s="33" t="s">
        <v>2261</v>
      </c>
      <c r="S41" s="33"/>
      <c r="T41" s="33"/>
      <c r="U41" s="33"/>
      <c r="V41" s="33"/>
      <c r="W41" s="33"/>
      <c r="X41" s="33"/>
      <c r="Y41" s="33"/>
      <c r="Z41" s="33"/>
      <c r="AA41" s="33"/>
    </row>
    <row r="42" spans="1:27" ht="30" outlineLevel="1">
      <c r="A42" s="32" t="s">
        <v>2423</v>
      </c>
      <c r="B42" s="32" t="s">
        <v>43</v>
      </c>
      <c r="C42" s="32" t="s">
        <v>2424</v>
      </c>
      <c r="D42" s="33" t="s">
        <v>2125</v>
      </c>
      <c r="E42" s="33" t="s">
        <v>2425</v>
      </c>
      <c r="F42" s="33" t="s">
        <v>2426</v>
      </c>
      <c r="G42" s="33" t="s">
        <v>2305</v>
      </c>
      <c r="H42" s="33" t="s">
        <v>2365</v>
      </c>
      <c r="I42" s="33" t="s">
        <v>2427</v>
      </c>
      <c r="J42" s="33"/>
      <c r="K42" s="33" t="s">
        <v>2428</v>
      </c>
      <c r="L42" s="33" t="s">
        <v>2429</v>
      </c>
      <c r="M42" s="33" t="s">
        <v>2430</v>
      </c>
      <c r="N42" s="33" t="s">
        <v>2084</v>
      </c>
      <c r="O42" s="33"/>
      <c r="P42" s="33" t="s">
        <v>44</v>
      </c>
      <c r="Q42" s="33" t="s">
        <v>44</v>
      </c>
      <c r="R42" s="33" t="s">
        <v>2261</v>
      </c>
      <c r="S42" s="33"/>
      <c r="T42" s="33"/>
      <c r="U42" s="33"/>
      <c r="V42" s="33"/>
      <c r="W42" s="33"/>
      <c r="X42" s="33"/>
      <c r="Y42" s="33"/>
      <c r="Z42" s="33"/>
      <c r="AA42" s="33"/>
    </row>
    <row r="43" spans="1:27" outlineLevel="1">
      <c r="A43" s="32" t="s">
        <v>2431</v>
      </c>
      <c r="B43" s="32" t="s">
        <v>43</v>
      </c>
      <c r="C43" s="32" t="s">
        <v>2432</v>
      </c>
      <c r="D43" s="33" t="s">
        <v>2125</v>
      </c>
      <c r="E43" s="33" t="s">
        <v>2433</v>
      </c>
      <c r="F43" s="33" t="s">
        <v>2434</v>
      </c>
      <c r="G43" s="33"/>
      <c r="H43" s="33"/>
      <c r="I43" s="33" t="s">
        <v>2435</v>
      </c>
      <c r="J43" s="33"/>
      <c r="K43" s="33"/>
      <c r="L43" s="33"/>
      <c r="M43" s="33" t="s">
        <v>2436</v>
      </c>
      <c r="N43" s="33" t="s">
        <v>2084</v>
      </c>
      <c r="O43" s="33"/>
      <c r="P43" s="33" t="s">
        <v>44</v>
      </c>
      <c r="Q43" s="33" t="str">
        <f>IFERROR(VLOOKUP(G43,기능명세서!A:B,2,FALSE()),"")</f>
        <v/>
      </c>
      <c r="R43" s="33" t="str">
        <f>IFERROR(VLOOKUP(H43,API명세서!A:D,4,FALSE()),"")</f>
        <v/>
      </c>
      <c r="S43" s="33"/>
      <c r="T43" s="33"/>
      <c r="U43" s="33"/>
      <c r="V43" s="33"/>
      <c r="W43" s="33"/>
      <c r="X43" s="33"/>
      <c r="Y43" s="33"/>
      <c r="Z43" s="33"/>
      <c r="AA43" s="33"/>
    </row>
    <row r="44" spans="1:27">
      <c r="A44" s="2" t="s">
        <v>2437</v>
      </c>
      <c r="B44" s="2" t="s">
        <v>2438</v>
      </c>
      <c r="C44" s="2" t="s">
        <v>2439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1"/>
      <c r="U44" s="31"/>
      <c r="V44" s="31"/>
      <c r="W44" s="31"/>
      <c r="X44" s="31"/>
      <c r="Y44" s="31"/>
      <c r="Z44" s="31"/>
      <c r="AA44" s="31"/>
    </row>
    <row r="45" spans="1:27" ht="30" outlineLevel="1">
      <c r="A45" s="32" t="s">
        <v>2440</v>
      </c>
      <c r="B45" s="32" t="s">
        <v>74</v>
      </c>
      <c r="C45" s="32" t="s">
        <v>2441</v>
      </c>
      <c r="D45" s="33" t="s">
        <v>2075</v>
      </c>
      <c r="E45" s="33" t="s">
        <v>2442</v>
      </c>
      <c r="F45" s="33" t="s">
        <v>2443</v>
      </c>
      <c r="G45" s="33" t="s">
        <v>2444</v>
      </c>
      <c r="H45" s="33" t="s">
        <v>2340</v>
      </c>
      <c r="I45" s="33" t="s">
        <v>2445</v>
      </c>
      <c r="J45" s="33"/>
      <c r="K45" s="33" t="s">
        <v>2446</v>
      </c>
      <c r="L45" s="33" t="s">
        <v>2447</v>
      </c>
      <c r="M45" s="33" t="s">
        <v>2448</v>
      </c>
      <c r="N45" s="33" t="s">
        <v>2084</v>
      </c>
      <c r="O45" s="33"/>
      <c r="P45" s="33" t="s">
        <v>75</v>
      </c>
      <c r="Q45" s="33" t="s">
        <v>2449</v>
      </c>
      <c r="R45" s="33" t="s">
        <v>2343</v>
      </c>
      <c r="S45" s="33"/>
      <c r="T45" s="33"/>
      <c r="U45" s="33"/>
      <c r="V45" s="33"/>
      <c r="W45" s="33"/>
      <c r="X45" s="33"/>
      <c r="Y45" s="33"/>
      <c r="Z45" s="33"/>
      <c r="AA45" s="33"/>
    </row>
    <row r="46" spans="1:27" ht="30" outlineLevel="1">
      <c r="A46" s="32" t="s">
        <v>2450</v>
      </c>
      <c r="B46" s="32" t="s">
        <v>74</v>
      </c>
      <c r="C46" s="32" t="s">
        <v>2451</v>
      </c>
      <c r="D46" s="33" t="s">
        <v>2110</v>
      </c>
      <c r="E46" s="33" t="s">
        <v>2452</v>
      </c>
      <c r="F46" s="33" t="s">
        <v>2453</v>
      </c>
      <c r="G46" s="33" t="s">
        <v>2444</v>
      </c>
      <c r="H46" s="33" t="s">
        <v>2340</v>
      </c>
      <c r="I46" s="33" t="s">
        <v>2266</v>
      </c>
      <c r="J46" s="33"/>
      <c r="K46" s="33" t="s">
        <v>2267</v>
      </c>
      <c r="L46" s="33" t="s">
        <v>2454</v>
      </c>
      <c r="M46" s="33" t="s">
        <v>2455</v>
      </c>
      <c r="N46" s="33" t="s">
        <v>2084</v>
      </c>
      <c r="O46" s="33"/>
      <c r="P46" s="33" t="s">
        <v>75</v>
      </c>
      <c r="Q46" s="33" t="s">
        <v>2449</v>
      </c>
      <c r="R46" s="33" t="s">
        <v>2343</v>
      </c>
      <c r="S46" s="33"/>
      <c r="T46" s="33"/>
      <c r="U46" s="33"/>
      <c r="V46" s="33"/>
      <c r="W46" s="33"/>
      <c r="X46" s="33"/>
      <c r="Y46" s="33"/>
      <c r="Z46" s="33"/>
      <c r="AA46" s="33"/>
    </row>
    <row r="47" spans="1:27" outlineLevel="1">
      <c r="A47" s="32" t="s">
        <v>2456</v>
      </c>
      <c r="B47" s="32" t="s">
        <v>74</v>
      </c>
      <c r="C47" s="32" t="s">
        <v>2263</v>
      </c>
      <c r="D47" s="33" t="s">
        <v>2110</v>
      </c>
      <c r="E47" s="33" t="s">
        <v>2457</v>
      </c>
      <c r="F47" s="33" t="s">
        <v>2453</v>
      </c>
      <c r="G47" s="33" t="s">
        <v>2444</v>
      </c>
      <c r="H47" s="33" t="s">
        <v>2340</v>
      </c>
      <c r="I47" s="33" t="s">
        <v>2266</v>
      </c>
      <c r="J47" s="33"/>
      <c r="K47" s="33" t="s">
        <v>2267</v>
      </c>
      <c r="L47" s="33" t="s">
        <v>2268</v>
      </c>
      <c r="M47" s="33" t="s">
        <v>2458</v>
      </c>
      <c r="N47" s="33" t="s">
        <v>2084</v>
      </c>
      <c r="O47" s="33"/>
      <c r="P47" s="33" t="s">
        <v>75</v>
      </c>
      <c r="Q47" s="33" t="s">
        <v>2449</v>
      </c>
      <c r="R47" s="33" t="s">
        <v>2343</v>
      </c>
      <c r="S47" s="33"/>
      <c r="T47" s="33"/>
      <c r="U47" s="33"/>
      <c r="V47" s="33"/>
      <c r="W47" s="33"/>
      <c r="X47" s="33"/>
      <c r="Y47" s="33"/>
      <c r="Z47" s="33"/>
      <c r="AA47" s="33"/>
    </row>
    <row r="48" spans="1:27" outlineLevel="1">
      <c r="A48" s="32" t="s">
        <v>2459</v>
      </c>
      <c r="B48" s="32" t="s">
        <v>74</v>
      </c>
      <c r="C48" s="32" t="s">
        <v>2251</v>
      </c>
      <c r="D48" s="33" t="s">
        <v>2075</v>
      </c>
      <c r="E48" s="33" t="s">
        <v>2460</v>
      </c>
      <c r="F48" s="33" t="s">
        <v>2461</v>
      </c>
      <c r="G48" s="33" t="s">
        <v>2444</v>
      </c>
      <c r="H48" s="33" t="s">
        <v>2340</v>
      </c>
      <c r="I48" s="33" t="s">
        <v>2462</v>
      </c>
      <c r="J48" s="33"/>
      <c r="K48" s="33" t="s">
        <v>2099</v>
      </c>
      <c r="L48" s="33" t="s">
        <v>2258</v>
      </c>
      <c r="M48" s="33" t="s">
        <v>2463</v>
      </c>
      <c r="N48" s="33" t="s">
        <v>2084</v>
      </c>
      <c r="O48" s="33"/>
      <c r="P48" s="33" t="s">
        <v>75</v>
      </c>
      <c r="Q48" s="33" t="s">
        <v>2449</v>
      </c>
      <c r="R48" s="33" t="s">
        <v>2343</v>
      </c>
      <c r="S48" s="33"/>
      <c r="T48" s="33"/>
      <c r="U48" s="33"/>
      <c r="V48" s="33"/>
      <c r="W48" s="33"/>
      <c r="X48" s="33"/>
      <c r="Y48" s="33"/>
      <c r="Z48" s="33"/>
      <c r="AA48" s="33"/>
    </row>
    <row r="49" spans="1:27" outlineLevel="1">
      <c r="A49" s="32" t="s">
        <v>2464</v>
      </c>
      <c r="B49" s="32" t="s">
        <v>74</v>
      </c>
      <c r="C49" s="32" t="s">
        <v>2465</v>
      </c>
      <c r="D49" s="33" t="s">
        <v>2209</v>
      </c>
      <c r="E49" s="33" t="s">
        <v>2466</v>
      </c>
      <c r="F49" s="33" t="s">
        <v>2467</v>
      </c>
      <c r="G49" s="33" t="s">
        <v>2444</v>
      </c>
      <c r="H49" s="33" t="s">
        <v>2340</v>
      </c>
      <c r="I49" s="33" t="s">
        <v>2468</v>
      </c>
      <c r="J49" s="33"/>
      <c r="K49" s="33"/>
      <c r="L49" s="33"/>
      <c r="M49" s="33" t="s">
        <v>2469</v>
      </c>
      <c r="N49" s="33" t="s">
        <v>2084</v>
      </c>
      <c r="O49" s="33"/>
      <c r="P49" s="33" t="s">
        <v>75</v>
      </c>
      <c r="Q49" s="33" t="s">
        <v>2449</v>
      </c>
      <c r="R49" s="33" t="s">
        <v>2343</v>
      </c>
      <c r="S49" s="33"/>
      <c r="T49" s="33"/>
      <c r="U49" s="33"/>
      <c r="V49" s="33"/>
      <c r="W49" s="33"/>
      <c r="X49" s="33"/>
      <c r="Y49" s="33"/>
      <c r="Z49" s="33"/>
      <c r="AA49" s="33"/>
    </row>
    <row r="50" spans="1:27" ht="30" outlineLevel="1">
      <c r="A50" s="32" t="s">
        <v>2470</v>
      </c>
      <c r="B50" s="32" t="s">
        <v>74</v>
      </c>
      <c r="C50" s="32" t="s">
        <v>2471</v>
      </c>
      <c r="D50" s="33" t="s">
        <v>2158</v>
      </c>
      <c r="E50" s="33" t="s">
        <v>2472</v>
      </c>
      <c r="F50" s="33" t="s">
        <v>2473</v>
      </c>
      <c r="G50" s="33" t="s">
        <v>2444</v>
      </c>
      <c r="H50" s="33" t="s">
        <v>2474</v>
      </c>
      <c r="I50" s="33" t="s">
        <v>2475</v>
      </c>
      <c r="J50" s="33"/>
      <c r="K50" s="33"/>
      <c r="L50" s="33"/>
      <c r="M50" s="33" t="s">
        <v>2476</v>
      </c>
      <c r="N50" s="33" t="s">
        <v>2084</v>
      </c>
      <c r="O50" s="33"/>
      <c r="P50" s="33" t="s">
        <v>75</v>
      </c>
      <c r="Q50" s="33" t="s">
        <v>2449</v>
      </c>
      <c r="R50" s="33" t="s">
        <v>2477</v>
      </c>
      <c r="S50" s="33"/>
      <c r="T50" s="33"/>
      <c r="U50" s="33"/>
      <c r="V50" s="33"/>
      <c r="W50" s="33"/>
      <c r="X50" s="33"/>
      <c r="Y50" s="33"/>
      <c r="Z50" s="33"/>
      <c r="AA50" s="33"/>
    </row>
    <row r="51" spans="1:27" ht="30" outlineLevel="1">
      <c r="A51" s="32" t="s">
        <v>2478</v>
      </c>
      <c r="B51" s="32" t="s">
        <v>74</v>
      </c>
      <c r="C51" s="32" t="s">
        <v>2296</v>
      </c>
      <c r="D51" s="33" t="s">
        <v>2125</v>
      </c>
      <c r="E51" s="33" t="s">
        <v>2479</v>
      </c>
      <c r="F51" s="33" t="s">
        <v>2480</v>
      </c>
      <c r="G51" s="33" t="s">
        <v>2444</v>
      </c>
      <c r="H51" s="33" t="s">
        <v>2340</v>
      </c>
      <c r="I51" s="33" t="s">
        <v>2481</v>
      </c>
      <c r="J51" s="33"/>
      <c r="K51" s="33"/>
      <c r="L51" s="33"/>
      <c r="M51" s="33" t="s">
        <v>2300</v>
      </c>
      <c r="N51" s="33" t="s">
        <v>2084</v>
      </c>
      <c r="O51" s="33"/>
      <c r="P51" s="33" t="s">
        <v>75</v>
      </c>
      <c r="Q51" s="33" t="s">
        <v>2449</v>
      </c>
      <c r="R51" s="33" t="s">
        <v>2343</v>
      </c>
      <c r="S51" s="33"/>
      <c r="T51" s="33"/>
      <c r="U51" s="33"/>
      <c r="V51" s="33"/>
      <c r="W51" s="33"/>
      <c r="X51" s="33"/>
      <c r="Y51" s="33"/>
      <c r="Z51" s="33"/>
      <c r="AA51" s="33"/>
    </row>
    <row r="52" spans="1:27">
      <c r="A52" s="2" t="s">
        <v>2482</v>
      </c>
      <c r="B52" s="2" t="s">
        <v>2483</v>
      </c>
      <c r="C52" s="2" t="s">
        <v>2484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1"/>
      <c r="U52" s="31"/>
      <c r="V52" s="31"/>
      <c r="W52" s="31"/>
      <c r="X52" s="31"/>
      <c r="Y52" s="31"/>
      <c r="Z52" s="31"/>
      <c r="AA52" s="31"/>
    </row>
    <row r="53" spans="1:27" ht="30" outlineLevel="1">
      <c r="A53" s="32" t="s">
        <v>2485</v>
      </c>
      <c r="B53" s="32" t="s">
        <v>80</v>
      </c>
      <c r="C53" s="32" t="s">
        <v>2486</v>
      </c>
      <c r="D53" s="33" t="s">
        <v>2323</v>
      </c>
      <c r="E53" s="33" t="s">
        <v>2487</v>
      </c>
      <c r="F53" s="33" t="s">
        <v>2488</v>
      </c>
      <c r="G53" s="33" t="s">
        <v>2489</v>
      </c>
      <c r="H53" s="33" t="s">
        <v>2490</v>
      </c>
      <c r="I53" s="33" t="s">
        <v>2491</v>
      </c>
      <c r="J53" s="33"/>
      <c r="K53" s="33"/>
      <c r="L53" s="33"/>
      <c r="M53" s="33" t="s">
        <v>2492</v>
      </c>
      <c r="N53" s="33" t="s">
        <v>2084</v>
      </c>
      <c r="O53" s="33"/>
      <c r="P53" s="33" t="s">
        <v>79</v>
      </c>
      <c r="Q53" s="33" t="s">
        <v>2493</v>
      </c>
      <c r="R53" s="33" t="s">
        <v>2494</v>
      </c>
      <c r="S53" s="33"/>
      <c r="T53" s="33"/>
      <c r="U53" s="33"/>
      <c r="V53" s="33"/>
      <c r="W53" s="33"/>
      <c r="X53" s="33"/>
      <c r="Y53" s="33"/>
      <c r="Z53" s="33"/>
      <c r="AA53" s="33"/>
    </row>
    <row r="54" spans="1:27" outlineLevel="1">
      <c r="A54" s="32" t="s">
        <v>2495</v>
      </c>
      <c r="B54" s="32" t="s">
        <v>80</v>
      </c>
      <c r="C54" s="32" t="s">
        <v>2496</v>
      </c>
      <c r="D54" s="33" t="s">
        <v>2209</v>
      </c>
      <c r="E54" s="33" t="s">
        <v>2497</v>
      </c>
      <c r="F54" s="33" t="s">
        <v>2498</v>
      </c>
      <c r="G54" s="33" t="s">
        <v>2489</v>
      </c>
      <c r="H54" s="33" t="s">
        <v>2490</v>
      </c>
      <c r="I54" s="33" t="s">
        <v>2499</v>
      </c>
      <c r="J54" s="33"/>
      <c r="K54" s="33"/>
      <c r="L54" s="33"/>
      <c r="M54" s="33" t="s">
        <v>2500</v>
      </c>
      <c r="N54" s="33" t="s">
        <v>2084</v>
      </c>
      <c r="O54" s="33"/>
      <c r="P54" s="33" t="s">
        <v>79</v>
      </c>
      <c r="Q54" s="33" t="s">
        <v>2493</v>
      </c>
      <c r="R54" s="33" t="s">
        <v>2494</v>
      </c>
      <c r="S54" s="33"/>
      <c r="T54" s="33"/>
      <c r="U54" s="33"/>
      <c r="V54" s="33"/>
      <c r="W54" s="33"/>
      <c r="X54" s="33"/>
      <c r="Y54" s="33"/>
      <c r="Z54" s="33"/>
      <c r="AA54" s="33"/>
    </row>
    <row r="55" spans="1:27" outlineLevel="1">
      <c r="A55" s="32" t="s">
        <v>2501</v>
      </c>
      <c r="B55" s="32" t="s">
        <v>80</v>
      </c>
      <c r="C55" s="32" t="s">
        <v>2502</v>
      </c>
      <c r="D55" s="33" t="s">
        <v>2209</v>
      </c>
      <c r="E55" s="33" t="s">
        <v>2503</v>
      </c>
      <c r="F55" s="33" t="s">
        <v>2504</v>
      </c>
      <c r="G55" s="33" t="s">
        <v>2489</v>
      </c>
      <c r="H55" s="33"/>
      <c r="I55" s="33" t="s">
        <v>2505</v>
      </c>
      <c r="J55" s="33"/>
      <c r="K55" s="33"/>
      <c r="L55" s="33"/>
      <c r="M55" s="33" t="s">
        <v>2506</v>
      </c>
      <c r="N55" s="33" t="s">
        <v>2084</v>
      </c>
      <c r="O55" s="33"/>
      <c r="P55" s="33" t="s">
        <v>79</v>
      </c>
      <c r="Q55" s="33" t="s">
        <v>2493</v>
      </c>
      <c r="R55" s="33" t="str">
        <f>IFERROR(VLOOKUP(H55,API명세서!A:D,4,FALSE()),"")</f>
        <v/>
      </c>
      <c r="S55" s="33"/>
      <c r="T55" s="33"/>
      <c r="U55" s="33"/>
      <c r="V55" s="33"/>
      <c r="W55" s="33"/>
      <c r="X55" s="33"/>
      <c r="Y55" s="33"/>
      <c r="Z55" s="33"/>
      <c r="AA55" s="33"/>
    </row>
    <row r="56" spans="1:27" outlineLevel="1">
      <c r="A56" s="32" t="s">
        <v>2507</v>
      </c>
      <c r="B56" s="32" t="s">
        <v>80</v>
      </c>
      <c r="C56" s="32" t="s">
        <v>2508</v>
      </c>
      <c r="D56" s="33" t="s">
        <v>2125</v>
      </c>
      <c r="E56" s="33" t="s">
        <v>2509</v>
      </c>
      <c r="F56" s="33" t="s">
        <v>2510</v>
      </c>
      <c r="G56" s="33" t="s">
        <v>2489</v>
      </c>
      <c r="H56" s="33"/>
      <c r="I56" s="33" t="s">
        <v>2306</v>
      </c>
      <c r="J56" s="33"/>
      <c r="K56" s="33" t="s">
        <v>2511</v>
      </c>
      <c r="L56" s="33" t="s">
        <v>2512</v>
      </c>
      <c r="M56" s="33" t="s">
        <v>2513</v>
      </c>
      <c r="N56" s="33" t="s">
        <v>2084</v>
      </c>
      <c r="O56" s="33"/>
      <c r="P56" s="33" t="s">
        <v>79</v>
      </c>
      <c r="Q56" s="33" t="s">
        <v>2493</v>
      </c>
      <c r="R56" s="33" t="str">
        <f>IFERROR(VLOOKUP(H56,API명세서!A:D,4,FALSE()),"")</f>
        <v/>
      </c>
      <c r="S56" s="33"/>
      <c r="T56" s="33"/>
      <c r="U56" s="33"/>
      <c r="V56" s="33"/>
      <c r="W56" s="33"/>
      <c r="X56" s="33"/>
      <c r="Y56" s="33"/>
      <c r="Z56" s="33"/>
      <c r="AA56" s="33"/>
    </row>
    <row r="57" spans="1:27">
      <c r="A57" s="2" t="s">
        <v>2514</v>
      </c>
      <c r="B57" s="2" t="s">
        <v>2515</v>
      </c>
      <c r="C57" s="2" t="s">
        <v>2484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31"/>
      <c r="U57" s="31"/>
      <c r="V57" s="31"/>
      <c r="W57" s="31"/>
      <c r="X57" s="31"/>
      <c r="Y57" s="31"/>
      <c r="Z57" s="31"/>
      <c r="AA57" s="31"/>
    </row>
    <row r="58" spans="1:27" outlineLevel="1">
      <c r="A58" s="32" t="s">
        <v>2516</v>
      </c>
      <c r="B58" s="32" t="s">
        <v>84</v>
      </c>
      <c r="C58" s="32" t="s">
        <v>2517</v>
      </c>
      <c r="D58" s="33" t="s">
        <v>2158</v>
      </c>
      <c r="E58" s="33" t="s">
        <v>2518</v>
      </c>
      <c r="F58" s="33" t="s">
        <v>2519</v>
      </c>
      <c r="G58" s="33" t="s">
        <v>2520</v>
      </c>
      <c r="H58" s="33" t="s">
        <v>2521</v>
      </c>
      <c r="I58" s="33" t="s">
        <v>2522</v>
      </c>
      <c r="J58" s="33"/>
      <c r="K58" s="33"/>
      <c r="L58" s="33"/>
      <c r="M58" s="33" t="s">
        <v>2523</v>
      </c>
      <c r="N58" s="33" t="s">
        <v>2084</v>
      </c>
      <c r="O58" s="33"/>
      <c r="P58" s="33" t="s">
        <v>85</v>
      </c>
      <c r="Q58" s="33" t="s">
        <v>2524</v>
      </c>
      <c r="R58" s="33" t="s">
        <v>2343</v>
      </c>
      <c r="S58" s="33"/>
      <c r="T58" s="33"/>
      <c r="U58" s="33"/>
      <c r="V58" s="33"/>
      <c r="W58" s="33"/>
      <c r="X58" s="33"/>
      <c r="Y58" s="33"/>
      <c r="Z58" s="33"/>
      <c r="AA58" s="33"/>
    </row>
    <row r="59" spans="1:27" ht="30" outlineLevel="1">
      <c r="A59" s="32" t="s">
        <v>2525</v>
      </c>
      <c r="B59" s="32" t="s">
        <v>84</v>
      </c>
      <c r="C59" s="32" t="s">
        <v>2526</v>
      </c>
      <c r="D59" s="33" t="s">
        <v>2372</v>
      </c>
      <c r="E59" s="33" t="s">
        <v>2527</v>
      </c>
      <c r="F59" s="33" t="s">
        <v>2528</v>
      </c>
      <c r="G59" s="33" t="s">
        <v>2520</v>
      </c>
      <c r="H59" s="33" t="s">
        <v>2521</v>
      </c>
      <c r="I59" s="33" t="s">
        <v>2529</v>
      </c>
      <c r="J59" s="33"/>
      <c r="K59" s="33" t="s">
        <v>2114</v>
      </c>
      <c r="L59" s="33" t="s">
        <v>2530</v>
      </c>
      <c r="M59" s="33" t="s">
        <v>2377</v>
      </c>
      <c r="N59" s="33" t="s">
        <v>2084</v>
      </c>
      <c r="O59" s="33"/>
      <c r="P59" s="33" t="s">
        <v>85</v>
      </c>
      <c r="Q59" s="33" t="s">
        <v>2524</v>
      </c>
      <c r="R59" s="33" t="s">
        <v>2343</v>
      </c>
      <c r="S59" s="33"/>
      <c r="T59" s="33"/>
      <c r="U59" s="33"/>
      <c r="V59" s="33"/>
      <c r="W59" s="33"/>
      <c r="X59" s="33"/>
      <c r="Y59" s="33"/>
      <c r="Z59" s="33"/>
      <c r="AA59" s="33"/>
    </row>
    <row r="60" spans="1:27" outlineLevel="1">
      <c r="A60" s="32" t="s">
        <v>2531</v>
      </c>
      <c r="B60" s="32" t="s">
        <v>84</v>
      </c>
      <c r="C60" s="32" t="s">
        <v>2532</v>
      </c>
      <c r="D60" s="33" t="s">
        <v>2075</v>
      </c>
      <c r="E60" s="33" t="s">
        <v>2533</v>
      </c>
      <c r="F60" s="33" t="s">
        <v>2534</v>
      </c>
      <c r="G60" s="33" t="s">
        <v>2520</v>
      </c>
      <c r="H60" s="33" t="s">
        <v>2255</v>
      </c>
      <c r="I60" s="33" t="s">
        <v>2535</v>
      </c>
      <c r="J60" s="33"/>
      <c r="K60" s="33" t="s">
        <v>2099</v>
      </c>
      <c r="L60" s="33" t="s">
        <v>2258</v>
      </c>
      <c r="M60" s="33" t="s">
        <v>2259</v>
      </c>
      <c r="N60" s="33" t="s">
        <v>2084</v>
      </c>
      <c r="O60" s="33"/>
      <c r="P60" s="33" t="s">
        <v>85</v>
      </c>
      <c r="Q60" s="33" t="s">
        <v>2524</v>
      </c>
      <c r="R60" s="33" t="s">
        <v>2261</v>
      </c>
      <c r="S60" s="33"/>
      <c r="T60" s="33"/>
      <c r="U60" s="33"/>
      <c r="V60" s="33"/>
      <c r="W60" s="33"/>
      <c r="X60" s="33"/>
      <c r="Y60" s="33"/>
      <c r="Z60" s="33"/>
      <c r="AA60" s="33"/>
    </row>
    <row r="61" spans="1:27" outlineLevel="1">
      <c r="A61" s="32" t="s">
        <v>2536</v>
      </c>
      <c r="B61" s="32" t="s">
        <v>84</v>
      </c>
      <c r="C61" s="32" t="s">
        <v>2537</v>
      </c>
      <c r="D61" s="33" t="s">
        <v>2125</v>
      </c>
      <c r="E61" s="33" t="s">
        <v>2538</v>
      </c>
      <c r="F61" s="33" t="s">
        <v>2539</v>
      </c>
      <c r="G61" s="33" t="s">
        <v>2520</v>
      </c>
      <c r="H61" s="33" t="s">
        <v>2521</v>
      </c>
      <c r="I61" s="33" t="s">
        <v>2540</v>
      </c>
      <c r="J61" s="33"/>
      <c r="K61" s="33" t="s">
        <v>2541</v>
      </c>
      <c r="L61" s="33" t="s">
        <v>2542</v>
      </c>
      <c r="M61" s="33" t="s">
        <v>2543</v>
      </c>
      <c r="N61" s="33" t="s">
        <v>2084</v>
      </c>
      <c r="O61" s="33"/>
      <c r="P61" s="33" t="s">
        <v>85</v>
      </c>
      <c r="Q61" s="33" t="s">
        <v>2524</v>
      </c>
      <c r="R61" s="33" t="s">
        <v>2343</v>
      </c>
      <c r="S61" s="33"/>
      <c r="T61" s="33"/>
      <c r="U61" s="33"/>
      <c r="V61" s="33"/>
      <c r="W61" s="33"/>
      <c r="X61" s="33"/>
      <c r="Y61" s="33"/>
      <c r="Z61" s="33"/>
      <c r="AA61" s="33"/>
    </row>
    <row r="62" spans="1:27">
      <c r="A62" s="2" t="s">
        <v>2544</v>
      </c>
      <c r="B62" s="2" t="s">
        <v>2545</v>
      </c>
      <c r="C62" s="2" t="s">
        <v>2484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31"/>
      <c r="U62" s="31"/>
      <c r="V62" s="31"/>
      <c r="W62" s="31"/>
      <c r="X62" s="31"/>
      <c r="Y62" s="31"/>
      <c r="Z62" s="31"/>
      <c r="AA62" s="31"/>
    </row>
    <row r="63" spans="1:27" outlineLevel="1">
      <c r="A63" s="32" t="s">
        <v>2546</v>
      </c>
      <c r="B63" s="32" t="s">
        <v>102</v>
      </c>
      <c r="C63" s="32" t="s">
        <v>2547</v>
      </c>
      <c r="D63" s="33" t="s">
        <v>2323</v>
      </c>
      <c r="E63" s="33" t="s">
        <v>2548</v>
      </c>
      <c r="F63" s="33" t="s">
        <v>2549</v>
      </c>
      <c r="G63" s="33" t="s">
        <v>2550</v>
      </c>
      <c r="H63" s="33" t="s">
        <v>2551</v>
      </c>
      <c r="I63" s="33" t="s">
        <v>2491</v>
      </c>
      <c r="J63" s="33"/>
      <c r="K63" s="33"/>
      <c r="L63" s="33"/>
      <c r="M63" s="33" t="s">
        <v>2552</v>
      </c>
      <c r="N63" s="33" t="s">
        <v>2084</v>
      </c>
      <c r="O63" s="33"/>
      <c r="P63" s="33" t="s">
        <v>103</v>
      </c>
      <c r="Q63" s="33" t="s">
        <v>2553</v>
      </c>
      <c r="R63" s="33" t="s">
        <v>2554</v>
      </c>
      <c r="S63" s="33"/>
      <c r="T63" s="33"/>
      <c r="U63" s="33"/>
      <c r="V63" s="33"/>
      <c r="W63" s="33"/>
      <c r="X63" s="33"/>
      <c r="Y63" s="33"/>
      <c r="Z63" s="33"/>
      <c r="AA63" s="33"/>
    </row>
    <row r="64" spans="1:27" ht="30" outlineLevel="1">
      <c r="A64" s="32" t="s">
        <v>2555</v>
      </c>
      <c r="B64" s="32" t="s">
        <v>102</v>
      </c>
      <c r="C64" s="32" t="s">
        <v>2556</v>
      </c>
      <c r="D64" s="33" t="s">
        <v>2209</v>
      </c>
      <c r="E64" s="33" t="s">
        <v>2557</v>
      </c>
      <c r="F64" s="33" t="s">
        <v>2558</v>
      </c>
      <c r="G64" s="33" t="s">
        <v>2550</v>
      </c>
      <c r="H64" s="33" t="s">
        <v>2551</v>
      </c>
      <c r="I64" s="33" t="s">
        <v>2559</v>
      </c>
      <c r="J64" s="33"/>
      <c r="K64" s="33"/>
      <c r="L64" s="33"/>
      <c r="M64" s="33" t="s">
        <v>2560</v>
      </c>
      <c r="N64" s="33" t="s">
        <v>2084</v>
      </c>
      <c r="O64" s="33"/>
      <c r="P64" s="33" t="s">
        <v>103</v>
      </c>
      <c r="Q64" s="33" t="s">
        <v>2553</v>
      </c>
      <c r="R64" s="33" t="s">
        <v>2554</v>
      </c>
      <c r="S64" s="33"/>
      <c r="T64" s="33"/>
      <c r="U64" s="33"/>
      <c r="V64" s="33"/>
      <c r="W64" s="33"/>
      <c r="X64" s="33"/>
      <c r="Y64" s="33"/>
      <c r="Z64" s="33"/>
      <c r="AA64" s="33"/>
    </row>
    <row r="65" spans="1:27" outlineLevel="1">
      <c r="A65" s="32" t="s">
        <v>2561</v>
      </c>
      <c r="B65" s="32" t="s">
        <v>102</v>
      </c>
      <c r="C65" s="32" t="s">
        <v>2562</v>
      </c>
      <c r="D65" s="33" t="s">
        <v>2563</v>
      </c>
      <c r="E65" s="33" t="s">
        <v>2564</v>
      </c>
      <c r="F65" s="33" t="s">
        <v>2565</v>
      </c>
      <c r="G65" s="33"/>
      <c r="H65" s="33"/>
      <c r="I65" s="33" t="s">
        <v>2566</v>
      </c>
      <c r="J65" s="33"/>
      <c r="K65" s="33"/>
      <c r="L65" s="33"/>
      <c r="M65" s="33" t="s">
        <v>2567</v>
      </c>
      <c r="N65" s="33" t="s">
        <v>2084</v>
      </c>
      <c r="O65" s="33"/>
      <c r="P65" s="33" t="s">
        <v>103</v>
      </c>
      <c r="Q65" s="33" t="str">
        <f>IFERROR(VLOOKUP(G65,기능명세서!A:B,2,FALSE()),"")</f>
        <v/>
      </c>
      <c r="R65" s="33" t="str">
        <f>IFERROR(VLOOKUP(H65,API명세서!A:D,4,FALSE()),"")</f>
        <v/>
      </c>
      <c r="S65" s="33"/>
      <c r="T65" s="33"/>
      <c r="U65" s="33"/>
      <c r="V65" s="33"/>
      <c r="W65" s="33"/>
      <c r="X65" s="33"/>
      <c r="Y65" s="33"/>
      <c r="Z65" s="33"/>
      <c r="AA65" s="33"/>
    </row>
    <row r="66" spans="1:27" outlineLevel="1">
      <c r="A66" s="32" t="s">
        <v>2568</v>
      </c>
      <c r="B66" s="32" t="s">
        <v>102</v>
      </c>
      <c r="C66" s="32" t="s">
        <v>2569</v>
      </c>
      <c r="D66" s="33" t="s">
        <v>2570</v>
      </c>
      <c r="E66" s="33" t="s">
        <v>2571</v>
      </c>
      <c r="F66" s="33" t="s">
        <v>2572</v>
      </c>
      <c r="G66" s="33" t="s">
        <v>2550</v>
      </c>
      <c r="H66" s="33" t="s">
        <v>2551</v>
      </c>
      <c r="I66" s="33" t="s">
        <v>2573</v>
      </c>
      <c r="J66" s="33"/>
      <c r="K66" s="33"/>
      <c r="L66" s="33"/>
      <c r="M66" s="33" t="s">
        <v>2574</v>
      </c>
      <c r="N66" s="33" t="s">
        <v>2084</v>
      </c>
      <c r="O66" s="33"/>
      <c r="P66" s="33" t="s">
        <v>103</v>
      </c>
      <c r="Q66" s="33" t="s">
        <v>2553</v>
      </c>
      <c r="R66" s="33" t="s">
        <v>2554</v>
      </c>
      <c r="S66" s="33"/>
      <c r="T66" s="33"/>
      <c r="U66" s="33"/>
      <c r="V66" s="33"/>
      <c r="W66" s="33"/>
      <c r="X66" s="33"/>
      <c r="Y66" s="33"/>
      <c r="Z66" s="33"/>
      <c r="AA66" s="33"/>
    </row>
    <row r="67" spans="1:27">
      <c r="A67" s="2" t="s">
        <v>2575</v>
      </c>
      <c r="B67" s="2" t="s">
        <v>2576</v>
      </c>
      <c r="C67" s="2" t="s">
        <v>2072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31"/>
      <c r="U67" s="31"/>
      <c r="V67" s="31"/>
      <c r="W67" s="31"/>
      <c r="X67" s="31"/>
      <c r="Y67" s="31"/>
      <c r="Z67" s="31"/>
      <c r="AA67" s="31"/>
    </row>
    <row r="68" spans="1:27" outlineLevel="1">
      <c r="A68" s="32" t="s">
        <v>2577</v>
      </c>
      <c r="B68" s="32" t="s">
        <v>125</v>
      </c>
      <c r="C68" s="32" t="s">
        <v>2251</v>
      </c>
      <c r="D68" s="33" t="s">
        <v>2075</v>
      </c>
      <c r="E68" s="33" t="s">
        <v>2578</v>
      </c>
      <c r="F68" s="33" t="s">
        <v>2579</v>
      </c>
      <c r="G68" s="33" t="s">
        <v>2580</v>
      </c>
      <c r="H68" s="33" t="s">
        <v>2581</v>
      </c>
      <c r="I68" s="33" t="s">
        <v>2462</v>
      </c>
      <c r="J68" s="33"/>
      <c r="K68" s="33" t="s">
        <v>2099</v>
      </c>
      <c r="L68" s="33" t="s">
        <v>2258</v>
      </c>
      <c r="M68" s="33" t="s">
        <v>2582</v>
      </c>
      <c r="N68" s="33" t="s">
        <v>2084</v>
      </c>
      <c r="O68" s="33"/>
      <c r="P68" s="33" t="s">
        <v>126</v>
      </c>
      <c r="Q68" s="33" t="s">
        <v>2583</v>
      </c>
      <c r="R68" s="33" t="s">
        <v>2584</v>
      </c>
      <c r="S68" s="33"/>
      <c r="T68" s="33"/>
      <c r="U68" s="33"/>
      <c r="V68" s="33"/>
      <c r="W68" s="33"/>
      <c r="X68" s="33"/>
      <c r="Y68" s="33"/>
      <c r="Z68" s="33"/>
      <c r="AA68" s="33"/>
    </row>
    <row r="69" spans="1:27" ht="30" outlineLevel="1">
      <c r="A69" s="32" t="s">
        <v>2585</v>
      </c>
      <c r="B69" s="32" t="s">
        <v>125</v>
      </c>
      <c r="C69" s="32" t="s">
        <v>2586</v>
      </c>
      <c r="D69" s="33" t="s">
        <v>2110</v>
      </c>
      <c r="E69" s="33" t="s">
        <v>2587</v>
      </c>
      <c r="F69" s="33" t="s">
        <v>2588</v>
      </c>
      <c r="G69" s="33" t="s">
        <v>2580</v>
      </c>
      <c r="H69" s="33" t="s">
        <v>2581</v>
      </c>
      <c r="I69" s="33" t="s">
        <v>2110</v>
      </c>
      <c r="J69" s="33"/>
      <c r="K69" s="33" t="s">
        <v>2267</v>
      </c>
      <c r="L69" s="33" t="s">
        <v>2589</v>
      </c>
      <c r="M69" s="33" t="s">
        <v>2590</v>
      </c>
      <c r="N69" s="33" t="s">
        <v>2084</v>
      </c>
      <c r="O69" s="33"/>
      <c r="P69" s="33" t="s">
        <v>126</v>
      </c>
      <c r="Q69" s="33" t="s">
        <v>2583</v>
      </c>
      <c r="R69" s="33" t="s">
        <v>2584</v>
      </c>
      <c r="S69" s="33"/>
      <c r="T69" s="33"/>
      <c r="U69" s="33"/>
      <c r="V69" s="33"/>
      <c r="W69" s="33"/>
      <c r="X69" s="33"/>
      <c r="Y69" s="33"/>
      <c r="Z69" s="33"/>
      <c r="AA69" s="33"/>
    </row>
    <row r="70" spans="1:27" outlineLevel="1">
      <c r="A70" s="32" t="s">
        <v>2591</v>
      </c>
      <c r="B70" s="32" t="s">
        <v>125</v>
      </c>
      <c r="C70" s="32" t="s">
        <v>2263</v>
      </c>
      <c r="D70" s="33" t="s">
        <v>2110</v>
      </c>
      <c r="E70" s="33" t="s">
        <v>2592</v>
      </c>
      <c r="F70" s="33" t="s">
        <v>2588</v>
      </c>
      <c r="G70" s="33" t="s">
        <v>2580</v>
      </c>
      <c r="H70" s="33" t="s">
        <v>2581</v>
      </c>
      <c r="I70" s="33" t="s">
        <v>2110</v>
      </c>
      <c r="J70" s="33"/>
      <c r="K70" s="33" t="s">
        <v>2267</v>
      </c>
      <c r="L70" s="33" t="s">
        <v>2268</v>
      </c>
      <c r="M70" s="33" t="s">
        <v>2269</v>
      </c>
      <c r="N70" s="33" t="s">
        <v>2084</v>
      </c>
      <c r="O70" s="33"/>
      <c r="P70" s="33" t="s">
        <v>126</v>
      </c>
      <c r="Q70" s="33" t="s">
        <v>2583</v>
      </c>
      <c r="R70" s="33" t="s">
        <v>2584</v>
      </c>
      <c r="S70" s="33"/>
      <c r="T70" s="33"/>
      <c r="U70" s="33"/>
      <c r="V70" s="33"/>
      <c r="W70" s="33"/>
      <c r="X70" s="33"/>
      <c r="Y70" s="33"/>
      <c r="Z70" s="33"/>
      <c r="AA70" s="33"/>
    </row>
    <row r="71" spans="1:27" outlineLevel="1">
      <c r="A71" s="32" t="s">
        <v>2593</v>
      </c>
      <c r="B71" s="32" t="s">
        <v>125</v>
      </c>
      <c r="C71" s="32" t="s">
        <v>2594</v>
      </c>
      <c r="D71" s="33" t="s">
        <v>2209</v>
      </c>
      <c r="E71" s="33" t="s">
        <v>2595</v>
      </c>
      <c r="F71" s="33" t="s">
        <v>2596</v>
      </c>
      <c r="G71" s="33" t="s">
        <v>2580</v>
      </c>
      <c r="H71" s="33" t="s">
        <v>2581</v>
      </c>
      <c r="I71" s="33" t="s">
        <v>2597</v>
      </c>
      <c r="J71" s="33"/>
      <c r="K71" s="33"/>
      <c r="L71" s="33"/>
      <c r="M71" s="33" t="s">
        <v>2598</v>
      </c>
      <c r="N71" s="33" t="s">
        <v>2084</v>
      </c>
      <c r="O71" s="33"/>
      <c r="P71" s="33" t="s">
        <v>126</v>
      </c>
      <c r="Q71" s="33" t="s">
        <v>2583</v>
      </c>
      <c r="R71" s="33" t="s">
        <v>2584</v>
      </c>
      <c r="S71" s="33"/>
      <c r="T71" s="33"/>
      <c r="U71" s="33"/>
      <c r="V71" s="33"/>
      <c r="W71" s="33"/>
      <c r="X71" s="33"/>
      <c r="Y71" s="33"/>
      <c r="Z71" s="33"/>
      <c r="AA71" s="33"/>
    </row>
    <row r="72" spans="1:27" outlineLevel="1">
      <c r="A72" s="32" t="s">
        <v>2599</v>
      </c>
      <c r="B72" s="32" t="s">
        <v>125</v>
      </c>
      <c r="C72" s="32" t="s">
        <v>2600</v>
      </c>
      <c r="D72" s="33" t="s">
        <v>2125</v>
      </c>
      <c r="E72" s="33" t="s">
        <v>2601</v>
      </c>
      <c r="F72" s="33" t="s">
        <v>2602</v>
      </c>
      <c r="G72" s="33" t="s">
        <v>2603</v>
      </c>
      <c r="H72" s="33"/>
      <c r="I72" s="33" t="s">
        <v>2306</v>
      </c>
      <c r="J72" s="33"/>
      <c r="K72" s="33"/>
      <c r="L72" s="33"/>
      <c r="M72" s="33" t="s">
        <v>2604</v>
      </c>
      <c r="N72" s="33" t="s">
        <v>2084</v>
      </c>
      <c r="O72" s="33"/>
      <c r="P72" s="33" t="s">
        <v>126</v>
      </c>
      <c r="Q72" s="33" t="s">
        <v>2605</v>
      </c>
      <c r="R72" s="33" t="str">
        <f>IFERROR(VLOOKUP(H72,API명세서!A:D,4,FALSE()),"")</f>
        <v/>
      </c>
      <c r="S72" s="33"/>
      <c r="T72" s="33"/>
      <c r="U72" s="33"/>
      <c r="V72" s="33"/>
      <c r="W72" s="33"/>
      <c r="X72" s="33"/>
      <c r="Y72" s="33"/>
      <c r="Z72" s="33"/>
      <c r="AA72" s="33"/>
    </row>
    <row r="73" spans="1:27">
      <c r="A73" s="2" t="s">
        <v>2606</v>
      </c>
      <c r="B73" s="2" t="s">
        <v>2607</v>
      </c>
      <c r="C73" s="2" t="s">
        <v>2072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31"/>
      <c r="U73" s="31"/>
      <c r="V73" s="31"/>
      <c r="W73" s="31"/>
      <c r="X73" s="31"/>
      <c r="Y73" s="31"/>
      <c r="Z73" s="31"/>
      <c r="AA73" s="31"/>
    </row>
    <row r="74" spans="1:27" ht="30" outlineLevel="1">
      <c r="A74" s="32" t="s">
        <v>2608</v>
      </c>
      <c r="B74" s="32" t="s">
        <v>146</v>
      </c>
      <c r="C74" s="32" t="s">
        <v>2609</v>
      </c>
      <c r="D74" s="33" t="s">
        <v>2075</v>
      </c>
      <c r="E74" s="33" t="s">
        <v>2610</v>
      </c>
      <c r="F74" s="33" t="s">
        <v>2611</v>
      </c>
      <c r="G74" s="33" t="s">
        <v>2612</v>
      </c>
      <c r="H74" s="33"/>
      <c r="I74" s="33" t="s">
        <v>2613</v>
      </c>
      <c r="J74" s="33"/>
      <c r="K74" s="33" t="s">
        <v>2614</v>
      </c>
      <c r="L74" s="33" t="s">
        <v>2615</v>
      </c>
      <c r="M74" s="33" t="s">
        <v>2616</v>
      </c>
      <c r="N74" s="33" t="s">
        <v>2084</v>
      </c>
      <c r="O74" s="33"/>
      <c r="P74" s="33" t="s">
        <v>147</v>
      </c>
      <c r="Q74" s="33" t="s">
        <v>147</v>
      </c>
      <c r="R74" s="33" t="str">
        <f>IFERROR(VLOOKUP(H74,API명세서!A:D,4,FALSE()),"")</f>
        <v/>
      </c>
      <c r="S74" s="33"/>
      <c r="T74" s="33"/>
      <c r="U74" s="33"/>
      <c r="V74" s="33"/>
      <c r="W74" s="33"/>
      <c r="X74" s="33"/>
      <c r="Y74" s="33"/>
      <c r="Z74" s="33"/>
      <c r="AA74" s="33"/>
    </row>
    <row r="75" spans="1:27" outlineLevel="1">
      <c r="A75" s="32" t="s">
        <v>2617</v>
      </c>
      <c r="B75" s="32" t="s">
        <v>146</v>
      </c>
      <c r="C75" s="32" t="s">
        <v>2618</v>
      </c>
      <c r="D75" s="33" t="s">
        <v>2323</v>
      </c>
      <c r="E75" s="33" t="s">
        <v>2619</v>
      </c>
      <c r="F75" s="33" t="s">
        <v>2620</v>
      </c>
      <c r="G75" s="33" t="s">
        <v>2612</v>
      </c>
      <c r="H75" s="33"/>
      <c r="I75" s="33" t="s">
        <v>2491</v>
      </c>
      <c r="J75" s="33"/>
      <c r="K75" s="33"/>
      <c r="L75" s="33"/>
      <c r="M75" s="33" t="s">
        <v>2621</v>
      </c>
      <c r="N75" s="33" t="s">
        <v>2084</v>
      </c>
      <c r="O75" s="33"/>
      <c r="P75" s="33" t="s">
        <v>147</v>
      </c>
      <c r="Q75" s="33" t="s">
        <v>147</v>
      </c>
      <c r="R75" s="33" t="str">
        <f>IFERROR(VLOOKUP(H75,API명세서!A:D,4,FALSE()),"")</f>
        <v/>
      </c>
      <c r="S75" s="33"/>
      <c r="T75" s="33"/>
      <c r="U75" s="33"/>
      <c r="V75" s="33"/>
      <c r="W75" s="33"/>
      <c r="X75" s="33"/>
      <c r="Y75" s="33"/>
      <c r="Z75" s="33"/>
      <c r="AA75" s="33"/>
    </row>
    <row r="76" spans="1:27" ht="30" outlineLevel="1">
      <c r="A76" s="32" t="s">
        <v>2622</v>
      </c>
      <c r="B76" s="32" t="s">
        <v>146</v>
      </c>
      <c r="C76" s="32" t="s">
        <v>2623</v>
      </c>
      <c r="D76" s="33" t="s">
        <v>2410</v>
      </c>
      <c r="E76" s="33" t="s">
        <v>2624</v>
      </c>
      <c r="F76" s="33" t="s">
        <v>2625</v>
      </c>
      <c r="G76" s="33" t="s">
        <v>2612</v>
      </c>
      <c r="H76" s="33"/>
      <c r="I76" s="33" t="s">
        <v>2626</v>
      </c>
      <c r="J76" s="33"/>
      <c r="K76" s="33" t="s">
        <v>2627</v>
      </c>
      <c r="L76" s="33" t="s">
        <v>2628</v>
      </c>
      <c r="M76" s="33" t="s">
        <v>2629</v>
      </c>
      <c r="N76" s="33" t="s">
        <v>2084</v>
      </c>
      <c r="O76" s="33"/>
      <c r="P76" s="33" t="s">
        <v>147</v>
      </c>
      <c r="Q76" s="33" t="s">
        <v>147</v>
      </c>
      <c r="R76" s="33" t="str">
        <f>IFERROR(VLOOKUP(H76,API명세서!A:D,4,FALSE()),"")</f>
        <v/>
      </c>
      <c r="S76" s="33"/>
      <c r="T76" s="33"/>
      <c r="U76" s="33"/>
      <c r="V76" s="33"/>
      <c r="W76" s="33"/>
      <c r="X76" s="33"/>
      <c r="Y76" s="33"/>
      <c r="Z76" s="33"/>
      <c r="AA76" s="33"/>
    </row>
    <row r="77" spans="1:27" outlineLevel="1">
      <c r="A77" s="32" t="s">
        <v>2630</v>
      </c>
      <c r="B77" s="32" t="s">
        <v>146</v>
      </c>
      <c r="C77" s="32" t="s">
        <v>2631</v>
      </c>
      <c r="D77" s="33" t="s">
        <v>2125</v>
      </c>
      <c r="E77" s="33" t="s">
        <v>2632</v>
      </c>
      <c r="F77" s="33" t="s">
        <v>2633</v>
      </c>
      <c r="G77" s="33" t="s">
        <v>2612</v>
      </c>
      <c r="H77" s="33"/>
      <c r="I77" s="33" t="s">
        <v>2540</v>
      </c>
      <c r="J77" s="33"/>
      <c r="K77" s="33" t="s">
        <v>2634</v>
      </c>
      <c r="L77" s="33" t="s">
        <v>2635</v>
      </c>
      <c r="M77" s="33" t="s">
        <v>2636</v>
      </c>
      <c r="N77" s="33" t="s">
        <v>2084</v>
      </c>
      <c r="O77" s="33"/>
      <c r="P77" s="33" t="s">
        <v>147</v>
      </c>
      <c r="Q77" s="33" t="s">
        <v>147</v>
      </c>
      <c r="R77" s="33" t="str">
        <f>IFERROR(VLOOKUP(H77,API명세서!A:D,4,FALSE()),"")</f>
        <v/>
      </c>
      <c r="S77" s="33"/>
      <c r="T77" s="33"/>
      <c r="U77" s="33"/>
      <c r="V77" s="33"/>
      <c r="W77" s="33"/>
      <c r="X77" s="33"/>
      <c r="Y77" s="33"/>
      <c r="Z77" s="33"/>
      <c r="AA77" s="33"/>
    </row>
    <row r="78" spans="1:27" outlineLevel="1">
      <c r="A78" s="32" t="s">
        <v>2637</v>
      </c>
      <c r="B78" s="32" t="s">
        <v>146</v>
      </c>
      <c r="C78" s="32" t="s">
        <v>2638</v>
      </c>
      <c r="D78" s="33" t="s">
        <v>2209</v>
      </c>
      <c r="E78" s="33" t="s">
        <v>2639</v>
      </c>
      <c r="F78" s="33" t="s">
        <v>2640</v>
      </c>
      <c r="G78" s="33" t="s">
        <v>2612</v>
      </c>
      <c r="H78" s="33"/>
      <c r="I78" s="33" t="s">
        <v>2597</v>
      </c>
      <c r="J78" s="33"/>
      <c r="K78" s="33"/>
      <c r="L78" s="33"/>
      <c r="M78" s="33" t="s">
        <v>2641</v>
      </c>
      <c r="N78" s="33" t="s">
        <v>2084</v>
      </c>
      <c r="O78" s="33"/>
      <c r="P78" s="33" t="s">
        <v>147</v>
      </c>
      <c r="Q78" s="33" t="s">
        <v>147</v>
      </c>
      <c r="R78" s="33" t="str">
        <f>IFERROR(VLOOKUP(H78,API명세서!A:D,4,FALSE()),"")</f>
        <v/>
      </c>
      <c r="S78" s="33"/>
      <c r="T78" s="33"/>
      <c r="U78" s="33"/>
      <c r="V78" s="33"/>
      <c r="W78" s="33"/>
      <c r="X78" s="33"/>
      <c r="Y78" s="33"/>
      <c r="Z78" s="33"/>
      <c r="AA78" s="33"/>
    </row>
    <row r="79" spans="1:27">
      <c r="A79" s="2" t="s">
        <v>2642</v>
      </c>
      <c r="B79" s="2" t="s">
        <v>2643</v>
      </c>
      <c r="C79" s="2" t="s">
        <v>2310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31"/>
      <c r="U79" s="31"/>
      <c r="V79" s="31"/>
      <c r="W79" s="31"/>
      <c r="X79" s="31"/>
      <c r="Y79" s="31"/>
      <c r="Z79" s="31"/>
      <c r="AA79" s="31"/>
    </row>
    <row r="80" spans="1:27" ht="30" outlineLevel="1">
      <c r="A80" s="32" t="s">
        <v>2644</v>
      </c>
      <c r="B80" s="32" t="s">
        <v>171</v>
      </c>
      <c r="C80" s="32" t="s">
        <v>2645</v>
      </c>
      <c r="D80" s="33" t="s">
        <v>2290</v>
      </c>
      <c r="E80" s="33" t="s">
        <v>2646</v>
      </c>
      <c r="F80" s="33" t="s">
        <v>2647</v>
      </c>
      <c r="G80" s="33" t="s">
        <v>2648</v>
      </c>
      <c r="H80" s="33"/>
      <c r="I80" s="33" t="s">
        <v>2649</v>
      </c>
      <c r="J80" s="33"/>
      <c r="K80" s="33"/>
      <c r="L80" s="33"/>
      <c r="M80" s="33" t="s">
        <v>2650</v>
      </c>
      <c r="N80" s="33" t="s">
        <v>2084</v>
      </c>
      <c r="O80" s="33"/>
      <c r="P80" s="33" t="s">
        <v>172</v>
      </c>
      <c r="Q80" s="33" t="s">
        <v>2651</v>
      </c>
      <c r="R80" s="33" t="str">
        <f>IFERROR(VLOOKUP(H80,API명세서!A:D,4,FALSE()),"")</f>
        <v/>
      </c>
      <c r="S80" s="33"/>
      <c r="T80" s="33"/>
      <c r="U80" s="33"/>
      <c r="V80" s="33"/>
      <c r="W80" s="33"/>
      <c r="X80" s="33"/>
      <c r="Y80" s="33"/>
      <c r="Z80" s="33"/>
      <c r="AA80" s="33"/>
    </row>
    <row r="81" spans="1:27" ht="30" outlineLevel="1">
      <c r="A81" s="32" t="s">
        <v>2652</v>
      </c>
      <c r="B81" s="32" t="s">
        <v>171</v>
      </c>
      <c r="C81" s="32" t="s">
        <v>2653</v>
      </c>
      <c r="D81" s="33" t="s">
        <v>2158</v>
      </c>
      <c r="E81" s="33" t="s">
        <v>2654</v>
      </c>
      <c r="F81" s="33" t="s">
        <v>2655</v>
      </c>
      <c r="G81" s="33" t="s">
        <v>2648</v>
      </c>
      <c r="H81" s="33" t="s">
        <v>2255</v>
      </c>
      <c r="I81" s="33" t="s">
        <v>2656</v>
      </c>
      <c r="J81" s="33"/>
      <c r="K81" s="33" t="s">
        <v>2657</v>
      </c>
      <c r="L81" s="33" t="s">
        <v>2658</v>
      </c>
      <c r="M81" s="33" t="s">
        <v>2659</v>
      </c>
      <c r="N81" s="33" t="s">
        <v>2084</v>
      </c>
      <c r="O81" s="33"/>
      <c r="P81" s="33" t="s">
        <v>172</v>
      </c>
      <c r="Q81" s="33" t="s">
        <v>2651</v>
      </c>
      <c r="R81" s="33" t="s">
        <v>2261</v>
      </c>
      <c r="S81" s="33"/>
      <c r="T81" s="33"/>
      <c r="U81" s="33"/>
      <c r="V81" s="33"/>
      <c r="W81" s="33"/>
      <c r="X81" s="33"/>
      <c r="Y81" s="33"/>
      <c r="Z81" s="33"/>
      <c r="AA81" s="33"/>
    </row>
    <row r="82" spans="1:27" outlineLevel="1">
      <c r="A82" s="32" t="s">
        <v>2660</v>
      </c>
      <c r="B82" s="32" t="s">
        <v>171</v>
      </c>
      <c r="C82" s="32" t="s">
        <v>2661</v>
      </c>
      <c r="D82" s="33" t="s">
        <v>2158</v>
      </c>
      <c r="E82" s="33" t="s">
        <v>2662</v>
      </c>
      <c r="F82" s="33" t="s">
        <v>2663</v>
      </c>
      <c r="G82" s="33" t="s">
        <v>2648</v>
      </c>
      <c r="H82" s="33" t="s">
        <v>2490</v>
      </c>
      <c r="I82" s="33" t="s">
        <v>2664</v>
      </c>
      <c r="J82" s="33"/>
      <c r="K82" s="33" t="s">
        <v>2665</v>
      </c>
      <c r="L82" s="33" t="s">
        <v>2666</v>
      </c>
      <c r="M82" s="33" t="s">
        <v>2667</v>
      </c>
      <c r="N82" s="33" t="s">
        <v>2084</v>
      </c>
      <c r="O82" s="33"/>
      <c r="P82" s="33" t="s">
        <v>172</v>
      </c>
      <c r="Q82" s="33" t="s">
        <v>2651</v>
      </c>
      <c r="R82" s="33" t="s">
        <v>2494</v>
      </c>
      <c r="S82" s="33"/>
      <c r="T82" s="33"/>
      <c r="U82" s="33"/>
      <c r="V82" s="33"/>
      <c r="W82" s="33"/>
      <c r="X82" s="33"/>
      <c r="Y82" s="33"/>
      <c r="Z82" s="33"/>
      <c r="AA82" s="33"/>
    </row>
    <row r="83" spans="1:27" outlineLevel="1">
      <c r="A83" s="32" t="s">
        <v>2668</v>
      </c>
      <c r="B83" s="32" t="s">
        <v>171</v>
      </c>
      <c r="C83" s="32" t="s">
        <v>2669</v>
      </c>
      <c r="D83" s="33" t="s">
        <v>2158</v>
      </c>
      <c r="E83" s="33" t="s">
        <v>2670</v>
      </c>
      <c r="F83" s="33" t="s">
        <v>2671</v>
      </c>
      <c r="G83" s="33" t="s">
        <v>2648</v>
      </c>
      <c r="H83" s="33"/>
      <c r="I83" s="33" t="s">
        <v>2672</v>
      </c>
      <c r="J83" s="33"/>
      <c r="K83" s="33" t="s">
        <v>2673</v>
      </c>
      <c r="L83" s="33" t="s">
        <v>2674</v>
      </c>
      <c r="M83" s="33" t="s">
        <v>2675</v>
      </c>
      <c r="N83" s="33" t="s">
        <v>2084</v>
      </c>
      <c r="O83" s="33"/>
      <c r="P83" s="33" t="s">
        <v>172</v>
      </c>
      <c r="Q83" s="33" t="s">
        <v>2651</v>
      </c>
      <c r="R83" s="33" t="str">
        <f>IFERROR(VLOOKUP(H83,API명세서!A:D,4,FALSE()),"")</f>
        <v/>
      </c>
      <c r="S83" s="33"/>
      <c r="T83" s="33"/>
      <c r="U83" s="33"/>
      <c r="V83" s="33"/>
      <c r="W83" s="33"/>
      <c r="X83" s="33"/>
      <c r="Y83" s="33"/>
      <c r="Z83" s="33"/>
      <c r="AA83" s="33"/>
    </row>
    <row r="84" spans="1:27" outlineLevel="1">
      <c r="A84" s="32" t="s">
        <v>2676</v>
      </c>
      <c r="B84" s="32" t="s">
        <v>171</v>
      </c>
      <c r="C84" s="32" t="s">
        <v>2677</v>
      </c>
      <c r="D84" s="33" t="s">
        <v>2158</v>
      </c>
      <c r="E84" s="33" t="s">
        <v>2678</v>
      </c>
      <c r="F84" s="33" t="s">
        <v>2679</v>
      </c>
      <c r="G84" s="33" t="s">
        <v>2648</v>
      </c>
      <c r="H84" s="33" t="s">
        <v>2521</v>
      </c>
      <c r="I84" s="33" t="s">
        <v>2680</v>
      </c>
      <c r="J84" s="33"/>
      <c r="K84" s="33" t="s">
        <v>2681</v>
      </c>
      <c r="L84" s="33" t="s">
        <v>2542</v>
      </c>
      <c r="M84" s="33" t="s">
        <v>2682</v>
      </c>
      <c r="N84" s="33" t="s">
        <v>2084</v>
      </c>
      <c r="O84" s="33"/>
      <c r="P84" s="33" t="s">
        <v>172</v>
      </c>
      <c r="Q84" s="33" t="s">
        <v>2651</v>
      </c>
      <c r="R84" s="33" t="s">
        <v>2343</v>
      </c>
      <c r="S84" s="33"/>
      <c r="T84" s="33"/>
      <c r="U84" s="33"/>
      <c r="V84" s="33"/>
      <c r="W84" s="33"/>
      <c r="X84" s="33"/>
      <c r="Y84" s="33"/>
      <c r="Z84" s="33"/>
      <c r="AA84" s="33"/>
    </row>
    <row r="85" spans="1:27" outlineLevel="1">
      <c r="A85" s="32" t="s">
        <v>2683</v>
      </c>
      <c r="B85" s="32" t="s">
        <v>171</v>
      </c>
      <c r="C85" s="32" t="s">
        <v>2684</v>
      </c>
      <c r="D85" s="33" t="s">
        <v>2158</v>
      </c>
      <c r="E85" s="33" t="s">
        <v>2685</v>
      </c>
      <c r="F85" s="33" t="s">
        <v>2686</v>
      </c>
      <c r="G85" s="33" t="s">
        <v>2648</v>
      </c>
      <c r="H85" s="33"/>
      <c r="I85" s="33" t="s">
        <v>2687</v>
      </c>
      <c r="J85" s="33"/>
      <c r="K85" s="33"/>
      <c r="L85" s="33"/>
      <c r="M85" s="33" t="s">
        <v>2688</v>
      </c>
      <c r="N85" s="33" t="s">
        <v>2084</v>
      </c>
      <c r="O85" s="33"/>
      <c r="P85" s="33" t="s">
        <v>172</v>
      </c>
      <c r="Q85" s="33" t="s">
        <v>2651</v>
      </c>
      <c r="R85" s="33" t="str">
        <f>IFERROR(VLOOKUP(H85,API명세서!A:D,4,FALSE()),"")</f>
        <v/>
      </c>
      <c r="S85" s="33"/>
      <c r="T85" s="33"/>
      <c r="U85" s="33"/>
      <c r="V85" s="33"/>
      <c r="W85" s="33"/>
      <c r="X85" s="33"/>
      <c r="Y85" s="33"/>
      <c r="Z85" s="33"/>
      <c r="AA85" s="33"/>
    </row>
    <row r="86" spans="1:27">
      <c r="A86" s="2" t="s">
        <v>2689</v>
      </c>
      <c r="B86" s="2" t="s">
        <v>2690</v>
      </c>
      <c r="C86" s="2" t="s">
        <v>2691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31"/>
      <c r="U86" s="31"/>
      <c r="V86" s="31"/>
      <c r="W86" s="31"/>
      <c r="X86" s="31"/>
      <c r="Y86" s="31"/>
      <c r="Z86" s="31"/>
      <c r="AA86" s="31"/>
    </row>
    <row r="87" spans="1:27" ht="30" outlineLevel="1">
      <c r="A87" s="32" t="s">
        <v>2692</v>
      </c>
      <c r="B87" s="32" t="s">
        <v>183</v>
      </c>
      <c r="C87" s="32" t="s">
        <v>2693</v>
      </c>
      <c r="D87" s="33" t="s">
        <v>2323</v>
      </c>
      <c r="E87" s="33" t="s">
        <v>2694</v>
      </c>
      <c r="F87" s="33" t="s">
        <v>2695</v>
      </c>
      <c r="G87" s="33" t="s">
        <v>2696</v>
      </c>
      <c r="H87" s="33"/>
      <c r="I87" s="33" t="s">
        <v>2697</v>
      </c>
      <c r="J87" s="33"/>
      <c r="K87" s="33"/>
      <c r="L87" s="33"/>
      <c r="M87" s="33" t="s">
        <v>2698</v>
      </c>
      <c r="N87" s="33" t="s">
        <v>2084</v>
      </c>
      <c r="O87" s="33"/>
      <c r="P87" s="33" t="s">
        <v>182</v>
      </c>
      <c r="Q87" s="33" t="s">
        <v>2699</v>
      </c>
      <c r="R87" s="33" t="str">
        <f>IFERROR(VLOOKUP(H87,API명세서!A:D,4,FALSE()),"")</f>
        <v/>
      </c>
      <c r="S87" s="33"/>
      <c r="T87" s="33"/>
      <c r="U87" s="33"/>
      <c r="V87" s="33"/>
      <c r="W87" s="33"/>
      <c r="X87" s="33"/>
      <c r="Y87" s="33"/>
      <c r="Z87" s="33"/>
      <c r="AA87" s="33"/>
    </row>
    <row r="88" spans="1:27" outlineLevel="1">
      <c r="A88" s="32" t="s">
        <v>2700</v>
      </c>
      <c r="B88" s="32" t="s">
        <v>183</v>
      </c>
      <c r="C88" s="32" t="s">
        <v>2701</v>
      </c>
      <c r="D88" s="33" t="s">
        <v>2323</v>
      </c>
      <c r="E88" s="33" t="s">
        <v>2702</v>
      </c>
      <c r="F88" s="33" t="s">
        <v>2703</v>
      </c>
      <c r="G88" s="33" t="s">
        <v>2696</v>
      </c>
      <c r="H88" s="33"/>
      <c r="I88" s="33" t="s">
        <v>2704</v>
      </c>
      <c r="J88" s="33"/>
      <c r="K88" s="33"/>
      <c r="L88" s="33"/>
      <c r="M88" s="33" t="s">
        <v>2705</v>
      </c>
      <c r="N88" s="33" t="s">
        <v>2084</v>
      </c>
      <c r="O88" s="33"/>
      <c r="P88" s="33" t="s">
        <v>182</v>
      </c>
      <c r="Q88" s="33" t="s">
        <v>2699</v>
      </c>
      <c r="R88" s="33" t="str">
        <f>IFERROR(VLOOKUP(H88,API명세서!A:D,4,FALSE()),"")</f>
        <v/>
      </c>
      <c r="S88" s="33"/>
      <c r="T88" s="33"/>
      <c r="U88" s="33"/>
      <c r="V88" s="33"/>
      <c r="W88" s="33"/>
      <c r="X88" s="33"/>
      <c r="Y88" s="33"/>
      <c r="Z88" s="33"/>
      <c r="AA88" s="33"/>
    </row>
    <row r="89" spans="1:27" outlineLevel="1">
      <c r="A89" s="32" t="s">
        <v>2706</v>
      </c>
      <c r="B89" s="32" t="s">
        <v>183</v>
      </c>
      <c r="C89" s="32" t="s">
        <v>2424</v>
      </c>
      <c r="D89" s="33" t="s">
        <v>2125</v>
      </c>
      <c r="E89" s="33" t="s">
        <v>2707</v>
      </c>
      <c r="F89" s="33" t="s">
        <v>2708</v>
      </c>
      <c r="G89" s="33" t="s">
        <v>2696</v>
      </c>
      <c r="H89" s="33"/>
      <c r="I89" s="33" t="s">
        <v>2306</v>
      </c>
      <c r="J89" s="33"/>
      <c r="K89" s="33"/>
      <c r="L89" s="33"/>
      <c r="M89" s="33" t="s">
        <v>2709</v>
      </c>
      <c r="N89" s="33" t="s">
        <v>2084</v>
      </c>
      <c r="O89" s="33"/>
      <c r="P89" s="33" t="s">
        <v>182</v>
      </c>
      <c r="Q89" s="33" t="s">
        <v>2699</v>
      </c>
      <c r="R89" s="33" t="str">
        <f>IFERROR(VLOOKUP(H89,API명세서!A:D,4,FALSE()),"")</f>
        <v/>
      </c>
      <c r="S89" s="33"/>
      <c r="T89" s="33"/>
      <c r="U89" s="33"/>
      <c r="V89" s="33"/>
      <c r="W89" s="33"/>
      <c r="X89" s="33"/>
      <c r="Y89" s="33"/>
      <c r="Z89" s="33"/>
      <c r="AA89" s="33"/>
    </row>
    <row r="90" spans="1:27">
      <c r="A90" s="2" t="s">
        <v>2710</v>
      </c>
      <c r="B90" s="2" t="s">
        <v>2711</v>
      </c>
      <c r="C90" s="2" t="s">
        <v>2691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31"/>
      <c r="U90" s="31"/>
      <c r="V90" s="31"/>
      <c r="W90" s="31"/>
      <c r="X90" s="31"/>
      <c r="Y90" s="31"/>
      <c r="Z90" s="31"/>
      <c r="AA90" s="31"/>
    </row>
    <row r="91" spans="1:27" outlineLevel="1">
      <c r="A91" s="32" t="s">
        <v>2712</v>
      </c>
      <c r="B91" s="32" t="s">
        <v>187</v>
      </c>
      <c r="C91" s="32" t="s">
        <v>2713</v>
      </c>
      <c r="D91" s="33" t="s">
        <v>2323</v>
      </c>
      <c r="E91" s="33" t="s">
        <v>2714</v>
      </c>
      <c r="F91" s="33" t="s">
        <v>2715</v>
      </c>
      <c r="G91" s="33" t="s">
        <v>2716</v>
      </c>
      <c r="H91" s="33"/>
      <c r="I91" s="33" t="s">
        <v>2491</v>
      </c>
      <c r="J91" s="33"/>
      <c r="K91" s="33"/>
      <c r="L91" s="33"/>
      <c r="M91" s="33" t="s">
        <v>2717</v>
      </c>
      <c r="N91" s="33" t="s">
        <v>2084</v>
      </c>
      <c r="O91" s="33"/>
      <c r="P91" s="33" t="s">
        <v>188</v>
      </c>
      <c r="Q91" s="33" t="s">
        <v>2718</v>
      </c>
      <c r="R91" s="33" t="str">
        <f>IFERROR(VLOOKUP(H91,API명세서!A:D,4,FALSE()),"")</f>
        <v/>
      </c>
      <c r="S91" s="33"/>
      <c r="T91" s="33"/>
      <c r="U91" s="33"/>
      <c r="V91" s="33"/>
      <c r="W91" s="33"/>
      <c r="X91" s="33"/>
      <c r="Y91" s="33"/>
      <c r="Z91" s="33"/>
      <c r="AA91" s="33"/>
    </row>
    <row r="92" spans="1:27" ht="30" outlineLevel="1">
      <c r="A92" s="32" t="s">
        <v>2719</v>
      </c>
      <c r="B92" s="32" t="s">
        <v>187</v>
      </c>
      <c r="C92" s="32" t="s">
        <v>2720</v>
      </c>
      <c r="D92" s="33" t="s">
        <v>2209</v>
      </c>
      <c r="E92" s="33" t="s">
        <v>2721</v>
      </c>
      <c r="F92" s="33" t="s">
        <v>2722</v>
      </c>
      <c r="G92" s="33" t="s">
        <v>2716</v>
      </c>
      <c r="H92" s="33"/>
      <c r="I92" s="33" t="s">
        <v>2723</v>
      </c>
      <c r="J92" s="33"/>
      <c r="K92" s="33"/>
      <c r="L92" s="33"/>
      <c r="M92" s="33" t="s">
        <v>2724</v>
      </c>
      <c r="N92" s="33" t="s">
        <v>2084</v>
      </c>
      <c r="O92" s="33"/>
      <c r="P92" s="33" t="s">
        <v>188</v>
      </c>
      <c r="Q92" s="33" t="s">
        <v>2718</v>
      </c>
      <c r="R92" s="33" t="str">
        <f>IFERROR(VLOOKUP(H92,API명세서!A:D,4,FALSE()),"")</f>
        <v/>
      </c>
      <c r="S92" s="33"/>
      <c r="T92" s="33"/>
      <c r="U92" s="33"/>
      <c r="V92" s="33"/>
      <c r="W92" s="33"/>
      <c r="X92" s="33"/>
      <c r="Y92" s="33"/>
      <c r="Z92" s="33"/>
      <c r="AA92" s="33"/>
    </row>
    <row r="93" spans="1:27" outlineLevel="1">
      <c r="A93" s="32" t="s">
        <v>2725</v>
      </c>
      <c r="B93" s="32" t="s">
        <v>187</v>
      </c>
      <c r="C93" s="32" t="s">
        <v>2726</v>
      </c>
      <c r="D93" s="33" t="s">
        <v>2125</v>
      </c>
      <c r="E93" s="33" t="s">
        <v>2727</v>
      </c>
      <c r="F93" s="33" t="s">
        <v>2728</v>
      </c>
      <c r="G93" s="33" t="s">
        <v>2716</v>
      </c>
      <c r="H93" s="33"/>
      <c r="I93" s="33" t="s">
        <v>2729</v>
      </c>
      <c r="J93" s="33"/>
      <c r="K93" s="33"/>
      <c r="L93" s="33"/>
      <c r="M93" s="33" t="s">
        <v>2730</v>
      </c>
      <c r="N93" s="33" t="s">
        <v>2084</v>
      </c>
      <c r="O93" s="33"/>
      <c r="P93" s="33" t="s">
        <v>188</v>
      </c>
      <c r="Q93" s="33" t="s">
        <v>2718</v>
      </c>
      <c r="R93" s="33" t="str">
        <f>IFERROR(VLOOKUP(H93,API명세서!A:D,4,FALSE()),"")</f>
        <v/>
      </c>
      <c r="S93" s="33"/>
      <c r="T93" s="33"/>
      <c r="U93" s="33"/>
      <c r="V93" s="33"/>
      <c r="W93" s="33"/>
      <c r="X93" s="33"/>
      <c r="Y93" s="33"/>
      <c r="Z93" s="33"/>
      <c r="AA93" s="33"/>
    </row>
    <row r="94" spans="1:27">
      <c r="A94" s="2" t="s">
        <v>2731</v>
      </c>
      <c r="B94" s="2" t="s">
        <v>2732</v>
      </c>
      <c r="C94" s="2" t="s">
        <v>2691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31"/>
      <c r="U94" s="31"/>
      <c r="V94" s="31"/>
      <c r="W94" s="31"/>
      <c r="X94" s="31"/>
      <c r="Y94" s="31"/>
      <c r="Z94" s="31"/>
      <c r="AA94" s="31"/>
    </row>
    <row r="95" spans="1:27" ht="30" outlineLevel="1">
      <c r="A95" s="32" t="s">
        <v>2733</v>
      </c>
      <c r="B95" s="32" t="s">
        <v>206</v>
      </c>
      <c r="C95" s="32" t="s">
        <v>2734</v>
      </c>
      <c r="D95" s="33" t="s">
        <v>2158</v>
      </c>
      <c r="E95" s="33" t="s">
        <v>2735</v>
      </c>
      <c r="F95" s="33" t="s">
        <v>2736</v>
      </c>
      <c r="G95" s="33" t="s">
        <v>2737</v>
      </c>
      <c r="H95" s="33"/>
      <c r="I95" s="33" t="s">
        <v>2738</v>
      </c>
      <c r="J95" s="33"/>
      <c r="K95" s="33"/>
      <c r="L95" s="33"/>
      <c r="M95" s="33" t="s">
        <v>2739</v>
      </c>
      <c r="N95" s="33" t="s">
        <v>2084</v>
      </c>
      <c r="O95" s="33"/>
      <c r="P95" s="33" t="s">
        <v>207</v>
      </c>
      <c r="Q95" s="33" t="s">
        <v>207</v>
      </c>
      <c r="R95" s="33" t="str">
        <f>IFERROR(VLOOKUP(H95,API명세서!A:D,4,FALSE()),"")</f>
        <v/>
      </c>
      <c r="S95" s="33"/>
      <c r="T95" s="33"/>
      <c r="U95" s="33"/>
      <c r="V95" s="33"/>
      <c r="W95" s="33"/>
      <c r="X95" s="33"/>
      <c r="Y95" s="33"/>
      <c r="Z95" s="33"/>
      <c r="AA95" s="33"/>
    </row>
    <row r="96" spans="1:27" outlineLevel="1">
      <c r="A96" s="32" t="s">
        <v>2740</v>
      </c>
      <c r="B96" s="32" t="s">
        <v>206</v>
      </c>
      <c r="C96" s="32" t="s">
        <v>2741</v>
      </c>
      <c r="D96" s="33" t="s">
        <v>2125</v>
      </c>
      <c r="E96" s="33" t="s">
        <v>2742</v>
      </c>
      <c r="F96" s="33" t="s">
        <v>2743</v>
      </c>
      <c r="G96" s="33" t="s">
        <v>2737</v>
      </c>
      <c r="H96" s="33"/>
      <c r="I96" s="33" t="s">
        <v>2744</v>
      </c>
      <c r="J96" s="33"/>
      <c r="K96" s="33" t="s">
        <v>2745</v>
      </c>
      <c r="L96" s="33" t="s">
        <v>2746</v>
      </c>
      <c r="M96" s="33" t="s">
        <v>2747</v>
      </c>
      <c r="N96" s="33" t="s">
        <v>2084</v>
      </c>
      <c r="O96" s="33"/>
      <c r="P96" s="33" t="s">
        <v>207</v>
      </c>
      <c r="Q96" s="33" t="s">
        <v>207</v>
      </c>
      <c r="R96" s="33" t="str">
        <f>IFERROR(VLOOKUP(H96,API명세서!A:D,4,FALSE()),"")</f>
        <v/>
      </c>
      <c r="S96" s="33"/>
      <c r="T96" s="33"/>
      <c r="U96" s="33"/>
      <c r="V96" s="33"/>
      <c r="W96" s="33"/>
      <c r="X96" s="33"/>
      <c r="Y96" s="33"/>
      <c r="Z96" s="33"/>
      <c r="AA96" s="33"/>
    </row>
    <row r="97" spans="1:27" ht="30" outlineLevel="1">
      <c r="A97" s="32" t="s">
        <v>2748</v>
      </c>
      <c r="B97" s="32" t="s">
        <v>206</v>
      </c>
      <c r="C97" s="32" t="s">
        <v>2749</v>
      </c>
      <c r="D97" s="33" t="s">
        <v>2125</v>
      </c>
      <c r="E97" s="33" t="s">
        <v>2750</v>
      </c>
      <c r="F97" s="33" t="s">
        <v>2751</v>
      </c>
      <c r="G97" s="33" t="s">
        <v>2737</v>
      </c>
      <c r="H97" s="33" t="s">
        <v>2752</v>
      </c>
      <c r="I97" s="33" t="s">
        <v>2753</v>
      </c>
      <c r="J97" s="33"/>
      <c r="K97" s="33" t="s">
        <v>2754</v>
      </c>
      <c r="L97" s="33" t="s">
        <v>2755</v>
      </c>
      <c r="M97" s="33" t="s">
        <v>2756</v>
      </c>
      <c r="N97" s="33" t="s">
        <v>2084</v>
      </c>
      <c r="O97" s="33"/>
      <c r="P97" s="33" t="s">
        <v>207</v>
      </c>
      <c r="Q97" s="33" t="s">
        <v>207</v>
      </c>
      <c r="R97" s="33" t="s">
        <v>2757</v>
      </c>
      <c r="S97" s="33"/>
      <c r="T97" s="33"/>
      <c r="U97" s="33"/>
      <c r="V97" s="33"/>
      <c r="W97" s="33"/>
      <c r="X97" s="33"/>
      <c r="Y97" s="33"/>
      <c r="Z97" s="33"/>
      <c r="AA97" s="33"/>
    </row>
    <row r="98" spans="1:27">
      <c r="A98" s="2" t="s">
        <v>2758</v>
      </c>
      <c r="B98" s="2" t="s">
        <v>2759</v>
      </c>
      <c r="C98" s="2" t="s">
        <v>2691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31"/>
      <c r="U98" s="31"/>
      <c r="V98" s="31"/>
      <c r="W98" s="31"/>
      <c r="X98" s="31"/>
      <c r="Y98" s="31"/>
      <c r="Z98" s="31"/>
      <c r="AA98" s="31"/>
    </row>
    <row r="99" spans="1:27" ht="30" outlineLevel="1">
      <c r="A99" s="32" t="s">
        <v>2760</v>
      </c>
      <c r="B99" s="32" t="s">
        <v>91</v>
      </c>
      <c r="C99" s="32" t="s">
        <v>2761</v>
      </c>
      <c r="D99" s="33" t="s">
        <v>2110</v>
      </c>
      <c r="E99" s="33" t="s">
        <v>2762</v>
      </c>
      <c r="F99" s="33" t="s">
        <v>2273</v>
      </c>
      <c r="G99" s="33" t="s">
        <v>2763</v>
      </c>
      <c r="H99" s="33" t="s">
        <v>2490</v>
      </c>
      <c r="I99" s="33" t="s">
        <v>2274</v>
      </c>
      <c r="J99" s="33"/>
      <c r="K99" s="33" t="s">
        <v>2267</v>
      </c>
      <c r="L99" s="33" t="s">
        <v>2764</v>
      </c>
      <c r="M99" s="33" t="s">
        <v>2765</v>
      </c>
      <c r="N99" s="33" t="s">
        <v>2084</v>
      </c>
      <c r="O99" s="33"/>
      <c r="P99" s="33" t="s">
        <v>92</v>
      </c>
      <c r="Q99" s="33" t="s">
        <v>2766</v>
      </c>
      <c r="R99" s="33" t="s">
        <v>2494</v>
      </c>
      <c r="S99" s="33"/>
      <c r="T99" s="33"/>
      <c r="U99" s="33"/>
      <c r="V99" s="33"/>
      <c r="W99" s="33"/>
      <c r="X99" s="33"/>
      <c r="Y99" s="33"/>
      <c r="Z99" s="33"/>
      <c r="AA99" s="33"/>
    </row>
    <row r="100" spans="1:27" outlineLevel="1">
      <c r="A100" s="32" t="s">
        <v>2767</v>
      </c>
      <c r="B100" s="32" t="s">
        <v>91</v>
      </c>
      <c r="C100" s="32" t="s">
        <v>2768</v>
      </c>
      <c r="D100" s="33" t="s">
        <v>2209</v>
      </c>
      <c r="E100" s="33" t="s">
        <v>2769</v>
      </c>
      <c r="F100" s="33" t="s">
        <v>2770</v>
      </c>
      <c r="G100" s="33" t="s">
        <v>2763</v>
      </c>
      <c r="H100" s="33" t="s">
        <v>2490</v>
      </c>
      <c r="I100" s="33" t="s">
        <v>2771</v>
      </c>
      <c r="J100" s="33"/>
      <c r="K100" s="33"/>
      <c r="L100" s="33"/>
      <c r="M100" s="33" t="s">
        <v>2500</v>
      </c>
      <c r="N100" s="33" t="s">
        <v>2084</v>
      </c>
      <c r="O100" s="33"/>
      <c r="P100" s="33" t="s">
        <v>92</v>
      </c>
      <c r="Q100" s="33" t="s">
        <v>2766</v>
      </c>
      <c r="R100" s="33" t="s">
        <v>2494</v>
      </c>
      <c r="S100" s="33"/>
      <c r="T100" s="33"/>
      <c r="U100" s="33"/>
      <c r="V100" s="33"/>
      <c r="W100" s="33"/>
      <c r="X100" s="33"/>
      <c r="Y100" s="33"/>
      <c r="Z100" s="33"/>
      <c r="AA100" s="33"/>
    </row>
    <row r="101" spans="1:27" outlineLevel="1">
      <c r="A101" s="32" t="s">
        <v>2772</v>
      </c>
      <c r="B101" s="32" t="s">
        <v>91</v>
      </c>
      <c r="C101" s="32" t="s">
        <v>2773</v>
      </c>
      <c r="D101" s="33" t="s">
        <v>2125</v>
      </c>
      <c r="E101" s="33" t="s">
        <v>2774</v>
      </c>
      <c r="F101" s="33" t="s">
        <v>2775</v>
      </c>
      <c r="G101" s="33" t="s">
        <v>2776</v>
      </c>
      <c r="H101" s="33"/>
      <c r="I101" s="33" t="s">
        <v>2306</v>
      </c>
      <c r="J101" s="33"/>
      <c r="K101" s="33"/>
      <c r="L101" s="33"/>
      <c r="M101" s="33" t="s">
        <v>2777</v>
      </c>
      <c r="N101" s="33" t="s">
        <v>2084</v>
      </c>
      <c r="O101" s="33"/>
      <c r="P101" s="33" t="s">
        <v>92</v>
      </c>
      <c r="Q101" s="33" t="s">
        <v>2778</v>
      </c>
      <c r="R101" s="33" t="str">
        <f>IFERROR(VLOOKUP(H101,API명세서!A:D,4,FALSE()),"")</f>
        <v/>
      </c>
      <c r="S101" s="33"/>
      <c r="T101" s="33"/>
      <c r="U101" s="33"/>
      <c r="V101" s="33"/>
      <c r="W101" s="33"/>
      <c r="X101" s="33"/>
      <c r="Y101" s="33"/>
      <c r="Z101" s="33"/>
      <c r="AA101" s="33"/>
    </row>
    <row r="102" spans="1:27">
      <c r="A102" s="2" t="s">
        <v>2779</v>
      </c>
      <c r="B102" s="2" t="s">
        <v>2780</v>
      </c>
      <c r="C102" s="2" t="s">
        <v>2484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31"/>
      <c r="U102" s="31"/>
      <c r="V102" s="31"/>
      <c r="W102" s="31"/>
      <c r="X102" s="31"/>
      <c r="Y102" s="31"/>
      <c r="Z102" s="31"/>
      <c r="AA102" s="31"/>
    </row>
    <row r="103" spans="1:27" outlineLevel="1">
      <c r="A103" s="32" t="s">
        <v>2781</v>
      </c>
      <c r="B103" s="32" t="s">
        <v>95</v>
      </c>
      <c r="C103" s="32" t="s">
        <v>2782</v>
      </c>
      <c r="D103" s="33" t="s">
        <v>2110</v>
      </c>
      <c r="E103" s="33" t="s">
        <v>2783</v>
      </c>
      <c r="F103" s="33" t="s">
        <v>2784</v>
      </c>
      <c r="G103" s="33" t="s">
        <v>2776</v>
      </c>
      <c r="H103" s="33" t="s">
        <v>2785</v>
      </c>
      <c r="I103" s="33" t="s">
        <v>2786</v>
      </c>
      <c r="J103" s="33"/>
      <c r="K103" s="33" t="s">
        <v>2114</v>
      </c>
      <c r="L103" s="33" t="s">
        <v>2787</v>
      </c>
      <c r="M103" s="33" t="s">
        <v>2788</v>
      </c>
      <c r="N103" s="33" t="s">
        <v>2084</v>
      </c>
      <c r="O103" s="33"/>
      <c r="P103" s="33" t="s">
        <v>96</v>
      </c>
      <c r="Q103" s="33" t="s">
        <v>2778</v>
      </c>
      <c r="R103" s="33" t="s">
        <v>2494</v>
      </c>
      <c r="S103" s="33"/>
      <c r="T103" s="33"/>
      <c r="U103" s="33"/>
      <c r="V103" s="33"/>
      <c r="W103" s="33"/>
      <c r="X103" s="33"/>
      <c r="Y103" s="33"/>
      <c r="Z103" s="33"/>
      <c r="AA103" s="33"/>
    </row>
    <row r="104" spans="1:27" outlineLevel="1">
      <c r="A104" s="32" t="s">
        <v>2789</v>
      </c>
      <c r="B104" s="32" t="s">
        <v>95</v>
      </c>
      <c r="C104" s="32" t="s">
        <v>2790</v>
      </c>
      <c r="D104" s="33" t="s">
        <v>2075</v>
      </c>
      <c r="E104" s="33" t="s">
        <v>2790</v>
      </c>
      <c r="F104" s="33" t="s">
        <v>2791</v>
      </c>
      <c r="G104" s="33" t="s">
        <v>2776</v>
      </c>
      <c r="H104" s="33" t="s">
        <v>2785</v>
      </c>
      <c r="I104" s="33" t="s">
        <v>2792</v>
      </c>
      <c r="J104" s="33"/>
      <c r="K104" s="33" t="s">
        <v>2793</v>
      </c>
      <c r="L104" s="33" t="s">
        <v>2794</v>
      </c>
      <c r="M104" s="33" t="s">
        <v>2788</v>
      </c>
      <c r="N104" s="33" t="s">
        <v>2084</v>
      </c>
      <c r="O104" s="33"/>
      <c r="P104" s="33" t="s">
        <v>96</v>
      </c>
      <c r="Q104" s="33" t="s">
        <v>2778</v>
      </c>
      <c r="R104" s="33" t="s">
        <v>2494</v>
      </c>
      <c r="S104" s="33"/>
      <c r="T104" s="33"/>
      <c r="U104" s="33"/>
      <c r="V104" s="33"/>
      <c r="W104" s="33"/>
      <c r="X104" s="33"/>
      <c r="Y104" s="33"/>
      <c r="Z104" s="33"/>
      <c r="AA104" s="33"/>
    </row>
    <row r="105" spans="1:27" outlineLevel="1">
      <c r="A105" s="32" t="s">
        <v>2795</v>
      </c>
      <c r="B105" s="32" t="s">
        <v>95</v>
      </c>
      <c r="C105" s="32" t="s">
        <v>2796</v>
      </c>
      <c r="D105" s="33" t="s">
        <v>2075</v>
      </c>
      <c r="E105" s="33" t="s">
        <v>2797</v>
      </c>
      <c r="F105" s="33" t="s">
        <v>2798</v>
      </c>
      <c r="G105" s="33" t="s">
        <v>2776</v>
      </c>
      <c r="H105" s="33" t="s">
        <v>2785</v>
      </c>
      <c r="I105" s="33" t="s">
        <v>2799</v>
      </c>
      <c r="J105" s="33"/>
      <c r="K105" s="33" t="s">
        <v>2800</v>
      </c>
      <c r="L105" s="33" t="s">
        <v>2801</v>
      </c>
      <c r="M105" s="33" t="s">
        <v>2802</v>
      </c>
      <c r="N105" s="33" t="s">
        <v>2084</v>
      </c>
      <c r="O105" s="33"/>
      <c r="P105" s="33" t="s">
        <v>96</v>
      </c>
      <c r="Q105" s="33" t="s">
        <v>2778</v>
      </c>
      <c r="R105" s="33" t="s">
        <v>2494</v>
      </c>
      <c r="S105" s="33"/>
      <c r="T105" s="33"/>
      <c r="U105" s="33"/>
      <c r="V105" s="33"/>
      <c r="W105" s="33"/>
      <c r="X105" s="33"/>
      <c r="Y105" s="33"/>
      <c r="Z105" s="33"/>
      <c r="AA105" s="33"/>
    </row>
    <row r="106" spans="1:27" outlineLevel="1">
      <c r="A106" s="32" t="s">
        <v>2803</v>
      </c>
      <c r="B106" s="32" t="s">
        <v>95</v>
      </c>
      <c r="C106" s="32" t="s">
        <v>2424</v>
      </c>
      <c r="D106" s="33" t="s">
        <v>2125</v>
      </c>
      <c r="E106" s="33" t="s">
        <v>2804</v>
      </c>
      <c r="F106" s="33" t="s">
        <v>2805</v>
      </c>
      <c r="G106" s="33" t="s">
        <v>2776</v>
      </c>
      <c r="H106" s="33" t="s">
        <v>2785</v>
      </c>
      <c r="I106" s="33" t="s">
        <v>2306</v>
      </c>
      <c r="J106" s="33"/>
      <c r="K106" s="33" t="s">
        <v>2428</v>
      </c>
      <c r="L106" s="33" t="s">
        <v>2429</v>
      </c>
      <c r="M106" s="33" t="s">
        <v>2430</v>
      </c>
      <c r="N106" s="33" t="s">
        <v>2084</v>
      </c>
      <c r="O106" s="33"/>
      <c r="P106" s="33" t="s">
        <v>96</v>
      </c>
      <c r="Q106" s="33" t="s">
        <v>2778</v>
      </c>
      <c r="R106" s="33" t="s">
        <v>2494</v>
      </c>
      <c r="S106" s="33"/>
      <c r="T106" s="33"/>
      <c r="U106" s="33"/>
      <c r="V106" s="33"/>
      <c r="W106" s="33"/>
      <c r="X106" s="33"/>
      <c r="Y106" s="33"/>
      <c r="Z106" s="33"/>
      <c r="AA106" s="33"/>
    </row>
    <row r="107" spans="1:27">
      <c r="A107" s="2" t="s">
        <v>2806</v>
      </c>
      <c r="B107" s="2" t="s">
        <v>2807</v>
      </c>
      <c r="C107" s="2" t="s">
        <v>2484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31"/>
      <c r="U107" s="31"/>
      <c r="V107" s="31"/>
      <c r="W107" s="31"/>
      <c r="X107" s="31"/>
      <c r="Y107" s="31"/>
      <c r="Z107" s="31"/>
      <c r="AA107" s="31"/>
    </row>
    <row r="108" spans="1:27" outlineLevel="1">
      <c r="A108" s="32" t="s">
        <v>2808</v>
      </c>
      <c r="B108" s="32" t="s">
        <v>107</v>
      </c>
      <c r="C108" s="32" t="s">
        <v>2532</v>
      </c>
      <c r="D108" s="33" t="s">
        <v>2075</v>
      </c>
      <c r="E108" s="33" t="s">
        <v>2809</v>
      </c>
      <c r="F108" s="33" t="s">
        <v>2810</v>
      </c>
      <c r="G108" s="33" t="s">
        <v>2811</v>
      </c>
      <c r="H108" s="33" t="s">
        <v>2255</v>
      </c>
      <c r="I108" s="33" t="s">
        <v>2810</v>
      </c>
      <c r="J108" s="33"/>
      <c r="K108" s="33" t="s">
        <v>2099</v>
      </c>
      <c r="L108" s="33" t="s">
        <v>2258</v>
      </c>
      <c r="M108" s="33" t="s">
        <v>2259</v>
      </c>
      <c r="N108" s="33" t="s">
        <v>2084</v>
      </c>
      <c r="O108" s="33"/>
      <c r="P108" s="33" t="s">
        <v>108</v>
      </c>
      <c r="Q108" s="33" t="s">
        <v>2812</v>
      </c>
      <c r="R108" s="33" t="s">
        <v>2261</v>
      </c>
      <c r="S108" s="33"/>
      <c r="T108" s="33"/>
      <c r="U108" s="33"/>
      <c r="V108" s="33"/>
      <c r="W108" s="33"/>
      <c r="X108" s="33"/>
      <c r="Y108" s="33"/>
      <c r="Z108" s="33"/>
      <c r="AA108" s="33"/>
    </row>
    <row r="109" spans="1:27" outlineLevel="1">
      <c r="A109" s="32" t="s">
        <v>2813</v>
      </c>
      <c r="B109" s="32" t="s">
        <v>107</v>
      </c>
      <c r="C109" s="32" t="s">
        <v>2814</v>
      </c>
      <c r="D109" s="33" t="s">
        <v>2209</v>
      </c>
      <c r="E109" s="33" t="s">
        <v>2815</v>
      </c>
      <c r="F109" s="33" t="s">
        <v>2816</v>
      </c>
      <c r="G109" s="33" t="s">
        <v>2811</v>
      </c>
      <c r="H109" s="33" t="s">
        <v>2551</v>
      </c>
      <c r="I109" s="33" t="s">
        <v>2817</v>
      </c>
      <c r="J109" s="33"/>
      <c r="K109" s="33"/>
      <c r="L109" s="33"/>
      <c r="M109" s="33" t="s">
        <v>2818</v>
      </c>
      <c r="N109" s="33" t="s">
        <v>2084</v>
      </c>
      <c r="O109" s="33"/>
      <c r="P109" s="33" t="s">
        <v>108</v>
      </c>
      <c r="Q109" s="33" t="s">
        <v>2812</v>
      </c>
      <c r="R109" s="33" t="s">
        <v>2554</v>
      </c>
      <c r="S109" s="33"/>
      <c r="T109" s="33"/>
      <c r="U109" s="33"/>
      <c r="V109" s="33"/>
      <c r="W109" s="33"/>
      <c r="X109" s="33"/>
      <c r="Y109" s="33"/>
      <c r="Z109" s="33"/>
      <c r="AA109" s="33"/>
    </row>
    <row r="110" spans="1:27" outlineLevel="1">
      <c r="A110" s="32" t="s">
        <v>2819</v>
      </c>
      <c r="B110" s="32" t="s">
        <v>107</v>
      </c>
      <c r="C110" s="32" t="s">
        <v>2820</v>
      </c>
      <c r="D110" s="33" t="s">
        <v>2125</v>
      </c>
      <c r="E110" s="33" t="s">
        <v>2821</v>
      </c>
      <c r="F110" s="33" t="s">
        <v>2822</v>
      </c>
      <c r="G110" s="33" t="s">
        <v>2811</v>
      </c>
      <c r="H110" s="33" t="s">
        <v>2823</v>
      </c>
      <c r="I110" s="33" t="s">
        <v>2306</v>
      </c>
      <c r="J110" s="33"/>
      <c r="K110" s="33" t="s">
        <v>2824</v>
      </c>
      <c r="L110" s="33" t="s">
        <v>2825</v>
      </c>
      <c r="M110" s="33" t="s">
        <v>2826</v>
      </c>
      <c r="N110" s="33" t="s">
        <v>2084</v>
      </c>
      <c r="O110" s="33"/>
      <c r="P110" s="33" t="s">
        <v>108</v>
      </c>
      <c r="Q110" s="33" t="s">
        <v>2812</v>
      </c>
      <c r="R110" s="33" t="s">
        <v>2827</v>
      </c>
      <c r="S110" s="33"/>
      <c r="T110" s="33"/>
      <c r="U110" s="33"/>
      <c r="V110" s="33"/>
      <c r="W110" s="33"/>
      <c r="X110" s="33"/>
      <c r="Y110" s="33"/>
      <c r="Z110" s="33"/>
      <c r="AA110" s="33"/>
    </row>
    <row r="111" spans="1:27" outlineLevel="1">
      <c r="A111" s="32" t="s">
        <v>2828</v>
      </c>
      <c r="B111" s="32" t="s">
        <v>107</v>
      </c>
      <c r="C111" s="32" t="s">
        <v>2829</v>
      </c>
      <c r="D111" s="33" t="s">
        <v>2125</v>
      </c>
      <c r="E111" s="33" t="s">
        <v>2830</v>
      </c>
      <c r="F111" s="33" t="s">
        <v>2831</v>
      </c>
      <c r="G111" s="33" t="s">
        <v>2811</v>
      </c>
      <c r="H111" s="33" t="s">
        <v>2823</v>
      </c>
      <c r="I111" s="33" t="s">
        <v>2435</v>
      </c>
      <c r="J111" s="33"/>
      <c r="K111" s="33"/>
      <c r="L111" s="33"/>
      <c r="M111" s="33" t="s">
        <v>2832</v>
      </c>
      <c r="N111" s="33" t="s">
        <v>2084</v>
      </c>
      <c r="O111" s="33"/>
      <c r="P111" s="33" t="s">
        <v>108</v>
      </c>
      <c r="Q111" s="33" t="s">
        <v>2812</v>
      </c>
      <c r="R111" s="33" t="s">
        <v>2827</v>
      </c>
      <c r="S111" s="33"/>
      <c r="T111" s="33"/>
      <c r="U111" s="33"/>
      <c r="V111" s="33"/>
      <c r="W111" s="33"/>
      <c r="X111" s="33"/>
      <c r="Y111" s="33"/>
      <c r="Z111" s="33"/>
      <c r="AA111" s="33"/>
    </row>
    <row r="112" spans="1:27">
      <c r="A112" s="2" t="s">
        <v>2833</v>
      </c>
      <c r="B112" s="2" t="s">
        <v>2834</v>
      </c>
      <c r="C112" s="2" t="s">
        <v>2072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31"/>
      <c r="U112" s="31"/>
      <c r="V112" s="31"/>
      <c r="W112" s="31"/>
      <c r="X112" s="31"/>
      <c r="Y112" s="31"/>
      <c r="Z112" s="31"/>
      <c r="AA112" s="31"/>
    </row>
    <row r="113" spans="1:27" outlineLevel="1">
      <c r="A113" s="32" t="s">
        <v>2835</v>
      </c>
      <c r="B113" s="32" t="s">
        <v>130</v>
      </c>
      <c r="C113" s="32" t="s">
        <v>2362</v>
      </c>
      <c r="D113" s="33" t="s">
        <v>2075</v>
      </c>
      <c r="E113" s="33" t="s">
        <v>2836</v>
      </c>
      <c r="F113" s="33" t="s">
        <v>2837</v>
      </c>
      <c r="G113" s="33" t="s">
        <v>2603</v>
      </c>
      <c r="H113" s="33" t="s">
        <v>2838</v>
      </c>
      <c r="I113" s="33" t="s">
        <v>2839</v>
      </c>
      <c r="J113" s="33"/>
      <c r="K113" s="33" t="s">
        <v>2837</v>
      </c>
      <c r="L113" s="33" t="s">
        <v>2368</v>
      </c>
      <c r="M113" s="33" t="s">
        <v>2788</v>
      </c>
      <c r="N113" s="33" t="s">
        <v>2084</v>
      </c>
      <c r="O113" s="33"/>
      <c r="P113" s="33" t="s">
        <v>131</v>
      </c>
      <c r="Q113" s="33" t="s">
        <v>2605</v>
      </c>
      <c r="R113" s="33" t="s">
        <v>2584</v>
      </c>
      <c r="S113" s="33"/>
      <c r="T113" s="33"/>
      <c r="U113" s="33"/>
      <c r="V113" s="33"/>
      <c r="W113" s="33"/>
      <c r="X113" s="33"/>
      <c r="Y113" s="33"/>
      <c r="Z113" s="33"/>
      <c r="AA113" s="33"/>
    </row>
    <row r="114" spans="1:27" outlineLevel="1">
      <c r="A114" s="32" t="s">
        <v>2840</v>
      </c>
      <c r="B114" s="32" t="s">
        <v>130</v>
      </c>
      <c r="C114" s="32" t="s">
        <v>2841</v>
      </c>
      <c r="D114" s="33" t="s">
        <v>2110</v>
      </c>
      <c r="E114" s="33" t="s">
        <v>2842</v>
      </c>
      <c r="F114" s="33" t="s">
        <v>2843</v>
      </c>
      <c r="G114" s="33" t="s">
        <v>2603</v>
      </c>
      <c r="H114" s="33" t="s">
        <v>2838</v>
      </c>
      <c r="I114" s="33" t="s">
        <v>2844</v>
      </c>
      <c r="J114" s="33"/>
      <c r="K114" s="33" t="s">
        <v>2837</v>
      </c>
      <c r="L114" s="33" t="s">
        <v>2845</v>
      </c>
      <c r="M114" s="33" t="s">
        <v>2788</v>
      </c>
      <c r="N114" s="33" t="s">
        <v>2084</v>
      </c>
      <c r="O114" s="33"/>
      <c r="P114" s="33" t="s">
        <v>131</v>
      </c>
      <c r="Q114" s="33" t="s">
        <v>2605</v>
      </c>
      <c r="R114" s="33" t="s">
        <v>2584</v>
      </c>
      <c r="S114" s="33"/>
      <c r="T114" s="33"/>
      <c r="U114" s="33"/>
      <c r="V114" s="33"/>
      <c r="W114" s="33"/>
      <c r="X114" s="33"/>
      <c r="Y114" s="33"/>
      <c r="Z114" s="33"/>
      <c r="AA114" s="33"/>
    </row>
    <row r="115" spans="1:27" outlineLevel="1">
      <c r="A115" s="32" t="s">
        <v>2846</v>
      </c>
      <c r="B115" s="32" t="s">
        <v>130</v>
      </c>
      <c r="C115" s="32" t="s">
        <v>2387</v>
      </c>
      <c r="D115" s="33" t="s">
        <v>2075</v>
      </c>
      <c r="E115" s="33" t="s">
        <v>2847</v>
      </c>
      <c r="F115" s="33" t="s">
        <v>2848</v>
      </c>
      <c r="G115" s="33" t="s">
        <v>2603</v>
      </c>
      <c r="H115" s="33" t="s">
        <v>2838</v>
      </c>
      <c r="I115" s="33" t="s">
        <v>2849</v>
      </c>
      <c r="J115" s="33"/>
      <c r="K115" s="33" t="s">
        <v>2850</v>
      </c>
      <c r="L115" s="33" t="s">
        <v>2392</v>
      </c>
      <c r="M115" s="33" t="s">
        <v>2393</v>
      </c>
      <c r="N115" s="33" t="s">
        <v>2084</v>
      </c>
      <c r="O115" s="33"/>
      <c r="P115" s="33" t="s">
        <v>131</v>
      </c>
      <c r="Q115" s="33" t="s">
        <v>2605</v>
      </c>
      <c r="R115" s="33" t="s">
        <v>2584</v>
      </c>
      <c r="S115" s="33"/>
      <c r="T115" s="33"/>
      <c r="U115" s="33"/>
      <c r="V115" s="33"/>
      <c r="W115" s="33"/>
      <c r="X115" s="33"/>
      <c r="Y115" s="33"/>
      <c r="Z115" s="33"/>
      <c r="AA115" s="33"/>
    </row>
    <row r="116" spans="1:27" outlineLevel="1">
      <c r="A116" s="32" t="s">
        <v>2851</v>
      </c>
      <c r="B116" s="32" t="s">
        <v>130</v>
      </c>
      <c r="C116" s="32" t="s">
        <v>2852</v>
      </c>
      <c r="D116" s="33" t="s">
        <v>2075</v>
      </c>
      <c r="E116" s="33" t="s">
        <v>2853</v>
      </c>
      <c r="F116" s="33" t="s">
        <v>2854</v>
      </c>
      <c r="G116" s="33" t="s">
        <v>2603</v>
      </c>
      <c r="H116" s="33" t="s">
        <v>2838</v>
      </c>
      <c r="I116" s="33" t="s">
        <v>2855</v>
      </c>
      <c r="J116" s="33"/>
      <c r="K116" s="33" t="s">
        <v>2837</v>
      </c>
      <c r="L116" s="33" t="s">
        <v>2856</v>
      </c>
      <c r="M116" s="33" t="s">
        <v>2857</v>
      </c>
      <c r="N116" s="33" t="s">
        <v>2084</v>
      </c>
      <c r="O116" s="33"/>
      <c r="P116" s="33" t="s">
        <v>131</v>
      </c>
      <c r="Q116" s="33" t="s">
        <v>2605</v>
      </c>
      <c r="R116" s="33" t="s">
        <v>2584</v>
      </c>
      <c r="S116" s="33"/>
      <c r="T116" s="33"/>
      <c r="U116" s="33"/>
      <c r="V116" s="33"/>
      <c r="W116" s="33"/>
      <c r="X116" s="33"/>
      <c r="Y116" s="33"/>
      <c r="Z116" s="33"/>
      <c r="AA116" s="33"/>
    </row>
    <row r="117" spans="1:27" outlineLevel="1">
      <c r="A117" s="32" t="s">
        <v>2858</v>
      </c>
      <c r="B117" s="32" t="s">
        <v>130</v>
      </c>
      <c r="C117" s="32" t="s">
        <v>2424</v>
      </c>
      <c r="D117" s="33" t="s">
        <v>2125</v>
      </c>
      <c r="E117" s="33" t="s">
        <v>2859</v>
      </c>
      <c r="F117" s="33" t="s">
        <v>2860</v>
      </c>
      <c r="G117" s="33" t="s">
        <v>2603</v>
      </c>
      <c r="H117" s="33" t="s">
        <v>2838</v>
      </c>
      <c r="I117" s="33" t="s">
        <v>2306</v>
      </c>
      <c r="J117" s="33"/>
      <c r="K117" s="33" t="s">
        <v>2861</v>
      </c>
      <c r="L117" s="33" t="s">
        <v>2429</v>
      </c>
      <c r="M117" s="33" t="s">
        <v>2430</v>
      </c>
      <c r="N117" s="33" t="s">
        <v>2084</v>
      </c>
      <c r="O117" s="33"/>
      <c r="P117" s="33" t="s">
        <v>131</v>
      </c>
      <c r="Q117" s="33" t="s">
        <v>2605</v>
      </c>
      <c r="R117" s="33" t="s">
        <v>2584</v>
      </c>
      <c r="S117" s="33"/>
      <c r="T117" s="33"/>
      <c r="U117" s="33"/>
      <c r="V117" s="33"/>
      <c r="W117" s="33"/>
      <c r="X117" s="33"/>
      <c r="Y117" s="33"/>
      <c r="Z117" s="33"/>
      <c r="AA117" s="33"/>
    </row>
    <row r="118" spans="1:27">
      <c r="A118" s="2" t="s">
        <v>2862</v>
      </c>
      <c r="B118" s="2" t="s">
        <v>2863</v>
      </c>
      <c r="C118" s="2" t="s">
        <v>2691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31"/>
      <c r="U118" s="31"/>
      <c r="V118" s="31"/>
      <c r="W118" s="31"/>
      <c r="X118" s="31"/>
      <c r="Y118" s="31"/>
      <c r="Z118" s="31"/>
      <c r="AA118" s="31"/>
    </row>
    <row r="119" spans="1:27" outlineLevel="1">
      <c r="A119" s="32" t="s">
        <v>2864</v>
      </c>
      <c r="B119" s="32" t="s">
        <v>135</v>
      </c>
      <c r="C119" s="32" t="s">
        <v>2865</v>
      </c>
      <c r="D119" s="33" t="s">
        <v>2110</v>
      </c>
      <c r="E119" s="33" t="s">
        <v>2866</v>
      </c>
      <c r="F119" s="33" t="s">
        <v>2867</v>
      </c>
      <c r="G119" s="33" t="s">
        <v>2868</v>
      </c>
      <c r="H119" s="33"/>
      <c r="I119" s="33" t="s">
        <v>2869</v>
      </c>
      <c r="J119" s="33"/>
      <c r="K119" s="33" t="s">
        <v>2267</v>
      </c>
      <c r="L119" s="33" t="s">
        <v>2870</v>
      </c>
      <c r="M119" s="33" t="s">
        <v>2871</v>
      </c>
      <c r="N119" s="33" t="s">
        <v>2084</v>
      </c>
      <c r="O119" s="33"/>
      <c r="P119" s="33" t="s">
        <v>136</v>
      </c>
      <c r="Q119" s="33" t="s">
        <v>2872</v>
      </c>
      <c r="R119" s="33" t="str">
        <f>IFERROR(VLOOKUP(H119,API명세서!A:D,4,FALSE()),"")</f>
        <v/>
      </c>
      <c r="S119" s="33"/>
      <c r="T119" s="33"/>
      <c r="U119" s="33"/>
      <c r="V119" s="33"/>
      <c r="W119" s="33"/>
      <c r="X119" s="33"/>
      <c r="Y119" s="33"/>
      <c r="Z119" s="33"/>
      <c r="AA119" s="33"/>
    </row>
    <row r="120" spans="1:27" outlineLevel="1">
      <c r="A120" s="32" t="s">
        <v>2873</v>
      </c>
      <c r="B120" s="32" t="s">
        <v>135</v>
      </c>
      <c r="C120" s="32" t="s">
        <v>2874</v>
      </c>
      <c r="D120" s="33" t="s">
        <v>2209</v>
      </c>
      <c r="E120" s="33" t="s">
        <v>2875</v>
      </c>
      <c r="F120" s="33" t="s">
        <v>2876</v>
      </c>
      <c r="G120" s="33" t="s">
        <v>2868</v>
      </c>
      <c r="H120" s="33"/>
      <c r="I120" s="33" t="s">
        <v>2597</v>
      </c>
      <c r="J120" s="33"/>
      <c r="K120" s="33"/>
      <c r="L120" s="33"/>
      <c r="M120" s="33" t="s">
        <v>2877</v>
      </c>
      <c r="N120" s="33" t="s">
        <v>2084</v>
      </c>
      <c r="O120" s="33"/>
      <c r="P120" s="33" t="s">
        <v>136</v>
      </c>
      <c r="Q120" s="33" t="s">
        <v>2872</v>
      </c>
      <c r="R120" s="33" t="str">
        <f>IFERROR(VLOOKUP(H120,API명세서!A:D,4,FALSE()),"")</f>
        <v/>
      </c>
      <c r="S120" s="33"/>
      <c r="T120" s="33"/>
      <c r="U120" s="33"/>
      <c r="V120" s="33"/>
      <c r="W120" s="33"/>
      <c r="X120" s="33"/>
      <c r="Y120" s="33"/>
      <c r="Z120" s="33"/>
      <c r="AA120" s="33"/>
    </row>
    <row r="121" spans="1:27" outlineLevel="1">
      <c r="A121" s="32" t="s">
        <v>2878</v>
      </c>
      <c r="B121" s="32" t="s">
        <v>135</v>
      </c>
      <c r="C121" s="32" t="s">
        <v>2879</v>
      </c>
      <c r="D121" s="33" t="s">
        <v>2563</v>
      </c>
      <c r="E121" s="33" t="s">
        <v>2880</v>
      </c>
      <c r="F121" s="33" t="s">
        <v>2881</v>
      </c>
      <c r="G121" s="33" t="s">
        <v>2868</v>
      </c>
      <c r="H121" s="33"/>
      <c r="I121" s="33" t="s">
        <v>2882</v>
      </c>
      <c r="J121" s="33"/>
      <c r="K121" s="33"/>
      <c r="L121" s="33"/>
      <c r="M121" s="33" t="s">
        <v>2883</v>
      </c>
      <c r="N121" s="33" t="s">
        <v>2084</v>
      </c>
      <c r="O121" s="33"/>
      <c r="P121" s="33" t="s">
        <v>136</v>
      </c>
      <c r="Q121" s="33" t="s">
        <v>2872</v>
      </c>
      <c r="R121" s="33" t="str">
        <f>IFERROR(VLOOKUP(H121,API명세서!A:D,4,FALSE()),"")</f>
        <v/>
      </c>
      <c r="S121" s="33"/>
      <c r="T121" s="33"/>
      <c r="U121" s="33"/>
      <c r="V121" s="33"/>
      <c r="W121" s="33"/>
      <c r="X121" s="33"/>
      <c r="Y121" s="33"/>
      <c r="Z121" s="33"/>
      <c r="AA121" s="33"/>
    </row>
    <row r="122" spans="1:27">
      <c r="A122" s="2" t="s">
        <v>2884</v>
      </c>
      <c r="B122" s="2" t="s">
        <v>2885</v>
      </c>
      <c r="C122" s="2" t="s">
        <v>2886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31"/>
      <c r="U122" s="31"/>
      <c r="V122" s="31"/>
      <c r="W122" s="31"/>
      <c r="X122" s="31"/>
      <c r="Y122" s="31"/>
      <c r="Z122" s="31"/>
      <c r="AA122" s="31"/>
    </row>
    <row r="123" spans="1:27" outlineLevel="1">
      <c r="A123" s="32" t="s">
        <v>2887</v>
      </c>
      <c r="B123" s="32" t="s">
        <v>152</v>
      </c>
      <c r="C123" s="32" t="s">
        <v>2888</v>
      </c>
      <c r="D123" s="33" t="s">
        <v>2209</v>
      </c>
      <c r="E123" s="33" t="s">
        <v>2889</v>
      </c>
      <c r="F123" s="33" t="s">
        <v>2890</v>
      </c>
      <c r="G123" s="33" t="s">
        <v>2891</v>
      </c>
      <c r="H123" s="33"/>
      <c r="I123" s="33" t="s">
        <v>2892</v>
      </c>
      <c r="J123" s="33"/>
      <c r="K123" s="33"/>
      <c r="L123" s="33"/>
      <c r="M123" s="33" t="s">
        <v>2893</v>
      </c>
      <c r="N123" s="33" t="s">
        <v>2084</v>
      </c>
      <c r="O123" s="33"/>
      <c r="P123" s="33" t="s">
        <v>153</v>
      </c>
      <c r="Q123" s="33" t="s">
        <v>2894</v>
      </c>
      <c r="R123" s="33" t="str">
        <f>IFERROR(VLOOKUP(H123,API명세서!A:D,4,FALSE()),"")</f>
        <v/>
      </c>
      <c r="S123" s="33"/>
      <c r="T123" s="33"/>
      <c r="U123" s="33"/>
      <c r="V123" s="33"/>
      <c r="W123" s="33"/>
      <c r="X123" s="33"/>
      <c r="Y123" s="33"/>
      <c r="Z123" s="33"/>
      <c r="AA123" s="33"/>
    </row>
    <row r="124" spans="1:27" outlineLevel="1">
      <c r="A124" s="32" t="s">
        <v>2895</v>
      </c>
      <c r="B124" s="32" t="s">
        <v>152</v>
      </c>
      <c r="C124" s="32" t="s">
        <v>2896</v>
      </c>
      <c r="D124" s="33" t="s">
        <v>2570</v>
      </c>
      <c r="E124" s="33" t="s">
        <v>2897</v>
      </c>
      <c r="F124" s="33" t="s">
        <v>2898</v>
      </c>
      <c r="G124" s="33" t="s">
        <v>2891</v>
      </c>
      <c r="H124" s="33"/>
      <c r="I124" s="33" t="s">
        <v>2899</v>
      </c>
      <c r="J124" s="33"/>
      <c r="K124" s="33"/>
      <c r="L124" s="33"/>
      <c r="M124" s="33" t="s">
        <v>2574</v>
      </c>
      <c r="N124" s="33" t="s">
        <v>2084</v>
      </c>
      <c r="O124" s="33"/>
      <c r="P124" s="33" t="s">
        <v>153</v>
      </c>
      <c r="Q124" s="33" t="s">
        <v>2894</v>
      </c>
      <c r="R124" s="33" t="str">
        <f>IFERROR(VLOOKUP(H124,API명세서!A:D,4,FALSE()),"")</f>
        <v/>
      </c>
      <c r="S124" s="33"/>
      <c r="T124" s="33"/>
      <c r="U124" s="33"/>
      <c r="V124" s="33"/>
      <c r="W124" s="33"/>
      <c r="X124" s="33"/>
      <c r="Y124" s="33"/>
      <c r="Z124" s="33"/>
      <c r="AA124" s="33"/>
    </row>
    <row r="125" spans="1:27">
      <c r="A125" s="2" t="s">
        <v>2900</v>
      </c>
      <c r="B125" s="2" t="s">
        <v>2901</v>
      </c>
      <c r="C125" s="2" t="s">
        <v>2886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31"/>
      <c r="U125" s="31"/>
      <c r="V125" s="31"/>
      <c r="W125" s="31"/>
      <c r="X125" s="31"/>
      <c r="Y125" s="31"/>
      <c r="Z125" s="31"/>
      <c r="AA125" s="31"/>
    </row>
    <row r="126" spans="1:27" outlineLevel="1">
      <c r="A126" s="32" t="s">
        <v>2902</v>
      </c>
      <c r="B126" s="32" t="s">
        <v>158</v>
      </c>
      <c r="C126" s="32" t="s">
        <v>2903</v>
      </c>
      <c r="D126" s="33" t="s">
        <v>2209</v>
      </c>
      <c r="E126" s="33" t="s">
        <v>2904</v>
      </c>
      <c r="F126" s="33" t="s">
        <v>2905</v>
      </c>
      <c r="G126" s="33" t="s">
        <v>2906</v>
      </c>
      <c r="H126" s="33"/>
      <c r="I126" s="33" t="s">
        <v>2597</v>
      </c>
      <c r="J126" s="33"/>
      <c r="K126" s="33"/>
      <c r="L126" s="33"/>
      <c r="M126" s="33" t="s">
        <v>2907</v>
      </c>
      <c r="N126" s="33" t="s">
        <v>2084</v>
      </c>
      <c r="O126" s="33"/>
      <c r="P126" s="33" t="s">
        <v>159</v>
      </c>
      <c r="Q126" s="33" t="s">
        <v>159</v>
      </c>
      <c r="R126" s="33" t="str">
        <f>IFERROR(VLOOKUP(H126,API명세서!A:D,4,FALSE()),"")</f>
        <v/>
      </c>
      <c r="S126" s="33"/>
      <c r="T126" s="33"/>
      <c r="U126" s="33"/>
      <c r="V126" s="33"/>
      <c r="W126" s="33"/>
      <c r="X126" s="33"/>
      <c r="Y126" s="33"/>
      <c r="Z126" s="33"/>
      <c r="AA126" s="33"/>
    </row>
    <row r="127" spans="1:27" outlineLevel="1">
      <c r="A127" s="32" t="s">
        <v>2908</v>
      </c>
      <c r="B127" s="32" t="s">
        <v>158</v>
      </c>
      <c r="C127" s="32" t="s">
        <v>2909</v>
      </c>
      <c r="D127" s="33" t="s">
        <v>2125</v>
      </c>
      <c r="E127" s="33" t="s">
        <v>2910</v>
      </c>
      <c r="F127" s="33" t="s">
        <v>2911</v>
      </c>
      <c r="G127" s="33" t="s">
        <v>2906</v>
      </c>
      <c r="H127" s="33"/>
      <c r="I127" s="33" t="s">
        <v>2744</v>
      </c>
      <c r="J127" s="33"/>
      <c r="K127" s="33"/>
      <c r="L127" s="33"/>
      <c r="M127" s="33" t="s">
        <v>2912</v>
      </c>
      <c r="N127" s="33" t="s">
        <v>2084</v>
      </c>
      <c r="O127" s="33"/>
      <c r="P127" s="33" t="s">
        <v>159</v>
      </c>
      <c r="Q127" s="33" t="s">
        <v>159</v>
      </c>
      <c r="R127" s="33" t="str">
        <f>IFERROR(VLOOKUP(H127,API명세서!A:D,4,FALSE()),"")</f>
        <v/>
      </c>
      <c r="S127" s="33"/>
      <c r="T127" s="33"/>
      <c r="U127" s="33"/>
      <c r="V127" s="33"/>
      <c r="W127" s="33"/>
      <c r="X127" s="33"/>
      <c r="Y127" s="33"/>
      <c r="Z127" s="33"/>
      <c r="AA127" s="33"/>
    </row>
    <row r="128" spans="1:27">
      <c r="A128" s="2" t="s">
        <v>2913</v>
      </c>
      <c r="B128" s="2" t="s">
        <v>2914</v>
      </c>
      <c r="C128" s="2" t="s">
        <v>2691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31"/>
      <c r="U128" s="31"/>
      <c r="V128" s="31"/>
      <c r="W128" s="31"/>
      <c r="X128" s="31"/>
      <c r="Y128" s="31"/>
      <c r="Z128" s="31"/>
      <c r="AA128" s="31"/>
    </row>
    <row r="129" spans="1:27" outlineLevel="1">
      <c r="A129" s="32" t="s">
        <v>2915</v>
      </c>
      <c r="B129" s="32" t="s">
        <v>164</v>
      </c>
      <c r="C129" s="32" t="s">
        <v>2532</v>
      </c>
      <c r="D129" s="33" t="s">
        <v>2075</v>
      </c>
      <c r="E129" s="33" t="s">
        <v>2916</v>
      </c>
      <c r="F129" s="33" t="s">
        <v>2810</v>
      </c>
      <c r="G129" s="33" t="s">
        <v>2917</v>
      </c>
      <c r="H129" s="33"/>
      <c r="I129" s="33" t="s">
        <v>2810</v>
      </c>
      <c r="J129" s="33"/>
      <c r="K129" s="33" t="s">
        <v>2099</v>
      </c>
      <c r="L129" s="33" t="s">
        <v>2258</v>
      </c>
      <c r="M129" s="33" t="s">
        <v>2259</v>
      </c>
      <c r="N129" s="33" t="s">
        <v>2084</v>
      </c>
      <c r="O129" s="33"/>
      <c r="P129" s="33" t="s">
        <v>165</v>
      </c>
      <c r="Q129" s="33" t="s">
        <v>165</v>
      </c>
      <c r="R129" s="33" t="str">
        <f>IFERROR(VLOOKUP(H129,API명세서!A:D,4,FALSE()),"")</f>
        <v/>
      </c>
      <c r="S129" s="33"/>
      <c r="T129" s="33"/>
      <c r="U129" s="33"/>
      <c r="V129" s="33"/>
      <c r="W129" s="33"/>
      <c r="X129" s="33"/>
      <c r="Y129" s="33"/>
      <c r="Z129" s="33"/>
      <c r="AA129" s="33"/>
    </row>
    <row r="130" spans="1:27" ht="30" outlineLevel="1">
      <c r="A130" s="32" t="s">
        <v>2918</v>
      </c>
      <c r="B130" s="32" t="s">
        <v>164</v>
      </c>
      <c r="C130" s="32" t="s">
        <v>2919</v>
      </c>
      <c r="D130" s="33" t="s">
        <v>2209</v>
      </c>
      <c r="E130" s="33" t="s">
        <v>2920</v>
      </c>
      <c r="F130" s="33" t="s">
        <v>2921</v>
      </c>
      <c r="G130" s="33" t="s">
        <v>2917</v>
      </c>
      <c r="H130" s="33"/>
      <c r="I130" s="33" t="s">
        <v>2597</v>
      </c>
      <c r="J130" s="33"/>
      <c r="K130" s="33"/>
      <c r="L130" s="33"/>
      <c r="M130" s="33" t="s">
        <v>2922</v>
      </c>
      <c r="N130" s="33" t="s">
        <v>2084</v>
      </c>
      <c r="O130" s="33"/>
      <c r="P130" s="33" t="s">
        <v>165</v>
      </c>
      <c r="Q130" s="33" t="s">
        <v>165</v>
      </c>
      <c r="R130" s="33" t="str">
        <f>IFERROR(VLOOKUP(H130,API명세서!A:D,4,FALSE()),"")</f>
        <v/>
      </c>
      <c r="S130" s="33"/>
      <c r="T130" s="33"/>
      <c r="U130" s="33"/>
      <c r="V130" s="33"/>
      <c r="W130" s="33"/>
      <c r="X130" s="33"/>
      <c r="Y130" s="33"/>
      <c r="Z130" s="33"/>
      <c r="AA130" s="33"/>
    </row>
    <row r="131" spans="1:27" ht="30" outlineLevel="1">
      <c r="A131" s="32" t="s">
        <v>2923</v>
      </c>
      <c r="B131" s="32" t="s">
        <v>164</v>
      </c>
      <c r="C131" s="32" t="s">
        <v>2924</v>
      </c>
      <c r="D131" s="33" t="s">
        <v>2125</v>
      </c>
      <c r="E131" s="33" t="s">
        <v>2925</v>
      </c>
      <c r="F131" s="33" t="s">
        <v>2926</v>
      </c>
      <c r="G131" s="33" t="s">
        <v>2917</v>
      </c>
      <c r="H131" s="33"/>
      <c r="I131" s="33" t="s">
        <v>2927</v>
      </c>
      <c r="J131" s="33"/>
      <c r="K131" s="33" t="s">
        <v>2928</v>
      </c>
      <c r="L131" s="33" t="s">
        <v>2929</v>
      </c>
      <c r="M131" s="33" t="s">
        <v>2930</v>
      </c>
      <c r="N131" s="33" t="s">
        <v>2084</v>
      </c>
      <c r="O131" s="33"/>
      <c r="P131" s="33" t="s">
        <v>165</v>
      </c>
      <c r="Q131" s="33" t="s">
        <v>165</v>
      </c>
      <c r="R131" s="33" t="str">
        <f>IFERROR(VLOOKUP(H131,API명세서!A:D,4,FALSE()),"")</f>
        <v/>
      </c>
      <c r="S131" s="33"/>
      <c r="T131" s="33"/>
      <c r="U131" s="33"/>
      <c r="V131" s="33"/>
      <c r="W131" s="33"/>
      <c r="X131" s="33"/>
      <c r="Y131" s="33"/>
      <c r="Z131" s="33"/>
      <c r="AA131" s="33"/>
    </row>
    <row r="132" spans="1:27">
      <c r="A132" s="2" t="s">
        <v>2931</v>
      </c>
      <c r="B132" s="2" t="s">
        <v>2932</v>
      </c>
      <c r="C132" s="2" t="s">
        <v>2691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31"/>
      <c r="U132" s="31"/>
      <c r="V132" s="31"/>
      <c r="W132" s="31"/>
      <c r="X132" s="31"/>
      <c r="Y132" s="31"/>
      <c r="Z132" s="31"/>
      <c r="AA132" s="31"/>
    </row>
    <row r="133" spans="1:27" ht="30" outlineLevel="1">
      <c r="A133" s="32" t="s">
        <v>2933</v>
      </c>
      <c r="B133" s="32" t="s">
        <v>113</v>
      </c>
      <c r="C133" s="32" t="s">
        <v>2934</v>
      </c>
      <c r="D133" s="33" t="s">
        <v>2075</v>
      </c>
      <c r="E133" s="33" t="s">
        <v>2935</v>
      </c>
      <c r="F133" s="33" t="s">
        <v>2936</v>
      </c>
      <c r="G133" s="33" t="s">
        <v>2937</v>
      </c>
      <c r="H133" s="33"/>
      <c r="I133" s="33" t="s">
        <v>2938</v>
      </c>
      <c r="J133" s="33"/>
      <c r="K133" s="33" t="s">
        <v>2614</v>
      </c>
      <c r="L133" s="33" t="s">
        <v>2939</v>
      </c>
      <c r="M133" s="33" t="s">
        <v>2940</v>
      </c>
      <c r="N133" s="33" t="s">
        <v>2084</v>
      </c>
      <c r="O133" s="33"/>
      <c r="P133" s="33" t="s">
        <v>114</v>
      </c>
      <c r="Q133" s="33" t="s">
        <v>114</v>
      </c>
      <c r="R133" s="33" t="str">
        <f>IFERROR(VLOOKUP(H133,API명세서!A:D,4,FALSE()),"")</f>
        <v/>
      </c>
      <c r="S133" s="33"/>
      <c r="T133" s="33"/>
      <c r="U133" s="33"/>
      <c r="V133" s="33"/>
      <c r="W133" s="33"/>
      <c r="X133" s="33"/>
      <c r="Y133" s="33"/>
      <c r="Z133" s="33"/>
      <c r="AA133" s="33"/>
    </row>
    <row r="134" spans="1:27" outlineLevel="1">
      <c r="A134" s="32" t="s">
        <v>2941</v>
      </c>
      <c r="B134" s="32" t="s">
        <v>113</v>
      </c>
      <c r="C134" s="32" t="s">
        <v>2942</v>
      </c>
      <c r="D134" s="33" t="s">
        <v>2110</v>
      </c>
      <c r="E134" s="33" t="s">
        <v>2943</v>
      </c>
      <c r="F134" s="33" t="s">
        <v>2944</v>
      </c>
      <c r="G134" s="33" t="s">
        <v>2937</v>
      </c>
      <c r="H134" s="33"/>
      <c r="I134" s="33" t="s">
        <v>2810</v>
      </c>
      <c r="J134" s="33"/>
      <c r="K134" s="33" t="s">
        <v>2267</v>
      </c>
      <c r="L134" s="33" t="s">
        <v>2945</v>
      </c>
      <c r="M134" s="33" t="s">
        <v>2946</v>
      </c>
      <c r="N134" s="33" t="s">
        <v>2084</v>
      </c>
      <c r="O134" s="33"/>
      <c r="P134" s="33" t="s">
        <v>114</v>
      </c>
      <c r="Q134" s="33" t="s">
        <v>114</v>
      </c>
      <c r="R134" s="33" t="str">
        <f>IFERROR(VLOOKUP(H134,API명세서!A:D,4,FALSE()),"")</f>
        <v/>
      </c>
      <c r="S134" s="33"/>
      <c r="T134" s="33"/>
      <c r="U134" s="33"/>
      <c r="V134" s="33"/>
      <c r="W134" s="33"/>
      <c r="X134" s="33"/>
      <c r="Y134" s="33"/>
      <c r="Z134" s="33"/>
      <c r="AA134" s="33"/>
    </row>
    <row r="135" spans="1:27" outlineLevel="1">
      <c r="A135" s="32" t="s">
        <v>2947</v>
      </c>
      <c r="B135" s="32" t="s">
        <v>113</v>
      </c>
      <c r="C135" s="32" t="s">
        <v>2948</v>
      </c>
      <c r="D135" s="33" t="s">
        <v>2209</v>
      </c>
      <c r="E135" s="33" t="s">
        <v>2949</v>
      </c>
      <c r="F135" s="33" t="s">
        <v>2950</v>
      </c>
      <c r="G135" s="33" t="s">
        <v>2937</v>
      </c>
      <c r="H135" s="33"/>
      <c r="I135" s="33" t="s">
        <v>2597</v>
      </c>
      <c r="J135" s="33"/>
      <c r="K135" s="33"/>
      <c r="L135" s="33"/>
      <c r="M135" s="33" t="s">
        <v>2951</v>
      </c>
      <c r="N135" s="33" t="s">
        <v>2084</v>
      </c>
      <c r="O135" s="33"/>
      <c r="P135" s="33" t="s">
        <v>114</v>
      </c>
      <c r="Q135" s="33" t="s">
        <v>114</v>
      </c>
      <c r="R135" s="33" t="str">
        <f>IFERROR(VLOOKUP(H135,API명세서!A:D,4,FALSE()),"")</f>
        <v/>
      </c>
      <c r="S135" s="33"/>
      <c r="T135" s="33"/>
      <c r="U135" s="33"/>
      <c r="V135" s="33"/>
      <c r="W135" s="33"/>
      <c r="X135" s="33"/>
      <c r="Y135" s="33"/>
      <c r="Z135" s="33"/>
      <c r="AA135" s="33"/>
    </row>
    <row r="136" spans="1:27">
      <c r="A136" s="2" t="s">
        <v>2952</v>
      </c>
      <c r="B136" s="2" t="s">
        <v>2953</v>
      </c>
      <c r="C136" s="2" t="s">
        <v>2886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31"/>
      <c r="U136" s="31"/>
      <c r="V136" s="31"/>
      <c r="W136" s="31"/>
      <c r="X136" s="31"/>
      <c r="Y136" s="31"/>
      <c r="Z136" s="31"/>
      <c r="AA136" s="31"/>
    </row>
    <row r="137" spans="1:27" outlineLevel="1">
      <c r="A137" s="32" t="s">
        <v>2954</v>
      </c>
      <c r="B137" s="32" t="s">
        <v>119</v>
      </c>
      <c r="C137" s="32" t="s">
        <v>2955</v>
      </c>
      <c r="D137" s="33" t="s">
        <v>2158</v>
      </c>
      <c r="E137" s="33" t="s">
        <v>2956</v>
      </c>
      <c r="F137" s="33" t="s">
        <v>2957</v>
      </c>
      <c r="G137" s="33" t="s">
        <v>2958</v>
      </c>
      <c r="H137" s="33"/>
      <c r="I137" s="33" t="s">
        <v>2738</v>
      </c>
      <c r="J137" s="33"/>
      <c r="K137" s="33"/>
      <c r="L137" s="33"/>
      <c r="M137" s="33" t="s">
        <v>2959</v>
      </c>
      <c r="N137" s="33" t="s">
        <v>2084</v>
      </c>
      <c r="O137" s="33"/>
      <c r="P137" s="33" t="s">
        <v>120</v>
      </c>
      <c r="Q137" s="33" t="s">
        <v>120</v>
      </c>
      <c r="R137" s="33" t="str">
        <f>IFERROR(VLOOKUP(H137,API명세서!A:D,4,FALSE()),"")</f>
        <v/>
      </c>
      <c r="S137" s="33"/>
      <c r="T137" s="33"/>
      <c r="U137" s="33"/>
      <c r="V137" s="33"/>
      <c r="W137" s="33"/>
      <c r="X137" s="33"/>
      <c r="Y137" s="33"/>
      <c r="Z137" s="33"/>
      <c r="AA137" s="33"/>
    </row>
    <row r="138" spans="1:27" outlineLevel="1">
      <c r="A138" s="32" t="s">
        <v>2960</v>
      </c>
      <c r="B138" s="32" t="s">
        <v>119</v>
      </c>
      <c r="C138" s="32" t="s">
        <v>2961</v>
      </c>
      <c r="D138" s="33" t="s">
        <v>2570</v>
      </c>
      <c r="E138" s="33" t="s">
        <v>2962</v>
      </c>
      <c r="F138" s="33" t="s">
        <v>2963</v>
      </c>
      <c r="G138" s="33" t="s">
        <v>2958</v>
      </c>
      <c r="H138" s="33"/>
      <c r="I138" s="33" t="s">
        <v>2899</v>
      </c>
      <c r="J138" s="33"/>
      <c r="K138" s="33" t="s">
        <v>2964</v>
      </c>
      <c r="L138" s="33" t="s">
        <v>2965</v>
      </c>
      <c r="M138" s="33" t="s">
        <v>2574</v>
      </c>
      <c r="N138" s="33" t="s">
        <v>2084</v>
      </c>
      <c r="O138" s="33"/>
      <c r="P138" s="33" t="s">
        <v>120</v>
      </c>
      <c r="Q138" s="33" t="s">
        <v>120</v>
      </c>
      <c r="R138" s="33" t="str">
        <f>IFERROR(VLOOKUP(H138,API명세서!A:D,4,FALSE()),"")</f>
        <v/>
      </c>
      <c r="S138" s="33"/>
      <c r="T138" s="33"/>
      <c r="U138" s="33"/>
      <c r="V138" s="33"/>
      <c r="W138" s="33"/>
      <c r="X138" s="33"/>
      <c r="Y138" s="33"/>
      <c r="Z138" s="33"/>
      <c r="AA138" s="33"/>
    </row>
    <row r="139" spans="1:27">
      <c r="A139" s="2" t="s">
        <v>2966</v>
      </c>
      <c r="B139" s="2" t="s">
        <v>2967</v>
      </c>
      <c r="C139" s="2" t="s">
        <v>2886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31"/>
      <c r="U139" s="31"/>
      <c r="V139" s="31"/>
      <c r="W139" s="31"/>
      <c r="X139" s="31"/>
      <c r="Y139" s="31"/>
      <c r="Z139" s="31"/>
      <c r="AA139" s="31"/>
    </row>
    <row r="140" spans="1:27" outlineLevel="1">
      <c r="A140" s="32" t="s">
        <v>2968</v>
      </c>
      <c r="B140" s="32" t="s">
        <v>177</v>
      </c>
      <c r="C140" s="32" t="s">
        <v>2969</v>
      </c>
      <c r="D140" s="33" t="s">
        <v>2209</v>
      </c>
      <c r="E140" s="33" t="s">
        <v>2970</v>
      </c>
      <c r="F140" s="33" t="s">
        <v>2971</v>
      </c>
      <c r="G140" s="33" t="s">
        <v>2972</v>
      </c>
      <c r="H140" s="33"/>
      <c r="I140" s="33" t="s">
        <v>2597</v>
      </c>
      <c r="J140" s="33"/>
      <c r="K140" s="33"/>
      <c r="L140" s="33"/>
      <c r="M140" s="33" t="s">
        <v>2973</v>
      </c>
      <c r="N140" s="33" t="s">
        <v>2084</v>
      </c>
      <c r="O140" s="33"/>
      <c r="P140" s="33" t="s">
        <v>178</v>
      </c>
      <c r="Q140" s="33" t="s">
        <v>178</v>
      </c>
      <c r="R140" s="33" t="str">
        <f>IFERROR(VLOOKUP(H140,API명세서!A:D,4,FALSE()),"")</f>
        <v/>
      </c>
      <c r="S140" s="33"/>
      <c r="T140" s="33"/>
      <c r="U140" s="33"/>
      <c r="V140" s="33"/>
      <c r="W140" s="33"/>
      <c r="X140" s="33"/>
      <c r="Y140" s="33"/>
      <c r="Z140" s="33"/>
      <c r="AA140" s="33"/>
    </row>
    <row r="141" spans="1:27" outlineLevel="1">
      <c r="A141" s="32" t="s">
        <v>2974</v>
      </c>
      <c r="B141" s="32" t="s">
        <v>177</v>
      </c>
      <c r="C141" s="32" t="s">
        <v>1048</v>
      </c>
      <c r="D141" s="33" t="s">
        <v>2570</v>
      </c>
      <c r="E141" s="33" t="s">
        <v>2975</v>
      </c>
      <c r="F141" s="33" t="s">
        <v>2976</v>
      </c>
      <c r="G141" s="33" t="s">
        <v>2972</v>
      </c>
      <c r="H141" s="33"/>
      <c r="I141" s="33" t="s">
        <v>2570</v>
      </c>
      <c r="J141" s="33"/>
      <c r="K141" s="33"/>
      <c r="L141" s="33"/>
      <c r="M141" s="33" t="s">
        <v>2574</v>
      </c>
      <c r="N141" s="33" t="s">
        <v>2084</v>
      </c>
      <c r="O141" s="33"/>
      <c r="P141" s="33" t="s">
        <v>178</v>
      </c>
      <c r="Q141" s="33" t="s">
        <v>178</v>
      </c>
      <c r="R141" s="33" t="str">
        <f>IFERROR(VLOOKUP(H141,API명세서!A:D,4,FALSE()),"")</f>
        <v/>
      </c>
      <c r="S141" s="33"/>
      <c r="T141" s="33"/>
      <c r="U141" s="33"/>
      <c r="V141" s="33"/>
      <c r="W141" s="33"/>
      <c r="X141" s="33"/>
      <c r="Y141" s="33"/>
      <c r="Z141" s="33"/>
      <c r="AA141" s="33"/>
    </row>
    <row r="142" spans="1:27">
      <c r="A142" s="2" t="s">
        <v>2977</v>
      </c>
      <c r="B142" s="2" t="s">
        <v>2978</v>
      </c>
      <c r="C142" s="2" t="s">
        <v>2886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31"/>
      <c r="U142" s="31"/>
      <c r="V142" s="31"/>
      <c r="W142" s="31"/>
      <c r="X142" s="31"/>
      <c r="Y142" s="31"/>
      <c r="Z142" s="31"/>
      <c r="AA142" s="31"/>
    </row>
    <row r="143" spans="1:27" outlineLevel="1">
      <c r="A143" s="32" t="s">
        <v>2979</v>
      </c>
      <c r="B143" s="32" t="s">
        <v>194</v>
      </c>
      <c r="C143" s="32" t="s">
        <v>2980</v>
      </c>
      <c r="D143" s="33" t="s">
        <v>2158</v>
      </c>
      <c r="E143" s="33" t="s">
        <v>2981</v>
      </c>
      <c r="F143" s="33" t="s">
        <v>2982</v>
      </c>
      <c r="G143" s="33" t="s">
        <v>2983</v>
      </c>
      <c r="H143" s="33"/>
      <c r="I143" s="33" t="s">
        <v>2984</v>
      </c>
      <c r="J143" s="33"/>
      <c r="K143" s="33"/>
      <c r="L143" s="33"/>
      <c r="M143" s="33" t="s">
        <v>2985</v>
      </c>
      <c r="N143" s="33" t="s">
        <v>2084</v>
      </c>
      <c r="O143" s="33"/>
      <c r="P143" s="33" t="s">
        <v>195</v>
      </c>
      <c r="Q143" s="33" t="s">
        <v>195</v>
      </c>
      <c r="R143" s="33" t="str">
        <f>IFERROR(VLOOKUP(H143,API명세서!A:D,4,FALSE()),"")</f>
        <v/>
      </c>
      <c r="S143" s="33"/>
      <c r="T143" s="33"/>
      <c r="U143" s="33"/>
      <c r="V143" s="33"/>
      <c r="W143" s="33"/>
      <c r="X143" s="33"/>
      <c r="Y143" s="33"/>
      <c r="Z143" s="33"/>
      <c r="AA143" s="33"/>
    </row>
    <row r="144" spans="1:27" outlineLevel="1">
      <c r="A144" s="32" t="s">
        <v>2986</v>
      </c>
      <c r="B144" s="32" t="s">
        <v>194</v>
      </c>
      <c r="C144" s="32" t="s">
        <v>2987</v>
      </c>
      <c r="D144" s="33" t="s">
        <v>2125</v>
      </c>
      <c r="E144" s="33" t="s">
        <v>2988</v>
      </c>
      <c r="F144" s="33" t="s">
        <v>2989</v>
      </c>
      <c r="G144" s="33" t="s">
        <v>2983</v>
      </c>
      <c r="H144" s="33"/>
      <c r="I144" s="33" t="s">
        <v>2990</v>
      </c>
      <c r="J144" s="33"/>
      <c r="K144" s="33" t="s">
        <v>2991</v>
      </c>
      <c r="L144" s="33" t="s">
        <v>2992</v>
      </c>
      <c r="M144" s="33" t="s">
        <v>2993</v>
      </c>
      <c r="N144" s="33" t="s">
        <v>2084</v>
      </c>
      <c r="O144" s="33"/>
      <c r="P144" s="33" t="s">
        <v>195</v>
      </c>
      <c r="Q144" s="33" t="s">
        <v>195</v>
      </c>
      <c r="R144" s="33" t="str">
        <f>IFERROR(VLOOKUP(H144,API명세서!A:D,4,FALSE()),"")</f>
        <v/>
      </c>
      <c r="S144" s="33"/>
      <c r="T144" s="33"/>
      <c r="U144" s="33"/>
      <c r="V144" s="33"/>
      <c r="W144" s="33"/>
      <c r="X144" s="33"/>
      <c r="Y144" s="33"/>
      <c r="Z144" s="33"/>
      <c r="AA144" s="33"/>
    </row>
    <row r="145" spans="1:27">
      <c r="A145" s="2" t="s">
        <v>2994</v>
      </c>
      <c r="B145" s="2" t="s">
        <v>2995</v>
      </c>
      <c r="C145" s="2" t="s">
        <v>2886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31"/>
      <c r="U145" s="31"/>
      <c r="V145" s="31"/>
      <c r="W145" s="31"/>
      <c r="X145" s="31"/>
      <c r="Y145" s="31"/>
      <c r="Z145" s="31"/>
      <c r="AA145" s="31"/>
    </row>
    <row r="146" spans="1:27" outlineLevel="1">
      <c r="A146" s="32" t="s">
        <v>2996</v>
      </c>
      <c r="B146" s="32" t="s">
        <v>200</v>
      </c>
      <c r="C146" s="32" t="s">
        <v>2997</v>
      </c>
      <c r="D146" s="33" t="s">
        <v>2209</v>
      </c>
      <c r="E146" s="33" t="s">
        <v>2998</v>
      </c>
      <c r="F146" s="33" t="s">
        <v>2999</v>
      </c>
      <c r="G146" s="33" t="s">
        <v>3000</v>
      </c>
      <c r="H146" s="33"/>
      <c r="I146" s="33" t="s">
        <v>3001</v>
      </c>
      <c r="J146" s="33"/>
      <c r="K146" s="33"/>
      <c r="L146" s="33"/>
      <c r="M146" s="33" t="s">
        <v>3002</v>
      </c>
      <c r="N146" s="33" t="s">
        <v>2084</v>
      </c>
      <c r="O146" s="33"/>
      <c r="P146" s="33" t="s">
        <v>201</v>
      </c>
      <c r="Q146" s="33" t="s">
        <v>201</v>
      </c>
      <c r="R146" s="33" t="str">
        <f>IFERROR(VLOOKUP(H146,API명세서!A:D,4,FALSE()),"")</f>
        <v/>
      </c>
      <c r="S146" s="33"/>
      <c r="T146" s="33"/>
      <c r="U146" s="33"/>
      <c r="V146" s="33"/>
      <c r="W146" s="33"/>
      <c r="X146" s="33"/>
      <c r="Y146" s="33"/>
      <c r="Z146" s="33"/>
      <c r="AA146" s="33"/>
    </row>
    <row r="147" spans="1:27" outlineLevel="1">
      <c r="A147" s="32" t="s">
        <v>3003</v>
      </c>
      <c r="B147" s="32" t="s">
        <v>200</v>
      </c>
      <c r="C147" s="32" t="s">
        <v>3004</v>
      </c>
      <c r="D147" s="33" t="s">
        <v>2125</v>
      </c>
      <c r="E147" s="33" t="s">
        <v>3005</v>
      </c>
      <c r="F147" s="33" t="s">
        <v>3006</v>
      </c>
      <c r="G147" s="33" t="s">
        <v>3000</v>
      </c>
      <c r="H147" s="33"/>
      <c r="I147" s="33" t="s">
        <v>3007</v>
      </c>
      <c r="J147" s="33"/>
      <c r="K147" s="33"/>
      <c r="L147" s="33"/>
      <c r="M147" s="33" t="s">
        <v>3008</v>
      </c>
      <c r="N147" s="33" t="s">
        <v>2084</v>
      </c>
      <c r="O147" s="33"/>
      <c r="P147" s="33" t="s">
        <v>201</v>
      </c>
      <c r="Q147" s="33" t="s">
        <v>201</v>
      </c>
      <c r="R147" s="33" t="str">
        <f>IFERROR(VLOOKUP(H147,API명세서!A:D,4,FALSE()),"")</f>
        <v/>
      </c>
      <c r="S147" s="33"/>
      <c r="T147" s="33"/>
      <c r="U147" s="33"/>
      <c r="V147" s="33"/>
      <c r="W147" s="33"/>
      <c r="X147" s="33"/>
      <c r="Y147" s="33"/>
      <c r="Z147" s="33"/>
      <c r="AA147" s="33"/>
    </row>
    <row r="148" spans="1:27">
      <c r="A148" s="2" t="s">
        <v>3009</v>
      </c>
      <c r="B148" s="2" t="s">
        <v>3010</v>
      </c>
      <c r="C148" s="2" t="s">
        <v>2886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31"/>
      <c r="U148" s="31"/>
      <c r="V148" s="31"/>
      <c r="W148" s="31"/>
      <c r="X148" s="31"/>
      <c r="Y148" s="31"/>
      <c r="Z148" s="31"/>
      <c r="AA148" s="31"/>
    </row>
    <row r="149" spans="1:27" ht="30" outlineLevel="1">
      <c r="A149" s="32" t="s">
        <v>3011</v>
      </c>
      <c r="B149" s="32" t="s">
        <v>47</v>
      </c>
      <c r="C149" s="32" t="s">
        <v>3012</v>
      </c>
      <c r="D149" s="33" t="s">
        <v>2158</v>
      </c>
      <c r="E149" s="33" t="s">
        <v>3013</v>
      </c>
      <c r="F149" s="33" t="s">
        <v>3014</v>
      </c>
      <c r="G149" s="33" t="s">
        <v>3015</v>
      </c>
      <c r="H149" s="33" t="s">
        <v>3016</v>
      </c>
      <c r="I149" s="33" t="s">
        <v>3017</v>
      </c>
      <c r="J149" s="33"/>
      <c r="K149" s="33"/>
      <c r="L149" s="33"/>
      <c r="M149" s="33" t="s">
        <v>3018</v>
      </c>
      <c r="N149" s="33" t="s">
        <v>2084</v>
      </c>
      <c r="O149" s="33"/>
      <c r="P149" s="33" t="s">
        <v>48</v>
      </c>
      <c r="Q149" s="33" t="s">
        <v>3019</v>
      </c>
      <c r="R149" s="33" t="s">
        <v>2320</v>
      </c>
      <c r="S149" s="33"/>
      <c r="T149" s="33"/>
      <c r="U149" s="33"/>
      <c r="V149" s="33"/>
      <c r="W149" s="33"/>
      <c r="X149" s="33"/>
      <c r="Y149" s="33"/>
      <c r="Z149" s="33"/>
      <c r="AA149" s="33"/>
    </row>
    <row r="150" spans="1:27" outlineLevel="1">
      <c r="A150" s="32" t="s">
        <v>3020</v>
      </c>
      <c r="B150" s="32" t="s">
        <v>47</v>
      </c>
      <c r="C150" s="32" t="s">
        <v>2424</v>
      </c>
      <c r="D150" s="33" t="s">
        <v>2125</v>
      </c>
      <c r="E150" s="33" t="s">
        <v>3021</v>
      </c>
      <c r="F150" s="33" t="s">
        <v>3022</v>
      </c>
      <c r="G150" s="33" t="s">
        <v>3015</v>
      </c>
      <c r="H150" s="33" t="s">
        <v>3016</v>
      </c>
      <c r="I150" s="33" t="s">
        <v>2540</v>
      </c>
      <c r="J150" s="33"/>
      <c r="K150" s="33" t="s">
        <v>3023</v>
      </c>
      <c r="L150" s="33" t="s">
        <v>3024</v>
      </c>
      <c r="M150" s="33" t="s">
        <v>2430</v>
      </c>
      <c r="N150" s="33" t="s">
        <v>2084</v>
      </c>
      <c r="O150" s="33"/>
      <c r="P150" s="33" t="s">
        <v>48</v>
      </c>
      <c r="Q150" s="33" t="s">
        <v>3019</v>
      </c>
      <c r="R150" s="33" t="s">
        <v>2320</v>
      </c>
      <c r="S150" s="33"/>
      <c r="T150" s="33"/>
      <c r="U150" s="33"/>
      <c r="V150" s="33"/>
      <c r="W150" s="33"/>
      <c r="X150" s="33"/>
      <c r="Y150" s="33"/>
      <c r="Z150" s="33"/>
      <c r="AA150" s="33"/>
    </row>
    <row r="151" spans="1:27">
      <c r="A151" s="2" t="s">
        <v>3025</v>
      </c>
      <c r="B151" s="2" t="s">
        <v>3026</v>
      </c>
      <c r="C151" s="2" t="s">
        <v>2886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31"/>
      <c r="U151" s="31"/>
      <c r="V151" s="31"/>
      <c r="W151" s="31"/>
      <c r="X151" s="31"/>
      <c r="Y151" s="31"/>
      <c r="Z151" s="31"/>
      <c r="AA151" s="31"/>
    </row>
    <row r="152" spans="1:27" outlineLevel="1">
      <c r="A152" s="32" t="s">
        <v>3027</v>
      </c>
      <c r="B152" s="32" t="s">
        <v>52</v>
      </c>
      <c r="C152" s="32" t="s">
        <v>3028</v>
      </c>
      <c r="D152" s="33" t="s">
        <v>2158</v>
      </c>
      <c r="E152" s="33" t="s">
        <v>3029</v>
      </c>
      <c r="F152" s="33" t="s">
        <v>3030</v>
      </c>
      <c r="G152" s="33" t="s">
        <v>2348</v>
      </c>
      <c r="H152" s="33"/>
      <c r="I152" s="33" t="s">
        <v>3031</v>
      </c>
      <c r="J152" s="33"/>
      <c r="K152" s="33"/>
      <c r="L152" s="33"/>
      <c r="M152" s="33" t="s">
        <v>3032</v>
      </c>
      <c r="N152" s="33" t="s">
        <v>2084</v>
      </c>
      <c r="O152" s="33"/>
      <c r="P152" s="33" t="s">
        <v>53</v>
      </c>
      <c r="Q152" s="33" t="s">
        <v>2351</v>
      </c>
      <c r="R152" s="33" t="str">
        <f>IFERROR(VLOOKUP(H152,API명세서!A:D,4,FALSE()),"")</f>
        <v/>
      </c>
      <c r="S152" s="33"/>
      <c r="T152" s="33"/>
      <c r="U152" s="33"/>
      <c r="V152" s="33"/>
      <c r="W152" s="33"/>
      <c r="X152" s="33"/>
      <c r="Y152" s="33"/>
      <c r="Z152" s="33"/>
      <c r="AA152" s="33"/>
    </row>
    <row r="153" spans="1:27" outlineLevel="1">
      <c r="A153" s="32" t="s">
        <v>3033</v>
      </c>
      <c r="B153" s="32" t="s">
        <v>52</v>
      </c>
      <c r="C153" s="32" t="s">
        <v>3034</v>
      </c>
      <c r="D153" s="33" t="s">
        <v>2158</v>
      </c>
      <c r="E153" s="33" t="s">
        <v>3035</v>
      </c>
      <c r="F153" s="33" t="s">
        <v>3036</v>
      </c>
      <c r="G153" s="33" t="s">
        <v>2348</v>
      </c>
      <c r="H153" s="33"/>
      <c r="I153" s="33" t="s">
        <v>2246</v>
      </c>
      <c r="J153" s="33"/>
      <c r="K153" s="33"/>
      <c r="L153" s="33"/>
      <c r="M153" s="33" t="s">
        <v>3037</v>
      </c>
      <c r="N153" s="33" t="s">
        <v>2084</v>
      </c>
      <c r="O153" s="33"/>
      <c r="P153" s="33" t="s">
        <v>53</v>
      </c>
      <c r="Q153" s="33" t="s">
        <v>2351</v>
      </c>
      <c r="R153" s="33" t="str">
        <f>IFERROR(VLOOKUP(H153,API명세서!A:D,4,FALSE()),"")</f>
        <v/>
      </c>
      <c r="S153" s="33"/>
      <c r="T153" s="33"/>
      <c r="U153" s="33"/>
      <c r="V153" s="33"/>
      <c r="W153" s="33"/>
      <c r="X153" s="33"/>
      <c r="Y153" s="33"/>
      <c r="Z153" s="33"/>
      <c r="AA153" s="33"/>
    </row>
    <row r="154" spans="1:27">
      <c r="A154" s="2" t="s">
        <v>3038</v>
      </c>
      <c r="B154" s="2" t="s">
        <v>3039</v>
      </c>
      <c r="C154" s="2" t="s">
        <v>2886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31"/>
      <c r="U154" s="31"/>
      <c r="V154" s="31"/>
      <c r="W154" s="31"/>
      <c r="X154" s="31"/>
      <c r="Y154" s="31"/>
      <c r="Z154" s="31"/>
      <c r="AA154" s="31"/>
    </row>
    <row r="155" spans="1:27" ht="30" outlineLevel="1">
      <c r="A155" s="32" t="s">
        <v>3040</v>
      </c>
      <c r="B155" s="32" t="s">
        <v>60</v>
      </c>
      <c r="C155" s="32" t="s">
        <v>3041</v>
      </c>
      <c r="D155" s="33" t="s">
        <v>2075</v>
      </c>
      <c r="E155" s="33" t="s">
        <v>3042</v>
      </c>
      <c r="F155" s="33" t="s">
        <v>3043</v>
      </c>
      <c r="G155" s="33" t="s">
        <v>3044</v>
      </c>
      <c r="H155" s="33" t="s">
        <v>2332</v>
      </c>
      <c r="I155" s="33" t="s">
        <v>3045</v>
      </c>
      <c r="J155" s="33"/>
      <c r="K155" s="33" t="s">
        <v>3046</v>
      </c>
      <c r="L155" s="33" t="s">
        <v>2384</v>
      </c>
      <c r="M155" s="33" t="s">
        <v>3047</v>
      </c>
      <c r="N155" s="33" t="s">
        <v>2084</v>
      </c>
      <c r="O155" s="33"/>
      <c r="P155" s="33" t="s">
        <v>61</v>
      </c>
      <c r="Q155" s="33" t="s">
        <v>3048</v>
      </c>
      <c r="R155" s="33" t="s">
        <v>2335</v>
      </c>
      <c r="S155" s="33"/>
      <c r="T155" s="33"/>
      <c r="U155" s="33"/>
      <c r="V155" s="33"/>
      <c r="W155" s="33"/>
      <c r="X155" s="33"/>
      <c r="Y155" s="33"/>
      <c r="Z155" s="33"/>
      <c r="AA155" s="33"/>
    </row>
    <row r="156" spans="1:27" outlineLevel="1">
      <c r="A156" s="32" t="s">
        <v>3049</v>
      </c>
      <c r="B156" s="32" t="s">
        <v>60</v>
      </c>
      <c r="C156" s="32" t="s">
        <v>3050</v>
      </c>
      <c r="D156" s="33" t="s">
        <v>2209</v>
      </c>
      <c r="E156" s="33" t="s">
        <v>3051</v>
      </c>
      <c r="F156" s="33" t="s">
        <v>3052</v>
      </c>
      <c r="G156" s="33" t="s">
        <v>3044</v>
      </c>
      <c r="H156" s="33" t="s">
        <v>2332</v>
      </c>
      <c r="I156" s="33" t="s">
        <v>2597</v>
      </c>
      <c r="J156" s="33"/>
      <c r="K156" s="33"/>
      <c r="L156" s="33"/>
      <c r="M156" s="33" t="s">
        <v>3053</v>
      </c>
      <c r="N156" s="33" t="s">
        <v>2084</v>
      </c>
      <c r="O156" s="33"/>
      <c r="P156" s="33" t="s">
        <v>61</v>
      </c>
      <c r="Q156" s="33" t="s">
        <v>3048</v>
      </c>
      <c r="R156" s="33" t="s">
        <v>2335</v>
      </c>
      <c r="S156" s="33"/>
      <c r="T156" s="33"/>
      <c r="U156" s="33"/>
      <c r="V156" s="33"/>
      <c r="W156" s="33"/>
      <c r="X156" s="33"/>
      <c r="Y156" s="33"/>
      <c r="Z156" s="33"/>
      <c r="AA156" s="33"/>
    </row>
    <row r="157" spans="1:27">
      <c r="A157" s="2" t="s">
        <v>3054</v>
      </c>
      <c r="B157" s="2" t="s">
        <v>3055</v>
      </c>
      <c r="C157" s="2" t="s">
        <v>2886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31"/>
      <c r="U157" s="31"/>
      <c r="V157" s="31"/>
      <c r="W157" s="31"/>
      <c r="X157" s="31"/>
      <c r="Y157" s="31"/>
      <c r="Z157" s="31"/>
      <c r="AA157" s="31"/>
    </row>
    <row r="158" spans="1:27" outlineLevel="1">
      <c r="A158" s="32" t="s">
        <v>3056</v>
      </c>
      <c r="B158" s="32" t="s">
        <v>67</v>
      </c>
      <c r="C158" s="32" t="s">
        <v>3057</v>
      </c>
      <c r="D158" s="33" t="s">
        <v>2158</v>
      </c>
      <c r="E158" s="33" t="s">
        <v>3058</v>
      </c>
      <c r="F158" s="33" t="s">
        <v>3059</v>
      </c>
      <c r="G158" s="33" t="s">
        <v>3060</v>
      </c>
      <c r="H158" s="33"/>
      <c r="I158" s="33" t="s">
        <v>3061</v>
      </c>
      <c r="J158" s="33"/>
      <c r="K158" s="33"/>
      <c r="L158" s="33"/>
      <c r="M158" s="33" t="s">
        <v>3062</v>
      </c>
      <c r="N158" s="33" t="s">
        <v>2084</v>
      </c>
      <c r="O158" s="33"/>
      <c r="P158" s="33" t="s">
        <v>68</v>
      </c>
      <c r="Q158" s="33" t="s">
        <v>68</v>
      </c>
      <c r="R158" s="33" t="str">
        <f>IFERROR(VLOOKUP(H158,API명세서!A:D,4,FALSE()),"")</f>
        <v/>
      </c>
      <c r="S158" s="33"/>
      <c r="T158" s="33"/>
      <c r="U158" s="33"/>
      <c r="V158" s="33"/>
      <c r="W158" s="33"/>
      <c r="X158" s="33"/>
      <c r="Y158" s="33"/>
      <c r="Z158" s="33"/>
      <c r="AA158" s="33"/>
    </row>
    <row r="159" spans="1:27" outlineLevel="1">
      <c r="A159" s="32" t="s">
        <v>3063</v>
      </c>
      <c r="B159" s="32" t="s">
        <v>67</v>
      </c>
      <c r="C159" s="32" t="s">
        <v>3064</v>
      </c>
      <c r="D159" s="33" t="s">
        <v>2570</v>
      </c>
      <c r="E159" s="33" t="s">
        <v>3065</v>
      </c>
      <c r="F159" s="33" t="s">
        <v>3066</v>
      </c>
      <c r="G159" s="33" t="s">
        <v>3060</v>
      </c>
      <c r="H159" s="33"/>
      <c r="I159" s="33" t="s">
        <v>2899</v>
      </c>
      <c r="J159" s="33"/>
      <c r="K159" s="33"/>
      <c r="L159" s="33"/>
      <c r="M159" s="33" t="s">
        <v>2574</v>
      </c>
      <c r="N159" s="33" t="s">
        <v>2084</v>
      </c>
      <c r="O159" s="33"/>
      <c r="P159" s="33" t="s">
        <v>68</v>
      </c>
      <c r="Q159" s="33" t="s">
        <v>68</v>
      </c>
      <c r="R159" s="33" t="str">
        <f>IFERROR(VLOOKUP(H159,API명세서!A:D,4,FALSE()),"")</f>
        <v/>
      </c>
      <c r="S159" s="33"/>
      <c r="T159" s="33"/>
      <c r="U159" s="33"/>
      <c r="V159" s="33"/>
      <c r="W159" s="33"/>
      <c r="X159" s="33"/>
      <c r="Y159" s="33"/>
      <c r="Z159" s="33"/>
      <c r="AA159" s="33"/>
    </row>
    <row r="160" spans="1:27">
      <c r="A160" s="2" t="s">
        <v>3067</v>
      </c>
      <c r="B160" s="2" t="s">
        <v>3068</v>
      </c>
      <c r="C160" s="2" t="s">
        <v>2691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31"/>
      <c r="U160" s="31"/>
      <c r="V160" s="31"/>
      <c r="W160" s="31"/>
      <c r="X160" s="31"/>
      <c r="Y160" s="31"/>
      <c r="Z160" s="31"/>
      <c r="AA160" s="31"/>
    </row>
    <row r="161" spans="1:27" ht="30" outlineLevel="1">
      <c r="A161" s="32" t="s">
        <v>3069</v>
      </c>
      <c r="B161" s="32" t="s">
        <v>140</v>
      </c>
      <c r="C161" s="32" t="s">
        <v>3070</v>
      </c>
      <c r="D161" s="33" t="s">
        <v>2110</v>
      </c>
      <c r="E161" s="33" t="s">
        <v>3071</v>
      </c>
      <c r="F161" s="33" t="s">
        <v>3072</v>
      </c>
      <c r="G161" s="33" t="s">
        <v>3073</v>
      </c>
      <c r="H161" s="33"/>
      <c r="I161" s="33" t="s">
        <v>3074</v>
      </c>
      <c r="J161" s="33"/>
      <c r="K161" s="33" t="s">
        <v>2267</v>
      </c>
      <c r="L161" s="33" t="s">
        <v>3075</v>
      </c>
      <c r="M161" s="33" t="s">
        <v>3076</v>
      </c>
      <c r="N161" s="33" t="s">
        <v>2084</v>
      </c>
      <c r="O161" s="33"/>
      <c r="P161" s="33" t="s">
        <v>141</v>
      </c>
      <c r="Q161" s="33" t="s">
        <v>3077</v>
      </c>
      <c r="R161" s="33" t="str">
        <f>IFERROR(VLOOKUP(H161,API명세서!A:D,4,FALSE()),"")</f>
        <v/>
      </c>
      <c r="S161" s="33"/>
      <c r="T161" s="33"/>
      <c r="U161" s="33"/>
      <c r="V161" s="33"/>
      <c r="W161" s="33"/>
      <c r="X161" s="33"/>
      <c r="Y161" s="33"/>
      <c r="Z161" s="33"/>
      <c r="AA161" s="33"/>
    </row>
    <row r="162" spans="1:27" outlineLevel="1">
      <c r="A162" s="32" t="s">
        <v>3078</v>
      </c>
      <c r="B162" s="32" t="s">
        <v>140</v>
      </c>
      <c r="C162" s="32" t="s">
        <v>3079</v>
      </c>
      <c r="D162" s="33" t="s">
        <v>2158</v>
      </c>
      <c r="E162" s="33" t="s">
        <v>3080</v>
      </c>
      <c r="F162" s="33" t="s">
        <v>3081</v>
      </c>
      <c r="G162" s="33" t="s">
        <v>3073</v>
      </c>
      <c r="H162" s="33"/>
      <c r="I162" s="33" t="s">
        <v>3082</v>
      </c>
      <c r="J162" s="33"/>
      <c r="K162" s="33"/>
      <c r="L162" s="33"/>
      <c r="M162" s="33" t="s">
        <v>3083</v>
      </c>
      <c r="N162" s="33" t="s">
        <v>2084</v>
      </c>
      <c r="O162" s="33"/>
      <c r="P162" s="33" t="s">
        <v>141</v>
      </c>
      <c r="Q162" s="33" t="s">
        <v>3077</v>
      </c>
      <c r="R162" s="33" t="str">
        <f>IFERROR(VLOOKUP(H162,API명세서!A:D,4,FALSE()),"")</f>
        <v/>
      </c>
      <c r="S162" s="33"/>
      <c r="T162" s="33"/>
      <c r="U162" s="33"/>
      <c r="V162" s="33"/>
      <c r="W162" s="33"/>
      <c r="X162" s="33"/>
      <c r="Y162" s="33"/>
      <c r="Z162" s="33"/>
      <c r="AA162" s="33"/>
    </row>
    <row r="163" spans="1:27" outlineLevel="1">
      <c r="A163" s="32" t="s">
        <v>3084</v>
      </c>
      <c r="B163" s="32" t="s">
        <v>140</v>
      </c>
      <c r="C163" s="32" t="s">
        <v>3085</v>
      </c>
      <c r="D163" s="33" t="s">
        <v>2125</v>
      </c>
      <c r="E163" s="33" t="s">
        <v>3086</v>
      </c>
      <c r="F163" s="33" t="s">
        <v>3087</v>
      </c>
      <c r="G163" s="33" t="s">
        <v>3073</v>
      </c>
      <c r="H163" s="33"/>
      <c r="I163" s="33" t="s">
        <v>3088</v>
      </c>
      <c r="J163" s="33"/>
      <c r="K163" s="33"/>
      <c r="L163" s="33"/>
      <c r="M163" s="33" t="s">
        <v>3089</v>
      </c>
      <c r="N163" s="33" t="s">
        <v>2084</v>
      </c>
      <c r="O163" s="33"/>
      <c r="P163" s="33" t="s">
        <v>141</v>
      </c>
      <c r="Q163" s="33" t="s">
        <v>3077</v>
      </c>
      <c r="R163" s="33" t="str">
        <f>IFERROR(VLOOKUP(H163,API명세서!A:D,4,FALSE()),"")</f>
        <v/>
      </c>
      <c r="S163" s="33"/>
      <c r="T163" s="33"/>
      <c r="U163" s="33"/>
      <c r="V163" s="33"/>
      <c r="W163" s="33"/>
      <c r="X163" s="33"/>
      <c r="Y163" s="33"/>
      <c r="Z163" s="33"/>
      <c r="AA163" s="33"/>
    </row>
    <row r="164" spans="1:27">
      <c r="A164" s="2" t="s">
        <v>3090</v>
      </c>
      <c r="B164" s="2" t="s">
        <v>3091</v>
      </c>
      <c r="C164" s="2" t="s">
        <v>3092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31"/>
      <c r="U164" s="31"/>
      <c r="V164" s="31"/>
      <c r="W164" s="31"/>
      <c r="X164" s="31"/>
      <c r="Y164" s="31"/>
      <c r="Z164" s="31"/>
      <c r="AA164" s="31"/>
    </row>
    <row r="165" spans="1:27" ht="30">
      <c r="A165" s="32" t="s">
        <v>3093</v>
      </c>
      <c r="B165" s="32" t="s">
        <v>3094</v>
      </c>
      <c r="C165" s="32" t="s">
        <v>3095</v>
      </c>
      <c r="D165" s="33" t="s">
        <v>3096</v>
      </c>
      <c r="E165" s="33" t="s">
        <v>3097</v>
      </c>
      <c r="F165" s="33" t="s">
        <v>3098</v>
      </c>
      <c r="G165" s="33"/>
      <c r="H165" s="33"/>
      <c r="I165" s="33"/>
      <c r="J165" s="33"/>
      <c r="K165" s="33"/>
      <c r="L165" s="33"/>
      <c r="M165" s="33"/>
      <c r="N165" s="33" t="s">
        <v>674</v>
      </c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spans="1:27" ht="60">
      <c r="A166" s="32" t="s">
        <v>3099</v>
      </c>
      <c r="B166" s="32" t="s">
        <v>3094</v>
      </c>
      <c r="C166" s="32" t="s">
        <v>3100</v>
      </c>
      <c r="D166" s="33" t="s">
        <v>3101</v>
      </c>
      <c r="E166" s="33" t="s">
        <v>3102</v>
      </c>
      <c r="F166" s="33" t="s">
        <v>3103</v>
      </c>
      <c r="G166" s="33"/>
      <c r="H166" s="33"/>
      <c r="I166" s="33"/>
      <c r="J166" s="33"/>
      <c r="K166" s="33"/>
      <c r="L166" s="33"/>
      <c r="M166" s="33"/>
      <c r="N166" s="33" t="s">
        <v>674</v>
      </c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spans="1:27" ht="60">
      <c r="A167" s="32" t="s">
        <v>3104</v>
      </c>
      <c r="B167" s="32" t="s">
        <v>3094</v>
      </c>
      <c r="C167" s="32" t="s">
        <v>3105</v>
      </c>
      <c r="D167" s="33" t="s">
        <v>3101</v>
      </c>
      <c r="E167" s="33" t="s">
        <v>3106</v>
      </c>
      <c r="F167" s="33" t="s">
        <v>3107</v>
      </c>
      <c r="G167" s="33"/>
      <c r="H167" s="33"/>
      <c r="I167" s="33"/>
      <c r="J167" s="33"/>
      <c r="K167" s="33"/>
      <c r="L167" s="33"/>
      <c r="M167" s="33"/>
      <c r="N167" s="33" t="s">
        <v>674</v>
      </c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spans="1:27" ht="60">
      <c r="A168" s="32" t="s">
        <v>3108</v>
      </c>
      <c r="B168" s="32" t="s">
        <v>3094</v>
      </c>
      <c r="C168" s="32" t="s">
        <v>2597</v>
      </c>
      <c r="D168" s="33" t="s">
        <v>3109</v>
      </c>
      <c r="E168" s="33" t="s">
        <v>3110</v>
      </c>
      <c r="F168" s="33" t="s">
        <v>3111</v>
      </c>
      <c r="G168" s="33"/>
      <c r="H168" s="33"/>
      <c r="I168" s="33"/>
      <c r="J168" s="33"/>
      <c r="K168" s="33"/>
      <c r="L168" s="33"/>
      <c r="M168" s="33"/>
      <c r="N168" s="33" t="s">
        <v>674</v>
      </c>
      <c r="O168" s="33"/>
      <c r="P168" s="33"/>
      <c r="Q168" s="33"/>
      <c r="R168" s="33"/>
      <c r="S168" s="33" t="s">
        <v>3112</v>
      </c>
      <c r="T168" s="33"/>
      <c r="U168" s="33"/>
      <c r="V168" s="33"/>
      <c r="W168" s="33"/>
      <c r="X168" s="33"/>
      <c r="Y168" s="33"/>
      <c r="Z168" s="33"/>
      <c r="AA168" s="33"/>
    </row>
    <row r="169" spans="1:27" ht="60">
      <c r="A169" s="32" t="s">
        <v>3113</v>
      </c>
      <c r="B169" s="32" t="s">
        <v>3094</v>
      </c>
      <c r="C169" s="32" t="s">
        <v>3114</v>
      </c>
      <c r="D169" s="33" t="s">
        <v>3115</v>
      </c>
      <c r="E169" s="33" t="s">
        <v>3116</v>
      </c>
      <c r="F169" s="33" t="s">
        <v>3117</v>
      </c>
      <c r="G169" s="33"/>
      <c r="H169" s="33"/>
      <c r="I169" s="33"/>
      <c r="J169" s="33"/>
      <c r="K169" s="33"/>
      <c r="L169" s="33"/>
      <c r="M169" s="33"/>
      <c r="N169" s="33" t="s">
        <v>674</v>
      </c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spans="1:27" ht="60">
      <c r="A170" s="32" t="s">
        <v>3118</v>
      </c>
      <c r="B170" s="32" t="s">
        <v>3094</v>
      </c>
      <c r="C170" s="32" t="s">
        <v>2570</v>
      </c>
      <c r="D170" s="33" t="s">
        <v>3119</v>
      </c>
      <c r="E170" s="33" t="s">
        <v>3120</v>
      </c>
      <c r="F170" s="33" t="s">
        <v>3121</v>
      </c>
      <c r="G170" s="33"/>
      <c r="H170" s="33"/>
      <c r="I170" s="33"/>
      <c r="J170" s="33"/>
      <c r="K170" s="33"/>
      <c r="L170" s="33"/>
      <c r="M170" s="33"/>
      <c r="N170" s="33" t="s">
        <v>674</v>
      </c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spans="1:27" ht="60">
      <c r="A171" s="32" t="s">
        <v>3122</v>
      </c>
      <c r="B171" s="32" t="s">
        <v>3094</v>
      </c>
      <c r="C171" s="32" t="s">
        <v>3123</v>
      </c>
      <c r="D171" s="33" t="s">
        <v>3119</v>
      </c>
      <c r="E171" s="33" t="s">
        <v>3124</v>
      </c>
      <c r="F171" s="33" t="s">
        <v>3125</v>
      </c>
      <c r="G171" s="33"/>
      <c r="H171" s="33"/>
      <c r="I171" s="33"/>
      <c r="J171" s="33"/>
      <c r="K171" s="33"/>
      <c r="L171" s="33"/>
      <c r="M171" s="33"/>
      <c r="N171" s="33" t="s">
        <v>674</v>
      </c>
      <c r="O171" s="33"/>
      <c r="P171" s="33"/>
      <c r="Q171" s="33"/>
      <c r="R171" s="33"/>
      <c r="S171" s="33" t="s">
        <v>3126</v>
      </c>
      <c r="T171" s="33"/>
      <c r="U171" s="33"/>
      <c r="V171" s="33"/>
      <c r="W171" s="33"/>
      <c r="X171" s="33"/>
      <c r="Y171" s="33"/>
      <c r="Z171" s="33"/>
      <c r="AA171" s="33"/>
    </row>
    <row r="172" spans="1:27" ht="45">
      <c r="A172" s="32" t="s">
        <v>3127</v>
      </c>
      <c r="B172" s="32" t="s">
        <v>3094</v>
      </c>
      <c r="C172" s="32" t="s">
        <v>3128</v>
      </c>
      <c r="D172" s="33" t="s">
        <v>2158</v>
      </c>
      <c r="E172" s="33" t="s">
        <v>3129</v>
      </c>
      <c r="F172" s="33" t="s">
        <v>3130</v>
      </c>
      <c r="G172" s="33"/>
      <c r="H172" s="33"/>
      <c r="I172" s="33"/>
      <c r="J172" s="33"/>
      <c r="K172" s="33"/>
      <c r="L172" s="33"/>
      <c r="M172" s="33"/>
      <c r="N172" s="33" t="s">
        <v>674</v>
      </c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spans="1:27" ht="45">
      <c r="A173" s="32" t="s">
        <v>3131</v>
      </c>
      <c r="B173" s="32" t="s">
        <v>3094</v>
      </c>
      <c r="C173" s="32" t="s">
        <v>3132</v>
      </c>
      <c r="D173" s="33" t="s">
        <v>3133</v>
      </c>
      <c r="E173" s="33" t="s">
        <v>3134</v>
      </c>
      <c r="F173" s="33" t="s">
        <v>3135</v>
      </c>
      <c r="G173" s="33"/>
      <c r="H173" s="33"/>
      <c r="I173" s="33"/>
      <c r="J173" s="33"/>
      <c r="K173" s="33"/>
      <c r="L173" s="33"/>
      <c r="M173" s="33"/>
      <c r="N173" s="33" t="s">
        <v>674</v>
      </c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spans="1:27" ht="30">
      <c r="A174" s="32" t="s">
        <v>3136</v>
      </c>
      <c r="B174" s="32" t="s">
        <v>3094</v>
      </c>
      <c r="C174" s="32" t="s">
        <v>3137</v>
      </c>
      <c r="D174" s="33" t="s">
        <v>3138</v>
      </c>
      <c r="E174" s="33" t="s">
        <v>3139</v>
      </c>
      <c r="F174" s="33" t="s">
        <v>3135</v>
      </c>
      <c r="G174" s="33"/>
      <c r="H174" s="33"/>
      <c r="I174" s="33"/>
      <c r="J174" s="33"/>
      <c r="K174" s="33"/>
      <c r="L174" s="33"/>
      <c r="M174" s="33"/>
      <c r="N174" s="33" t="s">
        <v>674</v>
      </c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spans="1:27" ht="30">
      <c r="A175" s="32" t="s">
        <v>3140</v>
      </c>
      <c r="B175" s="32" t="s">
        <v>3094</v>
      </c>
      <c r="C175" s="32" t="s">
        <v>3141</v>
      </c>
      <c r="D175" s="33" t="s">
        <v>3101</v>
      </c>
      <c r="E175" s="33" t="s">
        <v>3142</v>
      </c>
      <c r="F175" s="33" t="s">
        <v>3143</v>
      </c>
      <c r="G175" s="33"/>
      <c r="H175" s="33"/>
      <c r="I175" s="33"/>
      <c r="J175" s="33"/>
      <c r="K175" s="33"/>
      <c r="L175" s="33"/>
      <c r="M175" s="33"/>
      <c r="N175" s="33" t="s">
        <v>674</v>
      </c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spans="1:27" ht="30">
      <c r="A176" s="32" t="s">
        <v>3144</v>
      </c>
      <c r="B176" s="32" t="s">
        <v>3094</v>
      </c>
      <c r="C176" s="32" t="s">
        <v>3145</v>
      </c>
      <c r="D176" s="33" t="s">
        <v>2075</v>
      </c>
      <c r="E176" s="33" t="s">
        <v>3146</v>
      </c>
      <c r="F176" s="33" t="s">
        <v>3147</v>
      </c>
      <c r="G176" s="33"/>
      <c r="H176" s="33"/>
      <c r="I176" s="33"/>
      <c r="J176" s="33"/>
      <c r="K176" s="33"/>
      <c r="L176" s="33"/>
      <c r="M176" s="33"/>
      <c r="N176" s="33" t="s">
        <v>674</v>
      </c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spans="1:27" ht="30">
      <c r="A177" s="32" t="s">
        <v>3148</v>
      </c>
      <c r="B177" s="32" t="s">
        <v>3094</v>
      </c>
      <c r="C177" s="32" t="s">
        <v>3149</v>
      </c>
      <c r="D177" s="33" t="s">
        <v>3150</v>
      </c>
      <c r="E177" s="33" t="s">
        <v>3151</v>
      </c>
      <c r="F177" s="33" t="s">
        <v>3152</v>
      </c>
      <c r="G177" s="33"/>
      <c r="H177" s="33"/>
      <c r="I177" s="33"/>
      <c r="J177" s="33"/>
      <c r="K177" s="33"/>
      <c r="L177" s="33"/>
      <c r="M177" s="33"/>
      <c r="N177" s="33" t="s">
        <v>674</v>
      </c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spans="1:27" ht="30">
      <c r="A178" s="32" t="s">
        <v>3153</v>
      </c>
      <c r="B178" s="32" t="s">
        <v>3094</v>
      </c>
      <c r="C178" s="32" t="s">
        <v>2855</v>
      </c>
      <c r="D178" s="33" t="s">
        <v>2075</v>
      </c>
      <c r="E178" s="33" t="s">
        <v>3154</v>
      </c>
      <c r="F178" s="33" t="s">
        <v>3155</v>
      </c>
      <c r="G178" s="33"/>
      <c r="H178" s="33"/>
      <c r="I178" s="33"/>
      <c r="J178" s="33"/>
      <c r="K178" s="33"/>
      <c r="L178" s="33"/>
      <c r="M178" s="33"/>
      <c r="N178" s="33" t="s">
        <v>674</v>
      </c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spans="1:27" ht="30">
      <c r="A179" s="32" t="s">
        <v>3156</v>
      </c>
      <c r="B179" s="32" t="s">
        <v>3094</v>
      </c>
      <c r="C179" s="32" t="s">
        <v>3157</v>
      </c>
      <c r="D179" s="33" t="s">
        <v>2075</v>
      </c>
      <c r="E179" s="33" t="s">
        <v>3158</v>
      </c>
      <c r="F179" s="33" t="s">
        <v>3159</v>
      </c>
      <c r="G179" s="33"/>
      <c r="H179" s="33"/>
      <c r="I179" s="33"/>
      <c r="J179" s="33"/>
      <c r="K179" s="33"/>
      <c r="L179" s="33"/>
      <c r="M179" s="33"/>
      <c r="N179" s="33" t="s">
        <v>674</v>
      </c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spans="1:27" ht="60">
      <c r="A180" s="32" t="s">
        <v>3160</v>
      </c>
      <c r="B180" s="32" t="s">
        <v>3094</v>
      </c>
      <c r="C180" s="32" t="s">
        <v>2990</v>
      </c>
      <c r="D180" s="33" t="s">
        <v>2075</v>
      </c>
      <c r="E180" s="33" t="s">
        <v>3161</v>
      </c>
      <c r="F180" s="33" t="s">
        <v>3162</v>
      </c>
      <c r="G180" s="33"/>
      <c r="H180" s="33"/>
      <c r="I180" s="33"/>
      <c r="J180" s="33"/>
      <c r="K180" s="33"/>
      <c r="L180" s="33"/>
      <c r="M180" s="33"/>
      <c r="N180" s="33" t="s">
        <v>674</v>
      </c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spans="1:27" ht="30">
      <c r="A181" s="32" t="s">
        <v>3163</v>
      </c>
      <c r="B181" s="32" t="s">
        <v>3094</v>
      </c>
      <c r="C181" s="32" t="s">
        <v>3164</v>
      </c>
      <c r="D181" s="33" t="s">
        <v>2075</v>
      </c>
      <c r="E181" s="33" t="s">
        <v>3165</v>
      </c>
      <c r="F181" s="33" t="s">
        <v>3166</v>
      </c>
      <c r="G181" s="33"/>
      <c r="H181" s="33"/>
      <c r="I181" s="33"/>
      <c r="J181" s="33"/>
      <c r="K181" s="33"/>
      <c r="L181" s="33"/>
      <c r="M181" s="33"/>
      <c r="N181" s="33" t="s">
        <v>674</v>
      </c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spans="1:27" ht="30">
      <c r="A182" s="32" t="s">
        <v>3167</v>
      </c>
      <c r="B182" s="32" t="s">
        <v>3094</v>
      </c>
      <c r="C182" s="32" t="s">
        <v>3168</v>
      </c>
      <c r="D182" s="33" t="s">
        <v>3169</v>
      </c>
      <c r="E182" s="33" t="s">
        <v>3170</v>
      </c>
      <c r="F182" s="33" t="s">
        <v>3171</v>
      </c>
      <c r="G182" s="33"/>
      <c r="H182" s="33"/>
      <c r="I182" s="33"/>
      <c r="J182" s="33"/>
      <c r="K182" s="33"/>
      <c r="L182" s="33"/>
      <c r="M182" s="33"/>
      <c r="N182" s="33" t="s">
        <v>674</v>
      </c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spans="1:27" ht="45">
      <c r="A183" s="32" t="s">
        <v>3172</v>
      </c>
      <c r="B183" s="32" t="s">
        <v>3094</v>
      </c>
      <c r="C183" s="32" t="s">
        <v>3173</v>
      </c>
      <c r="D183" s="33" t="s">
        <v>3174</v>
      </c>
      <c r="E183" s="33" t="s">
        <v>3175</v>
      </c>
      <c r="F183" s="33" t="s">
        <v>3176</v>
      </c>
      <c r="G183" s="33"/>
      <c r="H183" s="33"/>
      <c r="I183" s="33"/>
      <c r="J183" s="33"/>
      <c r="K183" s="33"/>
      <c r="L183" s="33"/>
      <c r="M183" s="33"/>
      <c r="N183" s="33" t="s">
        <v>674</v>
      </c>
      <c r="O183" s="33"/>
      <c r="P183" s="33"/>
      <c r="Q183" s="33"/>
      <c r="R183" s="33"/>
      <c r="S183" s="33" t="s">
        <v>3177</v>
      </c>
      <c r="T183" s="33"/>
      <c r="U183" s="33"/>
      <c r="V183" s="33"/>
      <c r="W183" s="33"/>
      <c r="X183" s="33"/>
      <c r="Y183" s="33"/>
      <c r="Z183" s="33"/>
      <c r="AA183" s="33"/>
    </row>
    <row r="184" spans="1:27" ht="60">
      <c r="A184" s="32" t="s">
        <v>3178</v>
      </c>
      <c r="B184" s="32" t="s">
        <v>3094</v>
      </c>
      <c r="C184" s="32" t="s">
        <v>3179</v>
      </c>
      <c r="D184" s="33" t="s">
        <v>3174</v>
      </c>
      <c r="E184" s="33" t="s">
        <v>3180</v>
      </c>
      <c r="F184" s="33" t="s">
        <v>3181</v>
      </c>
      <c r="G184" s="33"/>
      <c r="H184" s="33"/>
      <c r="I184" s="33"/>
      <c r="J184" s="33"/>
      <c r="K184" s="33"/>
      <c r="L184" s="33"/>
      <c r="M184" s="33"/>
      <c r="N184" s="33" t="s">
        <v>674</v>
      </c>
      <c r="O184" s="33"/>
      <c r="P184" s="33"/>
      <c r="Q184" s="33"/>
      <c r="R184" s="33"/>
      <c r="S184" s="33" t="s">
        <v>3182</v>
      </c>
      <c r="T184" s="33"/>
      <c r="U184" s="33"/>
      <c r="V184" s="33"/>
      <c r="W184" s="33"/>
      <c r="X184" s="33"/>
      <c r="Y184" s="33"/>
      <c r="Z184" s="33"/>
      <c r="AA184" s="33"/>
    </row>
    <row r="185" spans="1:27" ht="45">
      <c r="A185" s="32" t="s">
        <v>3183</v>
      </c>
      <c r="B185" s="32" t="s">
        <v>3094</v>
      </c>
      <c r="C185" s="32" t="s">
        <v>3184</v>
      </c>
      <c r="D185" s="33" t="s">
        <v>2075</v>
      </c>
      <c r="E185" s="33" t="s">
        <v>3185</v>
      </c>
      <c r="F185" s="33" t="s">
        <v>3186</v>
      </c>
      <c r="G185" s="33"/>
      <c r="H185" s="33"/>
      <c r="I185" s="33"/>
      <c r="J185" s="33"/>
      <c r="K185" s="33"/>
      <c r="L185" s="33"/>
      <c r="M185" s="33"/>
      <c r="N185" s="33" t="s">
        <v>674</v>
      </c>
      <c r="O185" s="33"/>
      <c r="P185" s="33"/>
      <c r="Q185" s="33"/>
      <c r="R185" s="33"/>
      <c r="S185" s="33" t="s">
        <v>3187</v>
      </c>
      <c r="T185" s="33"/>
      <c r="U185" s="33"/>
      <c r="V185" s="33"/>
      <c r="W185" s="33"/>
      <c r="X185" s="33"/>
      <c r="Y185" s="33"/>
      <c r="Z185" s="33"/>
      <c r="AA185" s="33"/>
    </row>
    <row r="186" spans="1:27" ht="30">
      <c r="A186" s="32" t="s">
        <v>3188</v>
      </c>
      <c r="B186" s="32" t="s">
        <v>3094</v>
      </c>
      <c r="C186" s="32" t="s">
        <v>3189</v>
      </c>
      <c r="D186" s="33" t="s">
        <v>3174</v>
      </c>
      <c r="E186" s="33" t="s">
        <v>3190</v>
      </c>
      <c r="F186" s="33" t="s">
        <v>3191</v>
      </c>
      <c r="G186" s="33"/>
      <c r="H186" s="33"/>
      <c r="I186" s="33"/>
      <c r="J186" s="33"/>
      <c r="K186" s="33"/>
      <c r="L186" s="33"/>
      <c r="M186" s="33"/>
      <c r="N186" s="33" t="s">
        <v>674</v>
      </c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spans="1:27" ht="30">
      <c r="A187" s="32" t="s">
        <v>3192</v>
      </c>
      <c r="B187" s="32" t="s">
        <v>3094</v>
      </c>
      <c r="C187" s="32" t="s">
        <v>3193</v>
      </c>
      <c r="D187" s="33" t="s">
        <v>3174</v>
      </c>
      <c r="E187" s="33" t="s">
        <v>3194</v>
      </c>
      <c r="F187" s="33" t="s">
        <v>3135</v>
      </c>
      <c r="G187" s="33"/>
      <c r="H187" s="33"/>
      <c r="I187" s="33"/>
      <c r="J187" s="33"/>
      <c r="K187" s="33"/>
      <c r="L187" s="33"/>
      <c r="M187" s="33"/>
      <c r="N187" s="33" t="s">
        <v>674</v>
      </c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spans="1:27" ht="30">
      <c r="A188" s="32" t="s">
        <v>3195</v>
      </c>
      <c r="B188" s="32" t="s">
        <v>3094</v>
      </c>
      <c r="C188" s="32" t="s">
        <v>3196</v>
      </c>
      <c r="D188" s="33" t="s">
        <v>2075</v>
      </c>
      <c r="E188" s="33" t="s">
        <v>3197</v>
      </c>
      <c r="F188" s="33" t="s">
        <v>3198</v>
      </c>
      <c r="G188" s="33"/>
      <c r="H188" s="33"/>
      <c r="I188" s="33"/>
      <c r="J188" s="33"/>
      <c r="K188" s="33"/>
      <c r="L188" s="33"/>
      <c r="M188" s="33"/>
      <c r="N188" s="33" t="s">
        <v>674</v>
      </c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spans="1:27" ht="30">
      <c r="A189" s="32" t="s">
        <v>3199</v>
      </c>
      <c r="B189" s="32" t="s">
        <v>3094</v>
      </c>
      <c r="C189" s="32" t="s">
        <v>3133</v>
      </c>
      <c r="D189" s="33" t="s">
        <v>3133</v>
      </c>
      <c r="E189" s="33" t="s">
        <v>3200</v>
      </c>
      <c r="F189" s="33" t="s">
        <v>3135</v>
      </c>
      <c r="G189" s="33"/>
      <c r="H189" s="33"/>
      <c r="I189" s="33"/>
      <c r="J189" s="33"/>
      <c r="K189" s="33"/>
      <c r="L189" s="33"/>
      <c r="M189" s="33"/>
      <c r="N189" s="33" t="s">
        <v>674</v>
      </c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spans="1:27" ht="30">
      <c r="A190" s="32" t="s">
        <v>3201</v>
      </c>
      <c r="B190" s="32" t="s">
        <v>3094</v>
      </c>
      <c r="C190" s="32" t="s">
        <v>3202</v>
      </c>
      <c r="D190" s="33" t="s">
        <v>3174</v>
      </c>
      <c r="E190" s="33" t="s">
        <v>3203</v>
      </c>
      <c r="F190" s="33" t="s">
        <v>3204</v>
      </c>
      <c r="G190" s="33"/>
      <c r="H190" s="33"/>
      <c r="I190" s="33"/>
      <c r="J190" s="33"/>
      <c r="K190" s="33"/>
      <c r="L190" s="33"/>
      <c r="M190" s="33"/>
      <c r="N190" s="33" t="s">
        <v>674</v>
      </c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spans="1:27" ht="30">
      <c r="A191" s="32" t="s">
        <v>3205</v>
      </c>
      <c r="B191" s="32" t="s">
        <v>3094</v>
      </c>
      <c r="C191" s="32" t="s">
        <v>3206</v>
      </c>
      <c r="D191" s="33" t="s">
        <v>3207</v>
      </c>
      <c r="E191" s="33" t="s">
        <v>3208</v>
      </c>
      <c r="F191" s="33" t="s">
        <v>3209</v>
      </c>
      <c r="G191" s="33"/>
      <c r="H191" s="33"/>
      <c r="I191" s="33"/>
      <c r="J191" s="33"/>
      <c r="K191" s="33"/>
      <c r="L191" s="33"/>
      <c r="M191" s="33"/>
      <c r="N191" s="33" t="s">
        <v>674</v>
      </c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spans="1:27">
      <c r="A192" t="s">
        <v>3210</v>
      </c>
      <c r="B192" t="s">
        <v>3094</v>
      </c>
      <c r="C192" t="s">
        <v>2570</v>
      </c>
      <c r="D192" t="s">
        <v>3119</v>
      </c>
      <c r="E192" t="s">
        <v>3211</v>
      </c>
      <c r="F192" t="s">
        <v>3212</v>
      </c>
      <c r="I192" t="s">
        <v>3213</v>
      </c>
      <c r="M192" t="s">
        <v>3214</v>
      </c>
      <c r="N192" t="s">
        <v>674</v>
      </c>
      <c r="S192" t="s">
        <v>3215</v>
      </c>
      <c r="T192" t="s">
        <v>3216</v>
      </c>
      <c r="U192" t="s">
        <v>3217</v>
      </c>
      <c r="V192" t="s">
        <v>3218</v>
      </c>
      <c r="W192" t="s">
        <v>3219</v>
      </c>
      <c r="X192" t="s">
        <v>3220</v>
      </c>
      <c r="AA192" t="s">
        <v>3221</v>
      </c>
    </row>
    <row r="193" spans="1:23">
      <c r="A193" t="s">
        <v>3222</v>
      </c>
      <c r="B193" t="s">
        <v>3094</v>
      </c>
      <c r="C193" t="s">
        <v>3114</v>
      </c>
      <c r="D193" t="s">
        <v>3115</v>
      </c>
      <c r="E193" t="s">
        <v>3223</v>
      </c>
      <c r="F193" t="s">
        <v>3224</v>
      </c>
      <c r="I193" t="s">
        <v>3213</v>
      </c>
      <c r="M193" t="s">
        <v>3225</v>
      </c>
      <c r="N193" t="s">
        <v>674</v>
      </c>
      <c r="S193" t="s">
        <v>3226</v>
      </c>
      <c r="T193" t="s">
        <v>3227</v>
      </c>
      <c r="V193" t="s">
        <v>3228</v>
      </c>
      <c r="W193" t="s">
        <v>3229</v>
      </c>
    </row>
  </sheetData>
  <autoFilter ref="A1:S1" xr:uid="{00000000-0009-0000-0000-000003000000}"/>
  <phoneticPr fontId="15" type="noConversion"/>
  <dataValidations count="6">
    <dataValidation type="list" allowBlank="1" sqref="B2:B500" xr:uid="{00000000-0002-0000-0300-000000000000}">
      <formula1>_xlfn._LONGTEXT("SCR-001,SCR-002,SCR-010,SCR-011,SCR-012,SCR-013,SCR-014,SCR-020,SCR-021,SCR-030,SCR-031,SCR-032,SCR-040,SCR-041,SCR-050,SCR-051,SCR-052,SCR-053,SCR-060,SCR-061,SCR-062,SCR-063,SCR-070,SCR-071,SCR-072,SCR-073,SCR-080,SCR-081,SCR-090,SCR-091,SCR-092,SCR-093",",SCR-094")</formula1>
    </dataValidation>
    <dataValidation type="list" allowBlank="1" sqref="D2:D500" xr:uid="{00000000-0002-0000-0300-000001000000}">
      <formula1>"Button,Input,Textarea,Select,Checkbox,Radio,Toggle,Link,Nav,Tab,Slide,Card,List,Modal,Toast,Tooltip,Image,Icon,Badge,Label,Text,Divider,기타"</formula1>
    </dataValidation>
    <dataValidation type="list" allowBlank="1" sqref="G2:G500" xr:uid="{00000000-0002-0000-0300-000002000000}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type="list" allowBlank="1" sqref="H2:H500" xr:uid="{00000000-0002-0000-0300-000003000000}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type="list" allowBlank="1" sqref="N2:N500" xr:uid="{00000000-0002-0000-0300-000004000000}">
      <formula1>"설계중,개발중,개발완료,테스트중,완료"</formula1>
    </dataValidation>
    <dataValidation type="list" allowBlank="1" sqref="O2:O500" xr:uid="{00000000-0002-0000-0300-000005000000}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58"/>
  <sheetViews>
    <sheetView workbookViewId="0"/>
  </sheetViews>
  <sheetFormatPr baseColWidth="10" defaultColWidth="8.83203125" defaultRowHeight="17" outlineLevelRow="1"/>
  <cols>
    <col min="1" max="1" width="12" customWidth="1"/>
    <col min="2" max="2" width="18" customWidth="1"/>
    <col min="3" max="3" width="14" customWidth="1"/>
    <col min="4" max="5" width="10" customWidth="1"/>
    <col min="6" max="7" width="35" customWidth="1"/>
    <col min="8" max="8" width="12" customWidth="1"/>
    <col min="9" max="9" width="30" customWidth="1"/>
    <col min="10" max="10" width="25" customWidth="1"/>
    <col min="11" max="11" width="30" customWidth="1"/>
    <col min="12" max="13" width="25" customWidth="1"/>
    <col min="14" max="14" width="14" customWidth="1"/>
    <col min="15" max="15" width="12" customWidth="1"/>
    <col min="16" max="16" width="10" customWidth="1"/>
    <col min="17" max="17" width="12" customWidth="1"/>
    <col min="18" max="18" width="18" customWidth="1"/>
    <col min="19" max="20" width="20" customWidth="1"/>
    <col min="21" max="21" width="25" customWidth="1"/>
  </cols>
  <sheetData>
    <row r="1" spans="1:21">
      <c r="A1" s="1" t="s">
        <v>2053</v>
      </c>
      <c r="B1" s="1" t="s">
        <v>3230</v>
      </c>
      <c r="C1" s="1" t="s">
        <v>3231</v>
      </c>
      <c r="D1" s="1" t="s">
        <v>5</v>
      </c>
      <c r="E1" s="1" t="s">
        <v>430</v>
      </c>
      <c r="F1" s="1" t="s">
        <v>3232</v>
      </c>
      <c r="G1" s="1" t="s">
        <v>3233</v>
      </c>
      <c r="H1" s="1" t="s">
        <v>3</v>
      </c>
      <c r="I1" s="1" t="s">
        <v>3234</v>
      </c>
      <c r="J1" s="1" t="s">
        <v>3235</v>
      </c>
      <c r="K1" s="1" t="s">
        <v>3236</v>
      </c>
      <c r="L1" s="1" t="s">
        <v>3237</v>
      </c>
      <c r="M1" s="1" t="s">
        <v>3238</v>
      </c>
      <c r="N1" s="1" t="s">
        <v>3239</v>
      </c>
      <c r="O1" s="1" t="s">
        <v>3240</v>
      </c>
      <c r="P1" s="1" t="s">
        <v>10</v>
      </c>
      <c r="Q1" s="1" t="s">
        <v>432</v>
      </c>
      <c r="R1" s="1" t="s">
        <v>433</v>
      </c>
      <c r="S1" s="1" t="s">
        <v>2061</v>
      </c>
      <c r="T1" s="1" t="s">
        <v>11</v>
      </c>
      <c r="U1" s="1" t="s">
        <v>3241</v>
      </c>
    </row>
    <row r="2" spans="1:21">
      <c r="A2" s="2" t="s">
        <v>2070</v>
      </c>
      <c r="B2" s="2" t="s">
        <v>3242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3243</v>
      </c>
      <c r="U2" s="2"/>
    </row>
    <row r="3" spans="1:21" ht="195" outlineLevel="1">
      <c r="A3" s="32" t="s">
        <v>2078</v>
      </c>
      <c r="B3" s="32" t="s">
        <v>13</v>
      </c>
      <c r="C3" s="32" t="s">
        <v>12</v>
      </c>
      <c r="D3" s="33" t="s">
        <v>15</v>
      </c>
      <c r="E3" s="33" t="s">
        <v>438</v>
      </c>
      <c r="F3" s="33" t="s">
        <v>3244</v>
      </c>
      <c r="G3" s="33" t="s">
        <v>3245</v>
      </c>
      <c r="H3" s="33" t="s">
        <v>14</v>
      </c>
      <c r="I3" s="33" t="s">
        <v>3246</v>
      </c>
      <c r="J3" s="33" t="s">
        <v>3247</v>
      </c>
      <c r="K3" s="33" t="s">
        <v>3248</v>
      </c>
      <c r="L3" s="33" t="s">
        <v>3249</v>
      </c>
      <c r="M3" s="33" t="s">
        <v>3250</v>
      </c>
      <c r="N3" s="33"/>
      <c r="O3" s="33" t="s">
        <v>2079</v>
      </c>
      <c r="P3" s="33" t="s">
        <v>20</v>
      </c>
      <c r="Q3" s="33"/>
      <c r="R3" s="33" t="s">
        <v>13</v>
      </c>
      <c r="S3" s="33" t="s">
        <v>2085</v>
      </c>
      <c r="T3" s="33" t="s">
        <v>3251</v>
      </c>
      <c r="U3" s="33">
        <v>5</v>
      </c>
    </row>
    <row r="4" spans="1:21">
      <c r="A4" s="2" t="s">
        <v>2153</v>
      </c>
      <c r="B4" s="2" t="s">
        <v>3252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3253</v>
      </c>
      <c r="U4" s="2"/>
    </row>
    <row r="5" spans="1:21" ht="195" outlineLevel="1">
      <c r="A5" s="32" t="s">
        <v>2161</v>
      </c>
      <c r="B5" s="32" t="s">
        <v>2165</v>
      </c>
      <c r="C5" s="32" t="s">
        <v>22</v>
      </c>
      <c r="D5" s="33" t="s">
        <v>15</v>
      </c>
      <c r="E5" s="33" t="s">
        <v>438</v>
      </c>
      <c r="F5" s="33" t="s">
        <v>3254</v>
      </c>
      <c r="G5" s="33" t="s">
        <v>3255</v>
      </c>
      <c r="H5" s="33" t="s">
        <v>24</v>
      </c>
      <c r="I5" s="33" t="s">
        <v>3256</v>
      </c>
      <c r="J5" s="33" t="s">
        <v>3257</v>
      </c>
      <c r="K5" s="33" t="s">
        <v>3258</v>
      </c>
      <c r="L5" s="33" t="s">
        <v>3259</v>
      </c>
      <c r="M5" s="33" t="s">
        <v>3260</v>
      </c>
      <c r="N5" s="33"/>
      <c r="O5" s="33" t="s">
        <v>2162</v>
      </c>
      <c r="P5" s="33" t="s">
        <v>20</v>
      </c>
      <c r="Q5" s="33"/>
      <c r="R5" s="33" t="s">
        <v>22</v>
      </c>
      <c r="S5" s="33" t="s">
        <v>2166</v>
      </c>
      <c r="T5" s="33" t="s">
        <v>3261</v>
      </c>
      <c r="U5" s="33">
        <v>8</v>
      </c>
    </row>
    <row r="6" spans="1:21">
      <c r="A6" s="2" t="s">
        <v>2248</v>
      </c>
      <c r="B6" s="2" t="s">
        <v>3262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95" outlineLevel="1">
      <c r="A7" s="32" t="s">
        <v>2254</v>
      </c>
      <c r="B7" s="32" t="s">
        <v>2260</v>
      </c>
      <c r="C7" s="32" t="s">
        <v>30</v>
      </c>
      <c r="D7" s="33" t="s">
        <v>15</v>
      </c>
      <c r="E7" s="33" t="s">
        <v>438</v>
      </c>
      <c r="F7" s="33" t="s">
        <v>3263</v>
      </c>
      <c r="G7" s="33" t="s">
        <v>3264</v>
      </c>
      <c r="H7" s="33" t="s">
        <v>32</v>
      </c>
      <c r="I7" s="33" t="s">
        <v>3265</v>
      </c>
      <c r="J7" s="33" t="s">
        <v>3266</v>
      </c>
      <c r="K7" s="33" t="s">
        <v>3267</v>
      </c>
      <c r="L7" s="33" t="s">
        <v>3268</v>
      </c>
      <c r="M7" s="33" t="s">
        <v>3269</v>
      </c>
      <c r="N7" s="33"/>
      <c r="O7" s="33" t="s">
        <v>2255</v>
      </c>
      <c r="P7" s="33" t="s">
        <v>20</v>
      </c>
      <c r="Q7" s="33"/>
      <c r="R7" s="33" t="s">
        <v>33</v>
      </c>
      <c r="S7" s="33" t="s">
        <v>2261</v>
      </c>
      <c r="T7" s="33" t="s">
        <v>3270</v>
      </c>
      <c r="U7" s="33">
        <v>8</v>
      </c>
    </row>
    <row r="8" spans="1:21" ht="195" outlineLevel="1">
      <c r="A8" s="32" t="s">
        <v>2305</v>
      </c>
      <c r="B8" s="32" t="s">
        <v>44</v>
      </c>
      <c r="C8" s="32" t="s">
        <v>30</v>
      </c>
      <c r="D8" s="33" t="s">
        <v>15</v>
      </c>
      <c r="E8" s="33" t="s">
        <v>438</v>
      </c>
      <c r="F8" s="33" t="s">
        <v>3271</v>
      </c>
      <c r="G8" s="33" t="s">
        <v>3272</v>
      </c>
      <c r="H8" s="33" t="s">
        <v>32</v>
      </c>
      <c r="I8" s="33" t="s">
        <v>3273</v>
      </c>
      <c r="J8" s="33" t="s">
        <v>3274</v>
      </c>
      <c r="K8" s="33" t="s">
        <v>3275</v>
      </c>
      <c r="L8" s="33" t="s">
        <v>3276</v>
      </c>
      <c r="M8" s="33" t="s">
        <v>3277</v>
      </c>
      <c r="N8" s="33"/>
      <c r="O8" s="33" t="s">
        <v>2365</v>
      </c>
      <c r="P8" s="33" t="s">
        <v>20</v>
      </c>
      <c r="Q8" s="33"/>
      <c r="R8" s="33" t="s">
        <v>33</v>
      </c>
      <c r="S8" s="33" t="s">
        <v>2261</v>
      </c>
      <c r="T8" s="33"/>
      <c r="U8" s="33">
        <v>8</v>
      </c>
    </row>
    <row r="9" spans="1:21">
      <c r="A9" s="2" t="s">
        <v>2308</v>
      </c>
      <c r="B9" s="2" t="s">
        <v>3278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0" outlineLevel="1">
      <c r="A10" s="32" t="s">
        <v>3015</v>
      </c>
      <c r="B10" s="32" t="s">
        <v>3019</v>
      </c>
      <c r="C10" s="32" t="s">
        <v>30</v>
      </c>
      <c r="D10" s="33" t="s">
        <v>15</v>
      </c>
      <c r="E10" s="33" t="s">
        <v>457</v>
      </c>
      <c r="F10" s="33" t="s">
        <v>3279</v>
      </c>
      <c r="G10" s="33" t="s">
        <v>3280</v>
      </c>
      <c r="H10" s="33" t="s">
        <v>38</v>
      </c>
      <c r="I10" s="33" t="s">
        <v>3281</v>
      </c>
      <c r="J10" s="33" t="s">
        <v>3282</v>
      </c>
      <c r="K10" s="33" t="s">
        <v>3283</v>
      </c>
      <c r="L10" s="33" t="s">
        <v>3284</v>
      </c>
      <c r="M10" s="33" t="s">
        <v>3285</v>
      </c>
      <c r="N10" s="33"/>
      <c r="O10" s="33" t="s">
        <v>3016</v>
      </c>
      <c r="P10" s="33" t="s">
        <v>20</v>
      </c>
      <c r="Q10" s="33"/>
      <c r="R10" s="33" t="s">
        <v>39</v>
      </c>
      <c r="S10" s="33" t="s">
        <v>2320</v>
      </c>
      <c r="T10" s="33"/>
      <c r="U10" s="33">
        <v>6</v>
      </c>
    </row>
    <row r="11" spans="1:21" ht="165" outlineLevel="1">
      <c r="A11" s="32" t="s">
        <v>2315</v>
      </c>
      <c r="B11" s="32" t="s">
        <v>2319</v>
      </c>
      <c r="C11" s="32" t="s">
        <v>30</v>
      </c>
      <c r="D11" s="33" t="s">
        <v>15</v>
      </c>
      <c r="E11" s="33" t="s">
        <v>457</v>
      </c>
      <c r="F11" s="33" t="s">
        <v>3286</v>
      </c>
      <c r="G11" s="33" t="s">
        <v>3287</v>
      </c>
      <c r="H11" s="33" t="s">
        <v>38</v>
      </c>
      <c r="I11" s="33" t="s">
        <v>3288</v>
      </c>
      <c r="J11" s="33" t="s">
        <v>3289</v>
      </c>
      <c r="K11" s="33" t="s">
        <v>3290</v>
      </c>
      <c r="L11" s="33" t="s">
        <v>3291</v>
      </c>
      <c r="M11" s="33" t="s">
        <v>3292</v>
      </c>
      <c r="N11" s="33"/>
      <c r="O11" s="33" t="s">
        <v>2316</v>
      </c>
      <c r="P11" s="33" t="s">
        <v>20</v>
      </c>
      <c r="Q11" s="33"/>
      <c r="R11" s="33" t="s">
        <v>39</v>
      </c>
      <c r="S11" s="33" t="s">
        <v>2320</v>
      </c>
      <c r="T11" s="33" t="s">
        <v>3293</v>
      </c>
      <c r="U11" s="33">
        <v>6</v>
      </c>
    </row>
    <row r="12" spans="1:21">
      <c r="A12" s="2" t="s">
        <v>3025</v>
      </c>
      <c r="B12" s="2" t="s">
        <v>3294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80" outlineLevel="1">
      <c r="A13" s="32" t="s">
        <v>2348</v>
      </c>
      <c r="B13" s="32" t="s">
        <v>2351</v>
      </c>
      <c r="C13" s="32" t="s">
        <v>30</v>
      </c>
      <c r="D13" s="33" t="s">
        <v>15</v>
      </c>
      <c r="E13" s="33" t="s">
        <v>457</v>
      </c>
      <c r="F13" s="33" t="s">
        <v>3295</v>
      </c>
      <c r="G13" s="33" t="s">
        <v>3296</v>
      </c>
      <c r="H13" s="33" t="s">
        <v>52</v>
      </c>
      <c r="I13" s="33" t="s">
        <v>3297</v>
      </c>
      <c r="J13" s="33" t="s">
        <v>3298</v>
      </c>
      <c r="K13" s="33" t="s">
        <v>3299</v>
      </c>
      <c r="L13" s="33" t="s">
        <v>3300</v>
      </c>
      <c r="M13" s="33" t="s">
        <v>3301</v>
      </c>
      <c r="N13" s="33"/>
      <c r="O13" s="33" t="s">
        <v>2316</v>
      </c>
      <c r="P13" s="33" t="s">
        <v>20</v>
      </c>
      <c r="Q13" s="33"/>
      <c r="R13" s="33" t="s">
        <v>53</v>
      </c>
      <c r="S13" s="33" t="s">
        <v>2320</v>
      </c>
      <c r="T13" s="33"/>
      <c r="U13" s="33">
        <v>2</v>
      </c>
    </row>
    <row r="14" spans="1:21">
      <c r="A14" s="2" t="s">
        <v>3038</v>
      </c>
      <c r="B14" s="2" t="s">
        <v>3302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80" outlineLevel="1">
      <c r="A15" s="32" t="s">
        <v>3044</v>
      </c>
      <c r="B15" s="32" t="s">
        <v>3048</v>
      </c>
      <c r="C15" s="32" t="s">
        <v>467</v>
      </c>
      <c r="D15" s="33" t="s">
        <v>15</v>
      </c>
      <c r="E15" s="33" t="s">
        <v>457</v>
      </c>
      <c r="F15" s="33" t="s">
        <v>64</v>
      </c>
      <c r="G15" s="33" t="s">
        <v>3303</v>
      </c>
      <c r="H15" s="33" t="s">
        <v>60</v>
      </c>
      <c r="I15" s="33" t="s">
        <v>3304</v>
      </c>
      <c r="J15" s="33" t="s">
        <v>3305</v>
      </c>
      <c r="K15" s="33" t="s">
        <v>3306</v>
      </c>
      <c r="L15" s="33" t="s">
        <v>3307</v>
      </c>
      <c r="M15" s="33" t="s">
        <v>3308</v>
      </c>
      <c r="N15" s="33"/>
      <c r="O15" s="33" t="s">
        <v>2332</v>
      </c>
      <c r="P15" s="33" t="s">
        <v>20</v>
      </c>
      <c r="Q15" s="33"/>
      <c r="R15" s="33" t="s">
        <v>61</v>
      </c>
      <c r="S15" s="33" t="s">
        <v>2335</v>
      </c>
      <c r="T15" s="33" t="s">
        <v>3309</v>
      </c>
      <c r="U15" s="33">
        <v>2</v>
      </c>
    </row>
    <row r="16" spans="1:21">
      <c r="A16" s="2" t="s">
        <v>3054</v>
      </c>
      <c r="B16" s="2" t="s">
        <v>3310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0" outlineLevel="1">
      <c r="A17" s="32" t="s">
        <v>3060</v>
      </c>
      <c r="B17" s="32" t="s">
        <v>68</v>
      </c>
      <c r="C17" s="32" t="s">
        <v>467</v>
      </c>
      <c r="D17" s="33" t="s">
        <v>15</v>
      </c>
      <c r="E17" s="33" t="s">
        <v>457</v>
      </c>
      <c r="F17" s="33" t="s">
        <v>3311</v>
      </c>
      <c r="G17" s="33" t="s">
        <v>3312</v>
      </c>
      <c r="H17" s="33" t="s">
        <v>67</v>
      </c>
      <c r="I17" s="33" t="s">
        <v>3313</v>
      </c>
      <c r="J17" s="33" t="s">
        <v>3314</v>
      </c>
      <c r="K17" s="33" t="s">
        <v>3315</v>
      </c>
      <c r="L17" s="33" t="s">
        <v>3316</v>
      </c>
      <c r="M17" s="33" t="s">
        <v>3317</v>
      </c>
      <c r="N17" s="33"/>
      <c r="O17" s="33"/>
      <c r="P17" s="33" t="s">
        <v>20</v>
      </c>
      <c r="Q17" s="33"/>
      <c r="R17" s="33" t="s">
        <v>68</v>
      </c>
      <c r="S17" s="33" t="str">
        <f>IFERROR(VLOOKUP(O17,API명세서!A:D,4,FALSE()),"")</f>
        <v/>
      </c>
      <c r="T17" s="33" t="s">
        <v>3318</v>
      </c>
      <c r="U17" s="33">
        <v>2</v>
      </c>
    </row>
    <row r="18" spans="1:21">
      <c r="A18" s="2" t="s">
        <v>2437</v>
      </c>
      <c r="B18" s="2" t="s">
        <v>3319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0" outlineLevel="1">
      <c r="A19" s="32" t="s">
        <v>2444</v>
      </c>
      <c r="B19" s="32" t="s">
        <v>2449</v>
      </c>
      <c r="C19" s="32" t="s">
        <v>407</v>
      </c>
      <c r="D19" s="33" t="s">
        <v>15</v>
      </c>
      <c r="E19" s="33" t="s">
        <v>438</v>
      </c>
      <c r="F19" s="33" t="s">
        <v>3320</v>
      </c>
      <c r="G19" s="33" t="s">
        <v>3321</v>
      </c>
      <c r="H19" s="33" t="s">
        <v>74</v>
      </c>
      <c r="I19" s="33" t="s">
        <v>3322</v>
      </c>
      <c r="J19" s="33" t="s">
        <v>3323</v>
      </c>
      <c r="K19" s="33" t="s">
        <v>3324</v>
      </c>
      <c r="L19" s="33" t="s">
        <v>3325</v>
      </c>
      <c r="M19" s="33" t="s">
        <v>3326</v>
      </c>
      <c r="N19" s="33"/>
      <c r="O19" s="33" t="s">
        <v>2340</v>
      </c>
      <c r="P19" s="33" t="s">
        <v>20</v>
      </c>
      <c r="Q19" s="33"/>
      <c r="R19" s="33" t="s">
        <v>75</v>
      </c>
      <c r="S19" s="33" t="s">
        <v>2343</v>
      </c>
      <c r="T19" s="33" t="s">
        <v>3327</v>
      </c>
      <c r="U19" s="33">
        <v>7</v>
      </c>
    </row>
    <row r="20" spans="1:21" ht="150" outlineLevel="1">
      <c r="A20" s="32" t="s">
        <v>2489</v>
      </c>
      <c r="B20" s="32" t="s">
        <v>2493</v>
      </c>
      <c r="C20" s="32" t="s">
        <v>407</v>
      </c>
      <c r="D20" s="33" t="s">
        <v>15</v>
      </c>
      <c r="E20" s="33" t="s">
        <v>438</v>
      </c>
      <c r="F20" s="33" t="s">
        <v>3328</v>
      </c>
      <c r="G20" s="33" t="s">
        <v>3329</v>
      </c>
      <c r="H20" s="33" t="s">
        <v>74</v>
      </c>
      <c r="I20" s="33" t="s">
        <v>3330</v>
      </c>
      <c r="J20" s="33" t="s">
        <v>3331</v>
      </c>
      <c r="K20" s="33" t="s">
        <v>3332</v>
      </c>
      <c r="L20" s="33" t="s">
        <v>3333</v>
      </c>
      <c r="M20" s="33" t="s">
        <v>3334</v>
      </c>
      <c r="N20" s="33"/>
      <c r="O20" s="33" t="s">
        <v>2490</v>
      </c>
      <c r="P20" s="33" t="s">
        <v>20</v>
      </c>
      <c r="Q20" s="33"/>
      <c r="R20" s="33" t="s">
        <v>75</v>
      </c>
      <c r="S20" s="33" t="s">
        <v>2494</v>
      </c>
      <c r="T20" s="33"/>
      <c r="U20" s="33">
        <v>7</v>
      </c>
    </row>
    <row r="21" spans="1:21">
      <c r="A21" s="2" t="s">
        <v>2514</v>
      </c>
      <c r="B21" s="2" t="s">
        <v>3335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95" outlineLevel="1">
      <c r="A22" s="32" t="s">
        <v>2520</v>
      </c>
      <c r="B22" s="32" t="s">
        <v>2524</v>
      </c>
      <c r="C22" s="32" t="s">
        <v>407</v>
      </c>
      <c r="D22" s="33" t="s">
        <v>15</v>
      </c>
      <c r="E22" s="33" t="s">
        <v>438</v>
      </c>
      <c r="F22" s="33" t="s">
        <v>3336</v>
      </c>
      <c r="G22" s="33" t="s">
        <v>3337</v>
      </c>
      <c r="H22" s="33" t="s">
        <v>84</v>
      </c>
      <c r="I22" s="33" t="s">
        <v>3338</v>
      </c>
      <c r="J22" s="33" t="s">
        <v>3339</v>
      </c>
      <c r="K22" s="33" t="s">
        <v>3340</v>
      </c>
      <c r="L22" s="33" t="s">
        <v>3341</v>
      </c>
      <c r="M22" s="33" t="s">
        <v>3342</v>
      </c>
      <c r="N22" s="33"/>
      <c r="O22" s="33" t="s">
        <v>2521</v>
      </c>
      <c r="P22" s="33" t="s">
        <v>20</v>
      </c>
      <c r="Q22" s="33"/>
      <c r="R22" s="33" t="s">
        <v>85</v>
      </c>
      <c r="S22" s="33" t="s">
        <v>2343</v>
      </c>
      <c r="T22" s="33"/>
      <c r="U22" s="33">
        <v>4</v>
      </c>
    </row>
    <row r="23" spans="1:21">
      <c r="A23" s="2" t="s">
        <v>2758</v>
      </c>
      <c r="B23" s="2" t="s">
        <v>3343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0" outlineLevel="1">
      <c r="A24" s="32" t="s">
        <v>2763</v>
      </c>
      <c r="B24" s="32" t="s">
        <v>2766</v>
      </c>
      <c r="C24" s="32" t="s">
        <v>89</v>
      </c>
      <c r="D24" s="33" t="s">
        <v>15</v>
      </c>
      <c r="E24" s="33" t="s">
        <v>457</v>
      </c>
      <c r="F24" s="33" t="s">
        <v>3344</v>
      </c>
      <c r="G24" s="33" t="s">
        <v>3345</v>
      </c>
      <c r="H24" s="33" t="s">
        <v>91</v>
      </c>
      <c r="I24" s="33" t="s">
        <v>3346</v>
      </c>
      <c r="J24" s="33" t="s">
        <v>92</v>
      </c>
      <c r="K24" s="33" t="s">
        <v>3347</v>
      </c>
      <c r="L24" s="33" t="s">
        <v>3348</v>
      </c>
      <c r="M24" s="33" t="s">
        <v>3349</v>
      </c>
      <c r="N24" s="33"/>
      <c r="O24" s="33" t="s">
        <v>2490</v>
      </c>
      <c r="P24" s="33" t="s">
        <v>20</v>
      </c>
      <c r="Q24" s="33"/>
      <c r="R24" s="33" t="s">
        <v>92</v>
      </c>
      <c r="S24" s="33" t="s">
        <v>2494</v>
      </c>
      <c r="T24" s="33"/>
      <c r="U24" s="33">
        <v>3</v>
      </c>
    </row>
    <row r="25" spans="1:21" ht="180" outlineLevel="1">
      <c r="A25" s="32" t="s">
        <v>2776</v>
      </c>
      <c r="B25" s="32" t="s">
        <v>2778</v>
      </c>
      <c r="C25" s="32" t="s">
        <v>89</v>
      </c>
      <c r="D25" s="33" t="s">
        <v>15</v>
      </c>
      <c r="E25" s="33" t="s">
        <v>457</v>
      </c>
      <c r="F25" s="33" t="s">
        <v>3350</v>
      </c>
      <c r="G25" s="33" t="s">
        <v>3351</v>
      </c>
      <c r="H25" s="33" t="s">
        <v>91</v>
      </c>
      <c r="I25" s="33" t="s">
        <v>3352</v>
      </c>
      <c r="J25" s="33" t="s">
        <v>3353</v>
      </c>
      <c r="K25" s="33" t="s">
        <v>3354</v>
      </c>
      <c r="L25" s="33" t="s">
        <v>3355</v>
      </c>
      <c r="M25" s="33" t="s">
        <v>3356</v>
      </c>
      <c r="N25" s="33"/>
      <c r="O25" s="33" t="s">
        <v>2785</v>
      </c>
      <c r="P25" s="33" t="s">
        <v>20</v>
      </c>
      <c r="Q25" s="33"/>
      <c r="R25" s="33" t="s">
        <v>92</v>
      </c>
      <c r="S25" s="33" t="s">
        <v>2494</v>
      </c>
      <c r="T25" s="33"/>
      <c r="U25" s="33">
        <v>3</v>
      </c>
    </row>
    <row r="26" spans="1:21">
      <c r="A26" s="2" t="s">
        <v>2544</v>
      </c>
      <c r="B26" s="2" t="s">
        <v>3357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0" outlineLevel="1">
      <c r="A27" s="32" t="s">
        <v>2550</v>
      </c>
      <c r="B27" s="32" t="s">
        <v>2553</v>
      </c>
      <c r="C27" s="32" t="s">
        <v>100</v>
      </c>
      <c r="D27" s="33" t="s">
        <v>15</v>
      </c>
      <c r="E27" s="33" t="s">
        <v>457</v>
      </c>
      <c r="F27" s="33" t="s">
        <v>3358</v>
      </c>
      <c r="G27" s="33" t="s">
        <v>3359</v>
      </c>
      <c r="H27" s="33" t="s">
        <v>102</v>
      </c>
      <c r="I27" s="33" t="s">
        <v>3360</v>
      </c>
      <c r="J27" s="33" t="s">
        <v>3361</v>
      </c>
      <c r="K27" s="33" t="s">
        <v>3362</v>
      </c>
      <c r="L27" s="33" t="s">
        <v>3363</v>
      </c>
      <c r="M27" s="33" t="s">
        <v>3364</v>
      </c>
      <c r="N27" s="33"/>
      <c r="O27" s="33" t="s">
        <v>2551</v>
      </c>
      <c r="P27" s="33" t="s">
        <v>20</v>
      </c>
      <c r="Q27" s="33"/>
      <c r="R27" s="33" t="s">
        <v>103</v>
      </c>
      <c r="S27" s="33" t="s">
        <v>2554</v>
      </c>
      <c r="T27" s="33" t="s">
        <v>3365</v>
      </c>
      <c r="U27" s="33">
        <v>4</v>
      </c>
    </row>
    <row r="28" spans="1:21" ht="150" outlineLevel="1">
      <c r="A28" s="32" t="s">
        <v>2811</v>
      </c>
      <c r="B28" s="32" t="s">
        <v>2812</v>
      </c>
      <c r="C28" s="32" t="s">
        <v>100</v>
      </c>
      <c r="D28" s="33" t="s">
        <v>15</v>
      </c>
      <c r="E28" s="33" t="s">
        <v>457</v>
      </c>
      <c r="F28" s="33" t="s">
        <v>110</v>
      </c>
      <c r="G28" s="33" t="s">
        <v>3366</v>
      </c>
      <c r="H28" s="33" t="s">
        <v>102</v>
      </c>
      <c r="I28" s="33" t="s">
        <v>3367</v>
      </c>
      <c r="J28" s="33" t="s">
        <v>3368</v>
      </c>
      <c r="K28" s="33" t="s">
        <v>3369</v>
      </c>
      <c r="L28" s="33" t="s">
        <v>3370</v>
      </c>
      <c r="M28" s="33" t="s">
        <v>3371</v>
      </c>
      <c r="N28" s="33"/>
      <c r="O28" s="33" t="s">
        <v>2823</v>
      </c>
      <c r="P28" s="33" t="s">
        <v>20</v>
      </c>
      <c r="Q28" s="33"/>
      <c r="R28" s="33" t="s">
        <v>103</v>
      </c>
      <c r="S28" s="33" t="s">
        <v>2827</v>
      </c>
      <c r="T28" s="33" t="s">
        <v>3372</v>
      </c>
      <c r="U28" s="33">
        <v>4</v>
      </c>
    </row>
    <row r="29" spans="1:21">
      <c r="A29" s="2" t="s">
        <v>2931</v>
      </c>
      <c r="B29" s="2" t="s">
        <v>3373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80" outlineLevel="1">
      <c r="A30" s="32" t="s">
        <v>2937</v>
      </c>
      <c r="B30" s="32" t="s">
        <v>114</v>
      </c>
      <c r="C30" s="32" t="s">
        <v>100</v>
      </c>
      <c r="D30" s="33" t="s">
        <v>15</v>
      </c>
      <c r="E30" s="33" t="s">
        <v>496</v>
      </c>
      <c r="F30" s="33" t="s">
        <v>116</v>
      </c>
      <c r="G30" s="33" t="s">
        <v>3374</v>
      </c>
      <c r="H30" s="33" t="s">
        <v>113</v>
      </c>
      <c r="I30" s="33" t="s">
        <v>3375</v>
      </c>
      <c r="J30" s="33" t="s">
        <v>3376</v>
      </c>
      <c r="K30" s="33" t="s">
        <v>3377</v>
      </c>
      <c r="L30" s="33" t="s">
        <v>3378</v>
      </c>
      <c r="M30" s="33" t="s">
        <v>3379</v>
      </c>
      <c r="N30" s="33"/>
      <c r="O30" s="33"/>
      <c r="P30" s="33" t="s">
        <v>20</v>
      </c>
      <c r="Q30" s="33"/>
      <c r="R30" s="33" t="s">
        <v>114</v>
      </c>
      <c r="S30" s="33" t="str">
        <f>IFERROR(VLOOKUP(O30,API명세서!A:D,4,FALSE()),"")</f>
        <v/>
      </c>
      <c r="T30" s="33"/>
      <c r="U30" s="33">
        <v>3</v>
      </c>
    </row>
    <row r="31" spans="1:21">
      <c r="A31" s="2" t="s">
        <v>2952</v>
      </c>
      <c r="B31" s="2" t="s">
        <v>3380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0" outlineLevel="1">
      <c r="A32" s="32" t="s">
        <v>2958</v>
      </c>
      <c r="B32" s="32" t="s">
        <v>120</v>
      </c>
      <c r="C32" s="32" t="s">
        <v>100</v>
      </c>
      <c r="D32" s="33" t="s">
        <v>15</v>
      </c>
      <c r="E32" s="33" t="s">
        <v>496</v>
      </c>
      <c r="F32" s="33" t="s">
        <v>3381</v>
      </c>
      <c r="G32" s="33" t="s">
        <v>3382</v>
      </c>
      <c r="H32" s="33" t="s">
        <v>119</v>
      </c>
      <c r="I32" s="33" t="s">
        <v>3383</v>
      </c>
      <c r="J32" s="33" t="s">
        <v>3384</v>
      </c>
      <c r="K32" s="33" t="s">
        <v>3385</v>
      </c>
      <c r="L32" s="33" t="s">
        <v>3386</v>
      </c>
      <c r="M32" s="33" t="s">
        <v>3387</v>
      </c>
      <c r="N32" s="33"/>
      <c r="O32" s="33"/>
      <c r="P32" s="33" t="s">
        <v>20</v>
      </c>
      <c r="Q32" s="33"/>
      <c r="R32" s="33" t="s">
        <v>120</v>
      </c>
      <c r="S32" s="33" t="str">
        <f>IFERROR(VLOOKUP(O32,API명세서!A:D,4,FALSE()),"")</f>
        <v/>
      </c>
      <c r="T32" s="33"/>
      <c r="U32" s="33">
        <v>2</v>
      </c>
    </row>
    <row r="33" spans="1:21">
      <c r="A33" s="2" t="s">
        <v>2575</v>
      </c>
      <c r="B33" s="2" t="s">
        <v>3388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35" outlineLevel="1">
      <c r="A34" s="32" t="s">
        <v>2580</v>
      </c>
      <c r="B34" s="32" t="s">
        <v>2583</v>
      </c>
      <c r="C34" s="32" t="s">
        <v>123</v>
      </c>
      <c r="D34" s="33" t="s">
        <v>15</v>
      </c>
      <c r="E34" s="33" t="s">
        <v>457</v>
      </c>
      <c r="F34" s="33" t="s">
        <v>128</v>
      </c>
      <c r="G34" s="33" t="s">
        <v>3389</v>
      </c>
      <c r="H34" s="33" t="s">
        <v>125</v>
      </c>
      <c r="I34" s="33" t="s">
        <v>3390</v>
      </c>
      <c r="J34" s="33" t="s">
        <v>126</v>
      </c>
      <c r="K34" s="33" t="s">
        <v>3391</v>
      </c>
      <c r="L34" s="33" t="s">
        <v>3392</v>
      </c>
      <c r="M34" s="33" t="s">
        <v>3393</v>
      </c>
      <c r="N34" s="33"/>
      <c r="O34" s="33" t="s">
        <v>2581</v>
      </c>
      <c r="P34" s="33" t="s">
        <v>20</v>
      </c>
      <c r="Q34" s="33"/>
      <c r="R34" s="33" t="s">
        <v>126</v>
      </c>
      <c r="S34" s="33" t="s">
        <v>2584</v>
      </c>
      <c r="T34" s="33" t="s">
        <v>3394</v>
      </c>
      <c r="U34" s="33">
        <v>5</v>
      </c>
    </row>
    <row r="35" spans="1:21" ht="150" outlineLevel="1">
      <c r="A35" s="32" t="s">
        <v>2603</v>
      </c>
      <c r="B35" s="32" t="s">
        <v>2605</v>
      </c>
      <c r="C35" s="32" t="s">
        <v>123</v>
      </c>
      <c r="D35" s="33" t="s">
        <v>15</v>
      </c>
      <c r="E35" s="33" t="s">
        <v>457</v>
      </c>
      <c r="F35" s="33" t="s">
        <v>3395</v>
      </c>
      <c r="G35" s="33" t="s">
        <v>3396</v>
      </c>
      <c r="H35" s="33" t="s">
        <v>125</v>
      </c>
      <c r="I35" s="33" t="s">
        <v>3397</v>
      </c>
      <c r="J35" s="33" t="s">
        <v>3398</v>
      </c>
      <c r="K35" s="33" t="s">
        <v>3399</v>
      </c>
      <c r="L35" s="33" t="s">
        <v>3400</v>
      </c>
      <c r="M35" s="33" t="s">
        <v>3401</v>
      </c>
      <c r="N35" s="33"/>
      <c r="O35" s="33" t="s">
        <v>2838</v>
      </c>
      <c r="P35" s="33" t="s">
        <v>20</v>
      </c>
      <c r="Q35" s="33"/>
      <c r="R35" s="33" t="s">
        <v>126</v>
      </c>
      <c r="S35" s="33" t="s">
        <v>2584</v>
      </c>
      <c r="T35" s="33"/>
      <c r="U35" s="33">
        <v>5</v>
      </c>
    </row>
    <row r="36" spans="1:21">
      <c r="A36" s="2" t="s">
        <v>2862</v>
      </c>
      <c r="B36" s="2" t="s">
        <v>3402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80" outlineLevel="1">
      <c r="A37" s="32" t="s">
        <v>2868</v>
      </c>
      <c r="B37" s="32" t="s">
        <v>2872</v>
      </c>
      <c r="C37" s="32" t="s">
        <v>123</v>
      </c>
      <c r="D37" s="33" t="s">
        <v>15</v>
      </c>
      <c r="E37" s="33" t="s">
        <v>457</v>
      </c>
      <c r="F37" s="33" t="s">
        <v>3403</v>
      </c>
      <c r="G37" s="33" t="s">
        <v>3404</v>
      </c>
      <c r="H37" s="33" t="s">
        <v>135</v>
      </c>
      <c r="I37" s="33" t="s">
        <v>3405</v>
      </c>
      <c r="J37" s="33" t="s">
        <v>3406</v>
      </c>
      <c r="K37" s="33" t="s">
        <v>3407</v>
      </c>
      <c r="L37" s="33" t="s">
        <v>3408</v>
      </c>
      <c r="M37" s="33" t="s">
        <v>3409</v>
      </c>
      <c r="N37" s="33"/>
      <c r="O37" s="33"/>
      <c r="P37" s="33" t="s">
        <v>20</v>
      </c>
      <c r="Q37" s="33"/>
      <c r="R37" s="33" t="s">
        <v>136</v>
      </c>
      <c r="S37" s="33" t="str">
        <f>IFERROR(VLOOKUP(O37,API명세서!A:D,4,FALSE()),"")</f>
        <v/>
      </c>
      <c r="T37" s="33" t="s">
        <v>3410</v>
      </c>
      <c r="U37" s="33">
        <v>3</v>
      </c>
    </row>
    <row r="38" spans="1:21" ht="135" outlineLevel="1">
      <c r="A38" s="32" t="s">
        <v>3073</v>
      </c>
      <c r="B38" s="32" t="s">
        <v>3077</v>
      </c>
      <c r="C38" s="32" t="s">
        <v>123</v>
      </c>
      <c r="D38" s="33" t="s">
        <v>15</v>
      </c>
      <c r="E38" s="33" t="s">
        <v>496</v>
      </c>
      <c r="F38" s="33" t="s">
        <v>3411</v>
      </c>
      <c r="G38" s="33" t="s">
        <v>3412</v>
      </c>
      <c r="H38" s="33" t="s">
        <v>135</v>
      </c>
      <c r="I38" s="33" t="s">
        <v>3413</v>
      </c>
      <c r="J38" s="33" t="s">
        <v>3414</v>
      </c>
      <c r="K38" s="33" t="s">
        <v>3415</v>
      </c>
      <c r="L38" s="33" t="s">
        <v>3416</v>
      </c>
      <c r="M38" s="33" t="s">
        <v>3417</v>
      </c>
      <c r="N38" s="33"/>
      <c r="O38" s="33"/>
      <c r="P38" s="33" t="s">
        <v>20</v>
      </c>
      <c r="Q38" s="33"/>
      <c r="R38" s="33" t="s">
        <v>136</v>
      </c>
      <c r="S38" s="33" t="str">
        <f>IFERROR(VLOOKUP(O38,API명세서!A:D,4,FALSE()),"")</f>
        <v/>
      </c>
      <c r="T38" s="33"/>
      <c r="U38" s="33">
        <v>3</v>
      </c>
    </row>
    <row r="39" spans="1:21">
      <c r="A39" s="2" t="s">
        <v>2606</v>
      </c>
      <c r="B39" s="2" t="s">
        <v>3418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0" outlineLevel="1">
      <c r="A40" s="32" t="s">
        <v>2612</v>
      </c>
      <c r="B40" s="32" t="s">
        <v>147</v>
      </c>
      <c r="C40" s="32" t="s">
        <v>144</v>
      </c>
      <c r="D40" s="33" t="s">
        <v>15</v>
      </c>
      <c r="E40" s="33" t="s">
        <v>457</v>
      </c>
      <c r="F40" s="33" t="s">
        <v>149</v>
      </c>
      <c r="G40" s="33" t="s">
        <v>3419</v>
      </c>
      <c r="H40" s="33" t="s">
        <v>146</v>
      </c>
      <c r="I40" s="33" t="s">
        <v>3420</v>
      </c>
      <c r="J40" s="33" t="s">
        <v>3421</v>
      </c>
      <c r="K40" s="33" t="s">
        <v>3422</v>
      </c>
      <c r="L40" s="33" t="s">
        <v>3423</v>
      </c>
      <c r="M40" s="33" t="s">
        <v>3424</v>
      </c>
      <c r="N40" s="33"/>
      <c r="O40" s="33"/>
      <c r="P40" s="33" t="s">
        <v>20</v>
      </c>
      <c r="Q40" s="33"/>
      <c r="R40" s="33" t="s">
        <v>147</v>
      </c>
      <c r="S40" s="33" t="str">
        <f>IFERROR(VLOOKUP(O40,API명세서!A:D,4,FALSE()),"")</f>
        <v/>
      </c>
      <c r="T40" s="33" t="s">
        <v>3425</v>
      </c>
      <c r="U40" s="33">
        <v>5</v>
      </c>
    </row>
    <row r="41" spans="1:21" ht="165" outlineLevel="1">
      <c r="A41" s="32" t="s">
        <v>2891</v>
      </c>
      <c r="B41" s="32" t="s">
        <v>2894</v>
      </c>
      <c r="C41" s="32" t="s">
        <v>144</v>
      </c>
      <c r="D41" s="33" t="s">
        <v>15</v>
      </c>
      <c r="E41" s="33" t="s">
        <v>496</v>
      </c>
      <c r="F41" s="33" t="s">
        <v>3426</v>
      </c>
      <c r="G41" s="33" t="s">
        <v>3427</v>
      </c>
      <c r="H41" s="33" t="s">
        <v>146</v>
      </c>
      <c r="I41" s="33" t="s">
        <v>3428</v>
      </c>
      <c r="J41" s="33" t="s">
        <v>3429</v>
      </c>
      <c r="K41" s="33" t="s">
        <v>3430</v>
      </c>
      <c r="L41" s="33" t="s">
        <v>3431</v>
      </c>
      <c r="M41" s="33" t="s">
        <v>3432</v>
      </c>
      <c r="N41" s="33"/>
      <c r="O41" s="33"/>
      <c r="P41" s="33" t="s">
        <v>20</v>
      </c>
      <c r="Q41" s="33"/>
      <c r="R41" s="33" t="s">
        <v>147</v>
      </c>
      <c r="S41" s="33" t="str">
        <f>IFERROR(VLOOKUP(O41,API명세서!A:D,4,FALSE()),"")</f>
        <v/>
      </c>
      <c r="T41" s="33"/>
      <c r="U41" s="33">
        <v>5</v>
      </c>
    </row>
    <row r="42" spans="1:21">
      <c r="A42" s="2" t="s">
        <v>2900</v>
      </c>
      <c r="B42" s="2" t="s">
        <v>3433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80" outlineLevel="1">
      <c r="A43" s="32" t="s">
        <v>2906</v>
      </c>
      <c r="B43" s="32" t="s">
        <v>159</v>
      </c>
      <c r="C43" s="32" t="s">
        <v>144</v>
      </c>
      <c r="D43" s="33" t="s">
        <v>15</v>
      </c>
      <c r="E43" s="33" t="s">
        <v>496</v>
      </c>
      <c r="F43" s="33" t="s">
        <v>161</v>
      </c>
      <c r="G43" s="33" t="s">
        <v>3434</v>
      </c>
      <c r="H43" s="33" t="s">
        <v>158</v>
      </c>
      <c r="I43" s="33" t="s">
        <v>3435</v>
      </c>
      <c r="J43" s="33" t="s">
        <v>3436</v>
      </c>
      <c r="K43" s="33" t="s">
        <v>3437</v>
      </c>
      <c r="L43" s="33" t="s">
        <v>3438</v>
      </c>
      <c r="M43" s="33" t="s">
        <v>3439</v>
      </c>
      <c r="N43" s="33"/>
      <c r="O43" s="33"/>
      <c r="P43" s="33" t="s">
        <v>20</v>
      </c>
      <c r="Q43" s="33"/>
      <c r="R43" s="33" t="s">
        <v>159</v>
      </c>
      <c r="S43" s="33" t="str">
        <f>IFERROR(VLOOKUP(O43,API명세서!A:D,4,FALSE()),"")</f>
        <v/>
      </c>
      <c r="T43" s="33"/>
      <c r="U43" s="33">
        <v>2</v>
      </c>
    </row>
    <row r="44" spans="1:21" ht="150" outlineLevel="1">
      <c r="A44" s="32" t="s">
        <v>2917</v>
      </c>
      <c r="B44" s="32" t="s">
        <v>165</v>
      </c>
      <c r="C44" s="32" t="s">
        <v>144</v>
      </c>
      <c r="D44" s="33" t="s">
        <v>15</v>
      </c>
      <c r="E44" s="33" t="s">
        <v>496</v>
      </c>
      <c r="F44" s="33" t="s">
        <v>3440</v>
      </c>
      <c r="G44" s="33" t="s">
        <v>3441</v>
      </c>
      <c r="H44" s="33" t="s">
        <v>158</v>
      </c>
      <c r="I44" s="33" t="s">
        <v>3442</v>
      </c>
      <c r="J44" s="33" t="s">
        <v>3443</v>
      </c>
      <c r="K44" s="33" t="s">
        <v>3444</v>
      </c>
      <c r="L44" s="33" t="s">
        <v>3445</v>
      </c>
      <c r="M44" s="33" t="s">
        <v>3446</v>
      </c>
      <c r="N44" s="33"/>
      <c r="O44" s="33"/>
      <c r="P44" s="33" t="s">
        <v>20</v>
      </c>
      <c r="Q44" s="33"/>
      <c r="R44" s="33" t="s">
        <v>159</v>
      </c>
      <c r="S44" s="33" t="str">
        <f>IFERROR(VLOOKUP(O44,API명세서!A:D,4,FALSE()),"")</f>
        <v/>
      </c>
      <c r="T44" s="33" t="s">
        <v>3447</v>
      </c>
      <c r="U44" s="33">
        <v>2</v>
      </c>
    </row>
    <row r="45" spans="1:21">
      <c r="A45" s="2" t="s">
        <v>2642</v>
      </c>
      <c r="B45" s="2" t="s">
        <v>3448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80" outlineLevel="1">
      <c r="A46" s="32" t="s">
        <v>2648</v>
      </c>
      <c r="B46" s="32" t="s">
        <v>2651</v>
      </c>
      <c r="C46" s="32" t="s">
        <v>169</v>
      </c>
      <c r="D46" s="33" t="s">
        <v>15</v>
      </c>
      <c r="E46" s="33" t="s">
        <v>438</v>
      </c>
      <c r="F46" s="33" t="s">
        <v>174</v>
      </c>
      <c r="G46" s="33" t="s">
        <v>3449</v>
      </c>
      <c r="H46" s="33" t="s">
        <v>171</v>
      </c>
      <c r="I46" s="33" t="s">
        <v>3450</v>
      </c>
      <c r="J46" s="33" t="s">
        <v>3451</v>
      </c>
      <c r="K46" s="33" t="s">
        <v>3452</v>
      </c>
      <c r="L46" s="33" t="s">
        <v>3453</v>
      </c>
      <c r="M46" s="33" t="s">
        <v>3454</v>
      </c>
      <c r="N46" s="33"/>
      <c r="O46" s="33" t="s">
        <v>2521</v>
      </c>
      <c r="P46" s="33" t="s">
        <v>20</v>
      </c>
      <c r="Q46" s="33"/>
      <c r="R46" s="33" t="s">
        <v>172</v>
      </c>
      <c r="S46" s="33" t="s">
        <v>2343</v>
      </c>
      <c r="T46" s="33" t="s">
        <v>3455</v>
      </c>
      <c r="U46" s="33">
        <v>6</v>
      </c>
    </row>
    <row r="47" spans="1:21" ht="150" outlineLevel="1">
      <c r="A47" s="32" t="s">
        <v>2972</v>
      </c>
      <c r="B47" s="32" t="s">
        <v>178</v>
      </c>
      <c r="C47" s="32" t="s">
        <v>169</v>
      </c>
      <c r="D47" s="33" t="s">
        <v>15</v>
      </c>
      <c r="E47" s="33" t="s">
        <v>496</v>
      </c>
      <c r="F47" s="33" t="s">
        <v>180</v>
      </c>
      <c r="G47" s="33" t="s">
        <v>3456</v>
      </c>
      <c r="H47" s="33" t="s">
        <v>171</v>
      </c>
      <c r="I47" s="33" t="s">
        <v>3457</v>
      </c>
      <c r="J47" s="33" t="s">
        <v>3458</v>
      </c>
      <c r="K47" s="33" t="s">
        <v>3459</v>
      </c>
      <c r="L47" s="33" t="s">
        <v>3460</v>
      </c>
      <c r="M47" s="33" t="s">
        <v>3461</v>
      </c>
      <c r="N47" s="33"/>
      <c r="O47" s="33"/>
      <c r="P47" s="33" t="s">
        <v>20</v>
      </c>
      <c r="Q47" s="33"/>
      <c r="R47" s="33" t="s">
        <v>172</v>
      </c>
      <c r="S47" s="33" t="str">
        <f>IFERROR(VLOOKUP(O47,API명세서!A:D,4,FALSE()),"")</f>
        <v/>
      </c>
      <c r="T47" s="33"/>
      <c r="U47" s="33">
        <v>6</v>
      </c>
    </row>
    <row r="48" spans="1:21">
      <c r="A48" s="2" t="s">
        <v>2689</v>
      </c>
      <c r="B48" s="2" t="s">
        <v>3462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0" outlineLevel="1">
      <c r="A49" s="32" t="s">
        <v>2696</v>
      </c>
      <c r="B49" s="32" t="s">
        <v>2699</v>
      </c>
      <c r="C49" s="32" t="s">
        <v>182</v>
      </c>
      <c r="D49" s="33" t="s">
        <v>15</v>
      </c>
      <c r="E49" s="33" t="s">
        <v>496</v>
      </c>
      <c r="F49" s="33" t="s">
        <v>3463</v>
      </c>
      <c r="G49" s="33" t="s">
        <v>3464</v>
      </c>
      <c r="H49" s="33" t="s">
        <v>183</v>
      </c>
      <c r="I49" s="33" t="s">
        <v>3465</v>
      </c>
      <c r="J49" s="33" t="s">
        <v>3466</v>
      </c>
      <c r="K49" s="33" t="s">
        <v>3467</v>
      </c>
      <c r="L49" s="33" t="s">
        <v>3468</v>
      </c>
      <c r="M49" s="33" t="s">
        <v>3469</v>
      </c>
      <c r="N49" s="33"/>
      <c r="O49" s="33"/>
      <c r="P49" s="33" t="s">
        <v>20</v>
      </c>
      <c r="Q49" s="33"/>
      <c r="R49" s="33" t="s">
        <v>182</v>
      </c>
      <c r="S49" s="33" t="str">
        <f>IFERROR(VLOOKUP(O49,API명세서!A:D,4,FALSE()),"")</f>
        <v/>
      </c>
      <c r="T49" s="33"/>
      <c r="U49" s="33">
        <v>3</v>
      </c>
    </row>
    <row r="50" spans="1:21" ht="180" outlineLevel="1">
      <c r="A50" s="32" t="s">
        <v>2716</v>
      </c>
      <c r="B50" s="32" t="s">
        <v>2718</v>
      </c>
      <c r="C50" s="32" t="s">
        <v>182</v>
      </c>
      <c r="D50" s="33" t="s">
        <v>15</v>
      </c>
      <c r="E50" s="33" t="s">
        <v>438</v>
      </c>
      <c r="F50" s="33" t="s">
        <v>3470</v>
      </c>
      <c r="G50" s="33" t="s">
        <v>3471</v>
      </c>
      <c r="H50" s="33" t="s">
        <v>183</v>
      </c>
      <c r="I50" s="33" t="s">
        <v>3472</v>
      </c>
      <c r="J50" s="33" t="s">
        <v>3473</v>
      </c>
      <c r="K50" s="33" t="s">
        <v>3474</v>
      </c>
      <c r="L50" s="33" t="s">
        <v>3475</v>
      </c>
      <c r="M50" s="33" t="s">
        <v>3476</v>
      </c>
      <c r="N50" s="33"/>
      <c r="O50" s="33"/>
      <c r="P50" s="33" t="s">
        <v>20</v>
      </c>
      <c r="Q50" s="33"/>
      <c r="R50" s="33" t="s">
        <v>182</v>
      </c>
      <c r="S50" s="33" t="str">
        <f>IFERROR(VLOOKUP(O50,API명세서!A:D,4,FALSE()),"")</f>
        <v/>
      </c>
      <c r="T50" s="33"/>
      <c r="U50" s="33">
        <v>3</v>
      </c>
    </row>
    <row r="51" spans="1:21" ht="135" outlineLevel="1">
      <c r="A51" s="32" t="s">
        <v>2983</v>
      </c>
      <c r="B51" s="32" t="s">
        <v>195</v>
      </c>
      <c r="C51" s="32" t="s">
        <v>182</v>
      </c>
      <c r="D51" s="33" t="s">
        <v>15</v>
      </c>
      <c r="E51" s="33" t="s">
        <v>496</v>
      </c>
      <c r="F51" s="33" t="s">
        <v>197</v>
      </c>
      <c r="G51" s="33" t="s">
        <v>3477</v>
      </c>
      <c r="H51" s="33" t="s">
        <v>183</v>
      </c>
      <c r="I51" s="33" t="s">
        <v>3478</v>
      </c>
      <c r="J51" s="33" t="s">
        <v>195</v>
      </c>
      <c r="K51" s="33" t="s">
        <v>3479</v>
      </c>
      <c r="L51" s="33" t="s">
        <v>3480</v>
      </c>
      <c r="M51" s="33" t="s">
        <v>3481</v>
      </c>
      <c r="N51" s="33"/>
      <c r="O51" s="33"/>
      <c r="P51" s="33" t="s">
        <v>20</v>
      </c>
      <c r="Q51" s="33"/>
      <c r="R51" s="33" t="s">
        <v>182</v>
      </c>
      <c r="S51" s="33" t="str">
        <f>IFERROR(VLOOKUP(O51,API명세서!A:D,4,FALSE()),"")</f>
        <v/>
      </c>
      <c r="T51" s="33"/>
      <c r="U51" s="33">
        <v>3</v>
      </c>
    </row>
    <row r="52" spans="1:21" ht="150" outlineLevel="1">
      <c r="A52" s="32" t="s">
        <v>3000</v>
      </c>
      <c r="B52" s="32" t="s">
        <v>201</v>
      </c>
      <c r="C52" s="32" t="s">
        <v>182</v>
      </c>
      <c r="D52" s="33" t="s">
        <v>15</v>
      </c>
      <c r="E52" s="33" t="s">
        <v>496</v>
      </c>
      <c r="F52" s="33" t="s">
        <v>203</v>
      </c>
      <c r="G52" s="33" t="s">
        <v>3482</v>
      </c>
      <c r="H52" s="33" t="s">
        <v>183</v>
      </c>
      <c r="I52" s="33" t="s">
        <v>3483</v>
      </c>
      <c r="J52" s="33" t="s">
        <v>3484</v>
      </c>
      <c r="K52" s="33" t="s">
        <v>3485</v>
      </c>
      <c r="L52" s="33" t="s">
        <v>3486</v>
      </c>
      <c r="M52" s="33" t="s">
        <v>3487</v>
      </c>
      <c r="N52" s="33"/>
      <c r="O52" s="33"/>
      <c r="P52" s="33" t="s">
        <v>20</v>
      </c>
      <c r="Q52" s="33"/>
      <c r="R52" s="33" t="s">
        <v>182</v>
      </c>
      <c r="S52" s="33" t="str">
        <f>IFERROR(VLOOKUP(O52,API명세서!A:D,4,FALSE()),"")</f>
        <v/>
      </c>
      <c r="T52" s="33"/>
      <c r="U52" s="33">
        <v>3</v>
      </c>
    </row>
    <row r="53" spans="1:21" ht="210" outlineLevel="1">
      <c r="A53" s="32" t="s">
        <v>2737</v>
      </c>
      <c r="B53" s="32" t="s">
        <v>207</v>
      </c>
      <c r="C53" s="32" t="s">
        <v>182</v>
      </c>
      <c r="D53" s="33" t="s">
        <v>15</v>
      </c>
      <c r="E53" s="33" t="s">
        <v>438</v>
      </c>
      <c r="F53" s="33" t="s">
        <v>209</v>
      </c>
      <c r="G53" s="33" t="s">
        <v>3488</v>
      </c>
      <c r="H53" s="33" t="s">
        <v>183</v>
      </c>
      <c r="I53" s="33" t="s">
        <v>3489</v>
      </c>
      <c r="J53" s="33" t="s">
        <v>3490</v>
      </c>
      <c r="K53" s="33" t="s">
        <v>3491</v>
      </c>
      <c r="L53" s="33" t="s">
        <v>3492</v>
      </c>
      <c r="M53" s="33" t="s">
        <v>3493</v>
      </c>
      <c r="N53" s="33"/>
      <c r="O53" s="33" t="s">
        <v>2752</v>
      </c>
      <c r="P53" s="33" t="s">
        <v>20</v>
      </c>
      <c r="Q53" s="33"/>
      <c r="R53" s="33" t="s">
        <v>182</v>
      </c>
      <c r="S53" s="33" t="s">
        <v>2757</v>
      </c>
      <c r="T53" s="33" t="s">
        <v>3494</v>
      </c>
      <c r="U53" s="33">
        <v>3</v>
      </c>
    </row>
    <row r="54" spans="1:21">
      <c r="A54" s="32" t="s">
        <v>3495</v>
      </c>
      <c r="B54" s="32" t="s">
        <v>3496</v>
      </c>
      <c r="C54" s="32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</row>
    <row r="55" spans="1:21" ht="90">
      <c r="A55" s="32" t="s">
        <v>3497</v>
      </c>
      <c r="B55" s="32" t="s">
        <v>3498</v>
      </c>
      <c r="C55" s="32" t="s">
        <v>467</v>
      </c>
      <c r="D55" s="33" t="s">
        <v>15</v>
      </c>
      <c r="E55" s="33" t="s">
        <v>438</v>
      </c>
      <c r="F55" s="33" t="s">
        <v>3499</v>
      </c>
      <c r="G55" s="33" t="s">
        <v>3500</v>
      </c>
      <c r="H55" s="33" t="s">
        <v>212</v>
      </c>
      <c r="I55" s="33" t="s">
        <v>3501</v>
      </c>
      <c r="J55" s="33" t="s">
        <v>3502</v>
      </c>
      <c r="K55" s="33" t="s">
        <v>3503</v>
      </c>
      <c r="L55" s="33" t="s">
        <v>3504</v>
      </c>
      <c r="M55" s="33" t="s">
        <v>3505</v>
      </c>
      <c r="N55" s="33"/>
      <c r="O55" s="33"/>
      <c r="P55" s="33" t="s">
        <v>20</v>
      </c>
      <c r="Q55" s="33"/>
      <c r="R55" s="33" t="s">
        <v>213</v>
      </c>
      <c r="S55" s="33" t="s">
        <v>3506</v>
      </c>
      <c r="T55" s="33"/>
      <c r="U55" s="33"/>
    </row>
    <row r="56" spans="1:21" ht="75">
      <c r="A56" s="32" t="s">
        <v>3507</v>
      </c>
      <c r="B56" s="32" t="s">
        <v>3508</v>
      </c>
      <c r="C56" s="32" t="s">
        <v>467</v>
      </c>
      <c r="D56" s="33" t="s">
        <v>15</v>
      </c>
      <c r="E56" s="33" t="s">
        <v>438</v>
      </c>
      <c r="F56" s="33" t="s">
        <v>3509</v>
      </c>
      <c r="G56" s="33" t="s">
        <v>3510</v>
      </c>
      <c r="H56" s="33" t="s">
        <v>212</v>
      </c>
      <c r="I56" s="33" t="s">
        <v>3511</v>
      </c>
      <c r="J56" s="33" t="s">
        <v>3512</v>
      </c>
      <c r="K56" s="33" t="s">
        <v>3513</v>
      </c>
      <c r="L56" s="33" t="s">
        <v>3514</v>
      </c>
      <c r="M56" s="33" t="s">
        <v>3515</v>
      </c>
      <c r="N56" s="33"/>
      <c r="O56" s="33"/>
      <c r="P56" s="33" t="s">
        <v>20</v>
      </c>
      <c r="Q56" s="33"/>
      <c r="R56" s="33" t="s">
        <v>213</v>
      </c>
      <c r="S56" s="33" t="s">
        <v>3506</v>
      </c>
      <c r="T56" s="33" t="s">
        <v>3516</v>
      </c>
      <c r="U56" s="33"/>
    </row>
    <row r="57" spans="1:21" ht="75">
      <c r="A57" s="32" t="s">
        <v>3517</v>
      </c>
      <c r="B57" s="32" t="s">
        <v>3518</v>
      </c>
      <c r="C57" s="32" t="s">
        <v>467</v>
      </c>
      <c r="D57" s="33" t="s">
        <v>15</v>
      </c>
      <c r="E57" s="33" t="s">
        <v>457</v>
      </c>
      <c r="F57" s="33" t="s">
        <v>3519</v>
      </c>
      <c r="G57" s="33" t="s">
        <v>3520</v>
      </c>
      <c r="H57" s="33" t="s">
        <v>212</v>
      </c>
      <c r="I57" s="33" t="s">
        <v>3521</v>
      </c>
      <c r="J57" s="33" t="s">
        <v>3522</v>
      </c>
      <c r="K57" s="33" t="s">
        <v>3523</v>
      </c>
      <c r="L57" s="33" t="s">
        <v>3524</v>
      </c>
      <c r="M57" s="33"/>
      <c r="N57" s="33"/>
      <c r="O57" s="33"/>
      <c r="P57" s="33" t="s">
        <v>20</v>
      </c>
      <c r="Q57" s="33"/>
      <c r="R57" s="33" t="s">
        <v>213</v>
      </c>
      <c r="S57" s="33" t="s">
        <v>3506</v>
      </c>
      <c r="T57" s="33"/>
      <c r="U57" s="33"/>
    </row>
    <row r="58" spans="1:21" ht="30">
      <c r="A58" s="32" t="s">
        <v>3525</v>
      </c>
      <c r="B58" s="32" t="s">
        <v>3526</v>
      </c>
      <c r="C58" s="32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</row>
    <row r="59" spans="1:21" ht="75">
      <c r="A59" s="32" t="s">
        <v>3527</v>
      </c>
      <c r="B59" s="32" t="s">
        <v>3528</v>
      </c>
      <c r="C59" s="32" t="s">
        <v>467</v>
      </c>
      <c r="D59" s="33" t="s">
        <v>15</v>
      </c>
      <c r="E59" s="33" t="s">
        <v>457</v>
      </c>
      <c r="F59" s="33" t="s">
        <v>3529</v>
      </c>
      <c r="G59" s="33" t="s">
        <v>3530</v>
      </c>
      <c r="H59" s="33" t="s">
        <v>219</v>
      </c>
      <c r="I59" s="33" t="s">
        <v>3531</v>
      </c>
      <c r="J59" s="33" t="s">
        <v>3532</v>
      </c>
      <c r="K59" s="33" t="s">
        <v>3533</v>
      </c>
      <c r="L59" s="33" t="s">
        <v>3534</v>
      </c>
      <c r="M59" s="33" t="s">
        <v>3535</v>
      </c>
      <c r="N59" s="33"/>
      <c r="O59" s="33"/>
      <c r="P59" s="33" t="s">
        <v>20</v>
      </c>
      <c r="Q59" s="33"/>
      <c r="R59" s="33" t="s">
        <v>220</v>
      </c>
      <c r="S59" s="33" t="s">
        <v>3506</v>
      </c>
      <c r="T59" s="33"/>
      <c r="U59" s="33"/>
    </row>
    <row r="60" spans="1:21" ht="45">
      <c r="A60" s="32" t="s">
        <v>3536</v>
      </c>
      <c r="B60" s="32" t="s">
        <v>3537</v>
      </c>
      <c r="C60" s="32" t="s">
        <v>100</v>
      </c>
      <c r="D60" s="33" t="s">
        <v>15</v>
      </c>
      <c r="E60" s="33" t="s">
        <v>496</v>
      </c>
      <c r="F60" s="33" t="s">
        <v>3538</v>
      </c>
      <c r="G60" s="33" t="s">
        <v>3539</v>
      </c>
      <c r="H60" s="33" t="s">
        <v>219</v>
      </c>
      <c r="I60" s="33" t="s">
        <v>3540</v>
      </c>
      <c r="J60" s="33" t="s">
        <v>3541</v>
      </c>
      <c r="K60" s="33" t="s">
        <v>3542</v>
      </c>
      <c r="L60" s="33"/>
      <c r="M60" s="33"/>
      <c r="N60" s="33"/>
      <c r="O60" s="33"/>
      <c r="P60" s="33" t="s">
        <v>20</v>
      </c>
      <c r="Q60" s="33"/>
      <c r="R60" s="33" t="s">
        <v>220</v>
      </c>
      <c r="S60" s="33" t="s">
        <v>3506</v>
      </c>
      <c r="T60" s="33"/>
      <c r="U60" s="33"/>
    </row>
    <row r="61" spans="1:21" ht="30">
      <c r="A61" s="32" t="s">
        <v>3543</v>
      </c>
      <c r="B61" s="32" t="s">
        <v>3544</v>
      </c>
      <c r="C61" s="32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</row>
    <row r="62" spans="1:21" ht="75">
      <c r="A62" s="32" t="s">
        <v>3545</v>
      </c>
      <c r="B62" s="32" t="s">
        <v>3546</v>
      </c>
      <c r="C62" s="32" t="s">
        <v>467</v>
      </c>
      <c r="D62" s="33" t="s">
        <v>15</v>
      </c>
      <c r="E62" s="33" t="s">
        <v>457</v>
      </c>
      <c r="F62" s="33" t="s">
        <v>3547</v>
      </c>
      <c r="G62" s="33" t="s">
        <v>3548</v>
      </c>
      <c r="H62" s="33" t="s">
        <v>225</v>
      </c>
      <c r="I62" s="33" t="s">
        <v>3549</v>
      </c>
      <c r="J62" s="33" t="s">
        <v>3550</v>
      </c>
      <c r="K62" s="33" t="s">
        <v>3551</v>
      </c>
      <c r="L62" s="33" t="s">
        <v>3552</v>
      </c>
      <c r="M62" s="33" t="s">
        <v>3553</v>
      </c>
      <c r="N62" s="33"/>
      <c r="O62" s="33"/>
      <c r="P62" s="33" t="s">
        <v>20</v>
      </c>
      <c r="Q62" s="33"/>
      <c r="R62" s="33" t="s">
        <v>226</v>
      </c>
      <c r="S62" s="33" t="s">
        <v>3506</v>
      </c>
      <c r="T62" s="33"/>
      <c r="U62" s="33"/>
    </row>
    <row r="63" spans="1:21" ht="60">
      <c r="A63" s="32" t="s">
        <v>3554</v>
      </c>
      <c r="B63" s="32" t="s">
        <v>3555</v>
      </c>
      <c r="C63" s="32" t="s">
        <v>467</v>
      </c>
      <c r="D63" s="33" t="s">
        <v>15</v>
      </c>
      <c r="E63" s="33" t="s">
        <v>496</v>
      </c>
      <c r="F63" s="33" t="s">
        <v>3556</v>
      </c>
      <c r="G63" s="33" t="s">
        <v>3557</v>
      </c>
      <c r="H63" s="33" t="s">
        <v>225</v>
      </c>
      <c r="I63" s="33" t="s">
        <v>3558</v>
      </c>
      <c r="J63" s="33" t="s">
        <v>3559</v>
      </c>
      <c r="K63" s="33" t="s">
        <v>3560</v>
      </c>
      <c r="L63" s="33"/>
      <c r="M63" s="33" t="s">
        <v>3561</v>
      </c>
      <c r="N63" s="33"/>
      <c r="O63" s="33"/>
      <c r="P63" s="33" t="s">
        <v>20</v>
      </c>
      <c r="Q63" s="33"/>
      <c r="R63" s="33" t="s">
        <v>226</v>
      </c>
      <c r="S63" s="33" t="s">
        <v>3506</v>
      </c>
      <c r="T63" s="33"/>
      <c r="U63" s="33"/>
    </row>
    <row r="64" spans="1:21" ht="30">
      <c r="A64" s="32" t="s">
        <v>3562</v>
      </c>
      <c r="B64" s="32" t="s">
        <v>3563</v>
      </c>
      <c r="C64" s="32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</row>
    <row r="65" spans="1:21" ht="90">
      <c r="A65" s="32" t="s">
        <v>3564</v>
      </c>
      <c r="B65" s="32" t="s">
        <v>3565</v>
      </c>
      <c r="C65" s="32" t="s">
        <v>100</v>
      </c>
      <c r="D65" s="33" t="s">
        <v>15</v>
      </c>
      <c r="E65" s="33" t="s">
        <v>457</v>
      </c>
      <c r="F65" s="33" t="s">
        <v>3566</v>
      </c>
      <c r="G65" s="33" t="s">
        <v>3567</v>
      </c>
      <c r="H65" s="33" t="s">
        <v>232</v>
      </c>
      <c r="I65" s="33" t="s">
        <v>3568</v>
      </c>
      <c r="J65" s="33" t="s">
        <v>3569</v>
      </c>
      <c r="K65" s="33" t="s">
        <v>3570</v>
      </c>
      <c r="L65" s="33" t="s">
        <v>3571</v>
      </c>
      <c r="M65" s="33" t="s">
        <v>3572</v>
      </c>
      <c r="N65" s="33"/>
      <c r="O65" s="33"/>
      <c r="P65" s="33" t="s">
        <v>3573</v>
      </c>
      <c r="Q65" s="33"/>
      <c r="R65" s="33" t="s">
        <v>233</v>
      </c>
      <c r="S65" s="33" t="s">
        <v>3506</v>
      </c>
      <c r="T65" s="33"/>
      <c r="U65" s="33"/>
    </row>
    <row r="66" spans="1:21" ht="60">
      <c r="A66" s="32" t="s">
        <v>3574</v>
      </c>
      <c r="B66" s="32" t="s">
        <v>3575</v>
      </c>
      <c r="C66" s="32" t="s">
        <v>100</v>
      </c>
      <c r="D66" s="33" t="s">
        <v>15</v>
      </c>
      <c r="E66" s="33" t="s">
        <v>457</v>
      </c>
      <c r="F66" s="33" t="s">
        <v>3576</v>
      </c>
      <c r="G66" s="33" t="s">
        <v>3577</v>
      </c>
      <c r="H66" s="33" t="s">
        <v>232</v>
      </c>
      <c r="I66" s="33" t="s">
        <v>3578</v>
      </c>
      <c r="J66" s="33" t="s">
        <v>3579</v>
      </c>
      <c r="K66" s="33" t="s">
        <v>3580</v>
      </c>
      <c r="L66" s="33"/>
      <c r="M66" s="33" t="s">
        <v>3581</v>
      </c>
      <c r="N66" s="33"/>
      <c r="O66" s="33"/>
      <c r="P66" s="33" t="s">
        <v>3573</v>
      </c>
      <c r="Q66" s="33"/>
      <c r="R66" s="33" t="s">
        <v>233</v>
      </c>
      <c r="S66" s="33" t="s">
        <v>3506</v>
      </c>
      <c r="T66" s="33"/>
      <c r="U66" s="33"/>
    </row>
    <row r="67" spans="1:21" ht="30">
      <c r="A67" s="32" t="s">
        <v>3582</v>
      </c>
      <c r="B67" s="32" t="s">
        <v>3583</v>
      </c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</row>
    <row r="68" spans="1:21" ht="90">
      <c r="A68" s="32" t="s">
        <v>3584</v>
      </c>
      <c r="B68" s="32" t="s">
        <v>3585</v>
      </c>
      <c r="C68" s="32" t="s">
        <v>100</v>
      </c>
      <c r="D68" s="33" t="s">
        <v>15</v>
      </c>
      <c r="E68" s="33" t="s">
        <v>438</v>
      </c>
      <c r="F68" s="33" t="s">
        <v>3586</v>
      </c>
      <c r="G68" s="33" t="s">
        <v>3587</v>
      </c>
      <c r="H68" s="33" t="s">
        <v>238</v>
      </c>
      <c r="I68" s="33" t="s">
        <v>3588</v>
      </c>
      <c r="J68" s="33" t="s">
        <v>3589</v>
      </c>
      <c r="K68" s="33" t="s">
        <v>3590</v>
      </c>
      <c r="L68" s="33" t="s">
        <v>3591</v>
      </c>
      <c r="M68" s="33" t="s">
        <v>3592</v>
      </c>
      <c r="N68" s="33"/>
      <c r="O68" s="33"/>
      <c r="P68" s="33" t="s">
        <v>3573</v>
      </c>
      <c r="Q68" s="33"/>
      <c r="R68" s="33" t="s">
        <v>239</v>
      </c>
      <c r="S68" s="33" t="s">
        <v>3506</v>
      </c>
      <c r="T68" s="33"/>
      <c r="U68" s="33"/>
    </row>
    <row r="69" spans="1:21" ht="30">
      <c r="A69" s="32" t="s">
        <v>3593</v>
      </c>
      <c r="B69" s="32" t="s">
        <v>3594</v>
      </c>
      <c r="C69" s="32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</row>
    <row r="70" spans="1:21" ht="90">
      <c r="A70" s="32" t="s">
        <v>3595</v>
      </c>
      <c r="B70" s="32" t="s">
        <v>3596</v>
      </c>
      <c r="C70" s="32" t="s">
        <v>100</v>
      </c>
      <c r="D70" s="33" t="s">
        <v>15</v>
      </c>
      <c r="E70" s="33" t="s">
        <v>457</v>
      </c>
      <c r="F70" s="33" t="s">
        <v>3597</v>
      </c>
      <c r="G70" s="33" t="s">
        <v>3598</v>
      </c>
      <c r="H70" s="33" t="s">
        <v>244</v>
      </c>
      <c r="I70" s="33" t="s">
        <v>3599</v>
      </c>
      <c r="J70" s="33" t="s">
        <v>3600</v>
      </c>
      <c r="K70" s="33" t="s">
        <v>3601</v>
      </c>
      <c r="L70" s="33" t="s">
        <v>3602</v>
      </c>
      <c r="M70" s="33"/>
      <c r="N70" s="33"/>
      <c r="O70" s="33"/>
      <c r="P70" s="33" t="s">
        <v>20</v>
      </c>
      <c r="Q70" s="33"/>
      <c r="R70" s="33" t="s">
        <v>245</v>
      </c>
      <c r="S70" s="33" t="s">
        <v>3506</v>
      </c>
      <c r="T70" s="33"/>
      <c r="U70" s="33"/>
    </row>
    <row r="71" spans="1:21" ht="30">
      <c r="A71" s="32" t="s">
        <v>3603</v>
      </c>
      <c r="B71" s="32" t="s">
        <v>3604</v>
      </c>
      <c r="C71" s="32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</row>
    <row r="72" spans="1:21" ht="120">
      <c r="A72" s="32" t="s">
        <v>3605</v>
      </c>
      <c r="B72" s="32" t="s">
        <v>3606</v>
      </c>
      <c r="C72" s="32" t="s">
        <v>30</v>
      </c>
      <c r="D72" s="33" t="s">
        <v>15</v>
      </c>
      <c r="E72" s="33" t="s">
        <v>438</v>
      </c>
      <c r="F72" s="33" t="s">
        <v>3607</v>
      </c>
      <c r="G72" s="33" t="s">
        <v>3608</v>
      </c>
      <c r="H72" s="33" t="s">
        <v>250</v>
      </c>
      <c r="I72" s="33" t="s">
        <v>3609</v>
      </c>
      <c r="J72" s="33" t="s">
        <v>3610</v>
      </c>
      <c r="K72" s="33" t="s">
        <v>3611</v>
      </c>
      <c r="L72" s="33" t="s">
        <v>3612</v>
      </c>
      <c r="M72" s="33" t="s">
        <v>3613</v>
      </c>
      <c r="N72" s="33"/>
      <c r="O72" s="33"/>
      <c r="P72" s="33" t="s">
        <v>20</v>
      </c>
      <c r="Q72" s="33"/>
      <c r="R72" s="33" t="s">
        <v>251</v>
      </c>
      <c r="S72" s="33" t="s">
        <v>3506</v>
      </c>
      <c r="T72" s="33"/>
      <c r="U72" s="33"/>
    </row>
    <row r="73" spans="1:21" ht="30">
      <c r="A73" s="32" t="s">
        <v>3614</v>
      </c>
      <c r="B73" s="32" t="s">
        <v>3615</v>
      </c>
      <c r="C73" s="32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</row>
    <row r="74" spans="1:21" ht="75">
      <c r="A74" s="32" t="s">
        <v>3616</v>
      </c>
      <c r="B74" s="32" t="s">
        <v>3617</v>
      </c>
      <c r="C74" s="32" t="s">
        <v>182</v>
      </c>
      <c r="D74" s="33" t="s">
        <v>15</v>
      </c>
      <c r="E74" s="33" t="s">
        <v>457</v>
      </c>
      <c r="F74" s="33" t="s">
        <v>3618</v>
      </c>
      <c r="G74" s="33" t="s">
        <v>3619</v>
      </c>
      <c r="H74" s="33" t="s">
        <v>256</v>
      </c>
      <c r="I74" s="33" t="s">
        <v>3620</v>
      </c>
      <c r="J74" s="33" t="s">
        <v>3621</v>
      </c>
      <c r="K74" s="33" t="s">
        <v>3622</v>
      </c>
      <c r="L74" s="33" t="s">
        <v>3623</v>
      </c>
      <c r="M74" s="33"/>
      <c r="N74" s="33"/>
      <c r="O74" s="33"/>
      <c r="P74" s="33" t="s">
        <v>20</v>
      </c>
      <c r="Q74" s="33"/>
      <c r="R74" s="33" t="s">
        <v>257</v>
      </c>
      <c r="S74" s="33" t="s">
        <v>3506</v>
      </c>
      <c r="T74" s="33"/>
      <c r="U74" s="33"/>
    </row>
    <row r="75" spans="1:21" ht="30">
      <c r="A75" s="32" t="s">
        <v>3624</v>
      </c>
      <c r="B75" s="32" t="s">
        <v>3625</v>
      </c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 spans="1:21" ht="90">
      <c r="A76" s="32" t="s">
        <v>3626</v>
      </c>
      <c r="B76" s="32" t="s">
        <v>3627</v>
      </c>
      <c r="C76" s="32" t="s">
        <v>182</v>
      </c>
      <c r="D76" s="33" t="s">
        <v>15</v>
      </c>
      <c r="E76" s="33" t="s">
        <v>438</v>
      </c>
      <c r="F76" s="33" t="s">
        <v>3628</v>
      </c>
      <c r="G76" s="33" t="s">
        <v>3629</v>
      </c>
      <c r="H76" s="33" t="s">
        <v>262</v>
      </c>
      <c r="I76" s="33" t="s">
        <v>3630</v>
      </c>
      <c r="J76" s="33" t="s">
        <v>3631</v>
      </c>
      <c r="K76" s="33" t="s">
        <v>3632</v>
      </c>
      <c r="L76" s="33" t="s">
        <v>3633</v>
      </c>
      <c r="M76" s="33" t="s">
        <v>3634</v>
      </c>
      <c r="N76" s="33"/>
      <c r="O76" s="33"/>
      <c r="P76" s="33" t="s">
        <v>3573</v>
      </c>
      <c r="Q76" s="33"/>
      <c r="R76" s="33" t="s">
        <v>263</v>
      </c>
      <c r="S76" s="33" t="s">
        <v>3506</v>
      </c>
      <c r="T76" s="33"/>
      <c r="U76" s="33"/>
    </row>
    <row r="77" spans="1:21" ht="30">
      <c r="A77" s="32" t="s">
        <v>3635</v>
      </c>
      <c r="B77" s="32" t="s">
        <v>3636</v>
      </c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</row>
    <row r="78" spans="1:21" ht="90">
      <c r="A78" s="32" t="s">
        <v>3637</v>
      </c>
      <c r="B78" s="32" t="s">
        <v>3638</v>
      </c>
      <c r="C78" s="32" t="s">
        <v>407</v>
      </c>
      <c r="D78" s="33" t="s">
        <v>15</v>
      </c>
      <c r="E78" s="33" t="s">
        <v>457</v>
      </c>
      <c r="F78" s="33" t="s">
        <v>3639</v>
      </c>
      <c r="G78" s="33" t="s">
        <v>3640</v>
      </c>
      <c r="H78" s="33" t="s">
        <v>268</v>
      </c>
      <c r="I78" s="33" t="s">
        <v>3641</v>
      </c>
      <c r="J78" s="33" t="s">
        <v>3642</v>
      </c>
      <c r="K78" s="33" t="s">
        <v>3643</v>
      </c>
      <c r="L78" s="33" t="s">
        <v>3644</v>
      </c>
      <c r="M78" s="33" t="s">
        <v>3645</v>
      </c>
      <c r="N78" s="33"/>
      <c r="O78" s="33"/>
      <c r="P78" s="33" t="s">
        <v>20</v>
      </c>
      <c r="Q78" s="33"/>
      <c r="R78" s="33" t="s">
        <v>269</v>
      </c>
      <c r="S78" s="33" t="s">
        <v>3506</v>
      </c>
      <c r="T78" s="33" t="s">
        <v>3646</v>
      </c>
      <c r="U78" s="33"/>
    </row>
    <row r="79" spans="1:21" ht="105">
      <c r="A79" s="32" t="s">
        <v>3647</v>
      </c>
      <c r="B79" s="32" t="s">
        <v>3648</v>
      </c>
      <c r="C79" s="32" t="s">
        <v>89</v>
      </c>
      <c r="D79" s="33" t="s">
        <v>15</v>
      </c>
      <c r="E79" s="33" t="s">
        <v>438</v>
      </c>
      <c r="F79" s="33" t="s">
        <v>3649</v>
      </c>
      <c r="G79" s="33" t="s">
        <v>3650</v>
      </c>
      <c r="H79" s="33" t="s">
        <v>95</v>
      </c>
      <c r="I79" s="33" t="s">
        <v>3651</v>
      </c>
      <c r="J79" s="33" t="s">
        <v>3652</v>
      </c>
      <c r="K79" s="33" t="s">
        <v>3653</v>
      </c>
      <c r="L79" s="33" t="s">
        <v>3654</v>
      </c>
      <c r="M79" s="33" t="s">
        <v>3655</v>
      </c>
      <c r="N79" s="33"/>
      <c r="O79" s="33"/>
      <c r="P79" s="33" t="s">
        <v>20</v>
      </c>
      <c r="Q79" s="33"/>
      <c r="R79" s="33" t="s">
        <v>96</v>
      </c>
      <c r="S79" s="33" t="s">
        <v>3506</v>
      </c>
      <c r="T79" s="33"/>
      <c r="U79" s="33" t="s">
        <v>885</v>
      </c>
    </row>
    <row r="80" spans="1:21" ht="105">
      <c r="A80" s="32" t="s">
        <v>3656</v>
      </c>
      <c r="B80" s="32" t="s">
        <v>3657</v>
      </c>
      <c r="C80" s="32" t="s">
        <v>100</v>
      </c>
      <c r="D80" s="33" t="s">
        <v>15</v>
      </c>
      <c r="E80" s="33" t="s">
        <v>457</v>
      </c>
      <c r="F80" s="33" t="s">
        <v>3658</v>
      </c>
      <c r="G80" s="33" t="s">
        <v>3659</v>
      </c>
      <c r="H80" s="33" t="s">
        <v>102</v>
      </c>
      <c r="I80" s="33" t="s">
        <v>3660</v>
      </c>
      <c r="J80" s="33" t="s">
        <v>3368</v>
      </c>
      <c r="K80" s="33" t="s">
        <v>3661</v>
      </c>
      <c r="L80" s="33" t="s">
        <v>3662</v>
      </c>
      <c r="M80" s="33"/>
      <c r="N80" s="33"/>
      <c r="O80" s="33"/>
      <c r="P80" s="33" t="s">
        <v>20</v>
      </c>
      <c r="Q80" s="33"/>
      <c r="R80" s="33" t="s">
        <v>103</v>
      </c>
      <c r="S80" s="33" t="s">
        <v>3506</v>
      </c>
      <c r="T80" s="33"/>
      <c r="U80" s="33" t="s">
        <v>903</v>
      </c>
    </row>
    <row r="81" spans="1:21" ht="75">
      <c r="A81" s="32" t="s">
        <v>3663</v>
      </c>
      <c r="B81" s="32" t="s">
        <v>3664</v>
      </c>
      <c r="C81" s="32" t="s">
        <v>407</v>
      </c>
      <c r="D81" s="33" t="s">
        <v>15</v>
      </c>
      <c r="E81" s="33" t="s">
        <v>457</v>
      </c>
      <c r="F81" s="33" t="s">
        <v>3665</v>
      </c>
      <c r="G81" s="33" t="s">
        <v>3666</v>
      </c>
      <c r="H81" s="33" t="s">
        <v>74</v>
      </c>
      <c r="I81" s="33" t="s">
        <v>3667</v>
      </c>
      <c r="J81" s="33" t="s">
        <v>3668</v>
      </c>
      <c r="K81" s="33" t="s">
        <v>3669</v>
      </c>
      <c r="L81" s="33" t="s">
        <v>3670</v>
      </c>
      <c r="M81" s="33"/>
      <c r="N81" s="33"/>
      <c r="O81" s="33"/>
      <c r="P81" s="33" t="s">
        <v>20</v>
      </c>
      <c r="Q81" s="33"/>
      <c r="R81" s="33" t="s">
        <v>75</v>
      </c>
      <c r="S81" s="33" t="s">
        <v>3506</v>
      </c>
      <c r="T81" s="33"/>
      <c r="U81" s="33" t="s">
        <v>821</v>
      </c>
    </row>
    <row r="82" spans="1:21" ht="75">
      <c r="A82" s="32" t="s">
        <v>3671</v>
      </c>
      <c r="B82" s="32" t="s">
        <v>3672</v>
      </c>
      <c r="C82" s="32" t="s">
        <v>89</v>
      </c>
      <c r="D82" s="33" t="s">
        <v>15</v>
      </c>
      <c r="E82" s="33" t="s">
        <v>457</v>
      </c>
      <c r="F82" s="33" t="s">
        <v>3673</v>
      </c>
      <c r="G82" s="33" t="s">
        <v>3674</v>
      </c>
      <c r="H82" s="33" t="s">
        <v>95</v>
      </c>
      <c r="I82" s="33" t="s">
        <v>3675</v>
      </c>
      <c r="J82" s="33" t="s">
        <v>3676</v>
      </c>
      <c r="K82" s="33" t="s">
        <v>3677</v>
      </c>
      <c r="L82" s="33" t="s">
        <v>3678</v>
      </c>
      <c r="M82" s="33"/>
      <c r="N82" s="33"/>
      <c r="O82" s="33"/>
      <c r="P82" s="33" t="s">
        <v>20</v>
      </c>
      <c r="Q82" s="33"/>
      <c r="R82" s="33" t="s">
        <v>96</v>
      </c>
      <c r="S82" s="33" t="s">
        <v>3506</v>
      </c>
      <c r="T82" s="33"/>
      <c r="U82" s="33" t="s">
        <v>885</v>
      </c>
    </row>
    <row r="83" spans="1:21">
      <c r="A83" s="32" t="s">
        <v>3679</v>
      </c>
      <c r="B83" s="32" t="s">
        <v>3680</v>
      </c>
      <c r="C83" s="32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</row>
    <row r="84" spans="1:21" ht="90">
      <c r="A84" s="32" t="s">
        <v>3681</v>
      </c>
      <c r="B84" s="32" t="s">
        <v>3682</v>
      </c>
      <c r="C84" s="32" t="s">
        <v>193</v>
      </c>
      <c r="D84" s="33" t="s">
        <v>276</v>
      </c>
      <c r="E84" s="33" t="s">
        <v>438</v>
      </c>
      <c r="F84" s="33" t="s">
        <v>3683</v>
      </c>
      <c r="G84" s="33" t="s">
        <v>3684</v>
      </c>
      <c r="H84" s="33" t="s">
        <v>274</v>
      </c>
      <c r="I84" s="33" t="s">
        <v>3685</v>
      </c>
      <c r="J84" s="33" t="s">
        <v>3686</v>
      </c>
      <c r="K84" s="33" t="s">
        <v>3687</v>
      </c>
      <c r="L84" s="33" t="s">
        <v>3688</v>
      </c>
      <c r="M84" s="33" t="s">
        <v>3689</v>
      </c>
      <c r="N84" s="33"/>
      <c r="O84" s="33"/>
      <c r="P84" s="33" t="s">
        <v>3573</v>
      </c>
      <c r="Q84" s="33"/>
      <c r="R84" s="33" t="s">
        <v>275</v>
      </c>
      <c r="S84" s="33" t="s">
        <v>3506</v>
      </c>
      <c r="T84" s="33"/>
      <c r="U84" s="33"/>
    </row>
    <row r="85" spans="1:21">
      <c r="A85" s="32" t="s">
        <v>3690</v>
      </c>
      <c r="B85" s="32" t="s">
        <v>3691</v>
      </c>
      <c r="C85" s="32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</row>
    <row r="86" spans="1:21" ht="60">
      <c r="A86" s="32" t="s">
        <v>3692</v>
      </c>
      <c r="B86" s="32" t="s">
        <v>3693</v>
      </c>
      <c r="C86" s="32" t="s">
        <v>193</v>
      </c>
      <c r="D86" s="33" t="s">
        <v>276</v>
      </c>
      <c r="E86" s="33" t="s">
        <v>438</v>
      </c>
      <c r="F86" s="33" t="s">
        <v>284</v>
      </c>
      <c r="G86" s="33" t="s">
        <v>3694</v>
      </c>
      <c r="H86" s="33" t="s">
        <v>281</v>
      </c>
      <c r="I86" s="33" t="s">
        <v>3695</v>
      </c>
      <c r="J86" s="33" t="s">
        <v>3696</v>
      </c>
      <c r="K86" s="33" t="s">
        <v>3697</v>
      </c>
      <c r="L86" s="33"/>
      <c r="M86" s="33"/>
      <c r="N86" s="33"/>
      <c r="O86" s="33"/>
      <c r="P86" s="33" t="s">
        <v>3573</v>
      </c>
      <c r="Q86" s="33"/>
      <c r="R86" s="33" t="s">
        <v>282</v>
      </c>
      <c r="S86" s="33" t="s">
        <v>3506</v>
      </c>
      <c r="T86" s="33"/>
      <c r="U86" s="33"/>
    </row>
    <row r="87" spans="1:21" ht="30">
      <c r="A87" s="32" t="s">
        <v>3698</v>
      </c>
      <c r="B87" s="32" t="s">
        <v>3699</v>
      </c>
      <c r="C87" s="32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</row>
    <row r="88" spans="1:21" ht="75">
      <c r="A88" s="32" t="s">
        <v>3700</v>
      </c>
      <c r="B88" s="32" t="s">
        <v>3701</v>
      </c>
      <c r="C88" s="32" t="s">
        <v>193</v>
      </c>
      <c r="D88" s="33" t="s">
        <v>276</v>
      </c>
      <c r="E88" s="33" t="s">
        <v>457</v>
      </c>
      <c r="F88" s="33" t="s">
        <v>3702</v>
      </c>
      <c r="G88" s="33" t="s">
        <v>3703</v>
      </c>
      <c r="H88" s="33" t="s">
        <v>287</v>
      </c>
      <c r="I88" s="33" t="s">
        <v>3704</v>
      </c>
      <c r="J88" s="33" t="s">
        <v>3705</v>
      </c>
      <c r="K88" s="33" t="s">
        <v>3706</v>
      </c>
      <c r="L88" s="33" t="s">
        <v>3707</v>
      </c>
      <c r="M88" s="33" t="s">
        <v>3708</v>
      </c>
      <c r="N88" s="33"/>
      <c r="O88" s="33"/>
      <c r="P88" s="33" t="s">
        <v>3573</v>
      </c>
      <c r="Q88" s="33"/>
      <c r="R88" s="33" t="s">
        <v>288</v>
      </c>
      <c r="S88" s="33" t="s">
        <v>3506</v>
      </c>
      <c r="T88" s="33"/>
      <c r="U88" s="33"/>
    </row>
    <row r="89" spans="1:21" ht="30">
      <c r="A89" s="32" t="s">
        <v>3709</v>
      </c>
      <c r="B89" s="32" t="s">
        <v>3710</v>
      </c>
      <c r="C89" s="32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</row>
    <row r="90" spans="1:21" ht="60">
      <c r="A90" s="32" t="s">
        <v>3711</v>
      </c>
      <c r="B90" s="32" t="s">
        <v>3712</v>
      </c>
      <c r="C90" s="32" t="s">
        <v>193</v>
      </c>
      <c r="D90" s="33" t="s">
        <v>276</v>
      </c>
      <c r="E90" s="33" t="s">
        <v>457</v>
      </c>
      <c r="F90" s="33" t="s">
        <v>3713</v>
      </c>
      <c r="G90" s="33" t="s">
        <v>3714</v>
      </c>
      <c r="H90" s="33" t="s">
        <v>293</v>
      </c>
      <c r="I90" s="33" t="s">
        <v>3695</v>
      </c>
      <c r="J90" s="33" t="s">
        <v>3715</v>
      </c>
      <c r="K90" s="33" t="s">
        <v>3716</v>
      </c>
      <c r="L90" s="33" t="s">
        <v>3717</v>
      </c>
      <c r="M90" s="33"/>
      <c r="N90" s="33"/>
      <c r="O90" s="33"/>
      <c r="P90" s="33" t="s">
        <v>3573</v>
      </c>
      <c r="Q90" s="33"/>
      <c r="R90" s="33" t="s">
        <v>294</v>
      </c>
      <c r="S90" s="33" t="s">
        <v>3506</v>
      </c>
      <c r="T90" s="33"/>
      <c r="U90" s="33"/>
    </row>
    <row r="91" spans="1:21" ht="30">
      <c r="A91" s="32" t="s">
        <v>3718</v>
      </c>
      <c r="B91" s="32" t="s">
        <v>3719</v>
      </c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</row>
    <row r="92" spans="1:21" ht="75">
      <c r="A92" s="32" t="s">
        <v>3720</v>
      </c>
      <c r="B92" s="32" t="s">
        <v>3721</v>
      </c>
      <c r="C92" s="32" t="s">
        <v>193</v>
      </c>
      <c r="D92" s="33" t="s">
        <v>276</v>
      </c>
      <c r="E92" s="33" t="s">
        <v>457</v>
      </c>
      <c r="F92" s="33" t="s">
        <v>3722</v>
      </c>
      <c r="G92" s="33" t="s">
        <v>3723</v>
      </c>
      <c r="H92" s="33" t="s">
        <v>299</v>
      </c>
      <c r="I92" s="33" t="s">
        <v>3724</v>
      </c>
      <c r="J92" s="33" t="s">
        <v>3725</v>
      </c>
      <c r="K92" s="33" t="s">
        <v>3726</v>
      </c>
      <c r="L92" s="33" t="s">
        <v>3727</v>
      </c>
      <c r="M92" s="33" t="s">
        <v>3728</v>
      </c>
      <c r="N92" s="33"/>
      <c r="O92" s="33"/>
      <c r="P92" s="33" t="s">
        <v>3573</v>
      </c>
      <c r="Q92" s="33"/>
      <c r="R92" s="33" t="s">
        <v>300</v>
      </c>
      <c r="S92" s="33" t="s">
        <v>3506</v>
      </c>
      <c r="T92" s="33"/>
      <c r="U92" s="33"/>
    </row>
    <row r="93" spans="1:21" ht="30">
      <c r="A93" s="32" t="s">
        <v>3729</v>
      </c>
      <c r="B93" s="32" t="s">
        <v>3730</v>
      </c>
      <c r="C93" s="32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</row>
    <row r="94" spans="1:21" ht="75">
      <c r="A94" s="32" t="s">
        <v>3731</v>
      </c>
      <c r="B94" s="32" t="s">
        <v>3732</v>
      </c>
      <c r="C94" s="32" t="s">
        <v>193</v>
      </c>
      <c r="D94" s="33" t="s">
        <v>276</v>
      </c>
      <c r="E94" s="33" t="s">
        <v>457</v>
      </c>
      <c r="F94" s="33" t="s">
        <v>3733</v>
      </c>
      <c r="G94" s="33" t="s">
        <v>3734</v>
      </c>
      <c r="H94" s="33" t="s">
        <v>304</v>
      </c>
      <c r="I94" s="33" t="s">
        <v>3735</v>
      </c>
      <c r="J94" s="33" t="s">
        <v>3736</v>
      </c>
      <c r="K94" s="33" t="s">
        <v>3737</v>
      </c>
      <c r="L94" s="33" t="s">
        <v>3738</v>
      </c>
      <c r="M94" s="33"/>
      <c r="N94" s="33"/>
      <c r="O94" s="33"/>
      <c r="P94" s="33" t="s">
        <v>3573</v>
      </c>
      <c r="Q94" s="33"/>
      <c r="R94" s="33" t="s">
        <v>305</v>
      </c>
      <c r="S94" s="33" t="s">
        <v>3506</v>
      </c>
      <c r="T94" s="33"/>
      <c r="U94" s="33"/>
    </row>
    <row r="95" spans="1:21" ht="30">
      <c r="A95" s="32" t="s">
        <v>3739</v>
      </c>
      <c r="B95" s="32" t="s">
        <v>3740</v>
      </c>
      <c r="C95" s="32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</row>
    <row r="96" spans="1:21" ht="75">
      <c r="A96" s="32" t="s">
        <v>3741</v>
      </c>
      <c r="B96" s="32" t="s">
        <v>3742</v>
      </c>
      <c r="C96" s="32" t="s">
        <v>193</v>
      </c>
      <c r="D96" s="33" t="s">
        <v>276</v>
      </c>
      <c r="E96" s="33" t="s">
        <v>457</v>
      </c>
      <c r="F96" s="33" t="s">
        <v>3743</v>
      </c>
      <c r="G96" s="33" t="s">
        <v>3744</v>
      </c>
      <c r="H96" s="33" t="s">
        <v>309</v>
      </c>
      <c r="I96" s="33" t="s">
        <v>3745</v>
      </c>
      <c r="J96" s="33" t="s">
        <v>3746</v>
      </c>
      <c r="K96" s="33" t="s">
        <v>3747</v>
      </c>
      <c r="L96" s="33" t="s">
        <v>3748</v>
      </c>
      <c r="M96" s="33"/>
      <c r="N96" s="33"/>
      <c r="O96" s="33"/>
      <c r="P96" s="33" t="s">
        <v>3573</v>
      </c>
      <c r="Q96" s="33"/>
      <c r="R96" s="33" t="s">
        <v>310</v>
      </c>
      <c r="S96" s="33" t="s">
        <v>3506</v>
      </c>
      <c r="T96" s="33"/>
      <c r="U96" s="33"/>
    </row>
    <row r="97" spans="1:21">
      <c r="A97" s="32" t="s">
        <v>3749</v>
      </c>
      <c r="B97" s="32" t="s">
        <v>3750</v>
      </c>
      <c r="C97" s="32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 spans="1:21" ht="75">
      <c r="A98" s="32" t="s">
        <v>3751</v>
      </c>
      <c r="B98" s="32" t="s">
        <v>3752</v>
      </c>
      <c r="C98" s="32" t="s">
        <v>313</v>
      </c>
      <c r="D98" s="33" t="s">
        <v>317</v>
      </c>
      <c r="E98" s="33" t="s">
        <v>438</v>
      </c>
      <c r="F98" s="33" t="s">
        <v>3753</v>
      </c>
      <c r="G98" s="33" t="s">
        <v>3754</v>
      </c>
      <c r="H98" s="33" t="s">
        <v>315</v>
      </c>
      <c r="I98" s="33" t="s">
        <v>3755</v>
      </c>
      <c r="J98" s="33" t="s">
        <v>3756</v>
      </c>
      <c r="K98" s="33" t="s">
        <v>3757</v>
      </c>
      <c r="L98" s="33" t="s">
        <v>3758</v>
      </c>
      <c r="M98" s="33" t="s">
        <v>3759</v>
      </c>
      <c r="N98" s="33"/>
      <c r="O98" s="33"/>
      <c r="P98" s="33" t="s">
        <v>3573</v>
      </c>
      <c r="Q98" s="33"/>
      <c r="R98" s="33" t="s">
        <v>316</v>
      </c>
      <c r="S98" s="33" t="s">
        <v>3506</v>
      </c>
      <c r="T98" s="33" t="s">
        <v>3253</v>
      </c>
      <c r="U98" s="33"/>
    </row>
    <row r="99" spans="1:21">
      <c r="A99" s="32" t="s">
        <v>3760</v>
      </c>
      <c r="B99" s="32" t="s">
        <v>3761</v>
      </c>
      <c r="C99" s="32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 spans="1:21" ht="60">
      <c r="A100" s="32" t="s">
        <v>3762</v>
      </c>
      <c r="B100" s="32" t="s">
        <v>3763</v>
      </c>
      <c r="C100" s="32" t="s">
        <v>313</v>
      </c>
      <c r="D100" s="33" t="s">
        <v>317</v>
      </c>
      <c r="E100" s="33" t="s">
        <v>438</v>
      </c>
      <c r="F100" s="33" t="s">
        <v>3764</v>
      </c>
      <c r="G100" s="33" t="s">
        <v>3765</v>
      </c>
      <c r="H100" s="33" t="s">
        <v>321</v>
      </c>
      <c r="I100" s="33" t="s">
        <v>3695</v>
      </c>
      <c r="J100" s="33" t="s">
        <v>3766</v>
      </c>
      <c r="K100" s="33" t="s">
        <v>3767</v>
      </c>
      <c r="L100" s="33" t="s">
        <v>3768</v>
      </c>
      <c r="M100" s="33" t="s">
        <v>3769</v>
      </c>
      <c r="N100" s="33"/>
      <c r="O100" s="33"/>
      <c r="P100" s="33" t="s">
        <v>3573</v>
      </c>
      <c r="Q100" s="33"/>
      <c r="R100" s="33" t="s">
        <v>322</v>
      </c>
      <c r="S100" s="33" t="s">
        <v>3506</v>
      </c>
      <c r="T100" s="33"/>
      <c r="U100" s="33"/>
    </row>
    <row r="101" spans="1:21">
      <c r="A101" s="32" t="s">
        <v>3770</v>
      </c>
      <c r="B101" s="32" t="s">
        <v>3771</v>
      </c>
      <c r="C101" s="32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 spans="1:21" ht="90">
      <c r="A102" s="32" t="s">
        <v>3772</v>
      </c>
      <c r="B102" s="32" t="s">
        <v>3773</v>
      </c>
      <c r="C102" s="32" t="s">
        <v>313</v>
      </c>
      <c r="D102" s="33" t="s">
        <v>317</v>
      </c>
      <c r="E102" s="33" t="s">
        <v>438</v>
      </c>
      <c r="F102" s="33" t="s">
        <v>3774</v>
      </c>
      <c r="G102" s="33" t="s">
        <v>3775</v>
      </c>
      <c r="H102" s="33" t="s">
        <v>325</v>
      </c>
      <c r="I102" s="33" t="s">
        <v>3776</v>
      </c>
      <c r="J102" s="33" t="s">
        <v>3777</v>
      </c>
      <c r="K102" s="33" t="s">
        <v>3778</v>
      </c>
      <c r="L102" s="33" t="s">
        <v>3779</v>
      </c>
      <c r="M102" s="33" t="s">
        <v>3780</v>
      </c>
      <c r="N102" s="33"/>
      <c r="O102" s="33"/>
      <c r="P102" s="33" t="s">
        <v>3573</v>
      </c>
      <c r="Q102" s="33"/>
      <c r="R102" s="33" t="s">
        <v>326</v>
      </c>
      <c r="S102" s="33" t="s">
        <v>3506</v>
      </c>
      <c r="T102" s="33"/>
      <c r="U102" s="33"/>
    </row>
    <row r="103" spans="1:21">
      <c r="A103" s="32" t="s">
        <v>3781</v>
      </c>
      <c r="B103" s="32" t="s">
        <v>3782</v>
      </c>
      <c r="C103" s="32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 spans="1:21" ht="75">
      <c r="A104" s="32" t="s">
        <v>3783</v>
      </c>
      <c r="B104" s="32" t="s">
        <v>3784</v>
      </c>
      <c r="C104" s="32" t="s">
        <v>313</v>
      </c>
      <c r="D104" s="33" t="s">
        <v>317</v>
      </c>
      <c r="E104" s="33" t="s">
        <v>457</v>
      </c>
      <c r="F104" s="33" t="s">
        <v>3785</v>
      </c>
      <c r="G104" s="33" t="s">
        <v>3786</v>
      </c>
      <c r="H104" s="33" t="s">
        <v>330</v>
      </c>
      <c r="I104" s="33" t="s">
        <v>3787</v>
      </c>
      <c r="J104" s="33" t="s">
        <v>3705</v>
      </c>
      <c r="K104" s="33" t="s">
        <v>3788</v>
      </c>
      <c r="L104" s="33" t="s">
        <v>3789</v>
      </c>
      <c r="M104" s="33"/>
      <c r="N104" s="33"/>
      <c r="O104" s="33"/>
      <c r="P104" s="33" t="s">
        <v>3573</v>
      </c>
      <c r="Q104" s="33"/>
      <c r="R104" s="33" t="s">
        <v>331</v>
      </c>
      <c r="S104" s="33" t="s">
        <v>3506</v>
      </c>
      <c r="T104" s="33"/>
      <c r="U104" s="33"/>
    </row>
    <row r="105" spans="1:21" ht="30">
      <c r="A105" s="32" t="s">
        <v>3790</v>
      </c>
      <c r="B105" s="32" t="s">
        <v>3791</v>
      </c>
      <c r="C105" s="32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 spans="1:21" ht="75">
      <c r="A106" s="32" t="s">
        <v>3792</v>
      </c>
      <c r="B106" s="32" t="s">
        <v>3793</v>
      </c>
      <c r="C106" s="32" t="s">
        <v>313</v>
      </c>
      <c r="D106" s="33" t="s">
        <v>317</v>
      </c>
      <c r="E106" s="33" t="s">
        <v>457</v>
      </c>
      <c r="F106" s="33" t="s">
        <v>3794</v>
      </c>
      <c r="G106" s="33" t="s">
        <v>3795</v>
      </c>
      <c r="H106" s="33" t="s">
        <v>336</v>
      </c>
      <c r="I106" s="33" t="s">
        <v>3796</v>
      </c>
      <c r="J106" s="33" t="s">
        <v>3797</v>
      </c>
      <c r="K106" s="33" t="s">
        <v>3798</v>
      </c>
      <c r="L106" s="33" t="s">
        <v>3799</v>
      </c>
      <c r="M106" s="33" t="s">
        <v>3800</v>
      </c>
      <c r="N106" s="33"/>
      <c r="O106" s="33"/>
      <c r="P106" s="33" t="s">
        <v>3573</v>
      </c>
      <c r="Q106" s="33"/>
      <c r="R106" s="33" t="s">
        <v>337</v>
      </c>
      <c r="S106" s="33" t="s">
        <v>3506</v>
      </c>
      <c r="T106" s="33"/>
      <c r="U106" s="33"/>
    </row>
    <row r="107" spans="1:21" ht="30">
      <c r="A107" s="32" t="s">
        <v>3801</v>
      </c>
      <c r="B107" s="32" t="s">
        <v>3802</v>
      </c>
      <c r="C107" s="32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 spans="1:21" ht="60">
      <c r="A108" s="32" t="s">
        <v>3803</v>
      </c>
      <c r="B108" s="32" t="s">
        <v>3804</v>
      </c>
      <c r="C108" s="32" t="s">
        <v>350</v>
      </c>
      <c r="D108" s="33" t="s">
        <v>317</v>
      </c>
      <c r="E108" s="33" t="s">
        <v>457</v>
      </c>
      <c r="F108" s="33" t="s">
        <v>3805</v>
      </c>
      <c r="G108" s="33" t="s">
        <v>3806</v>
      </c>
      <c r="H108" s="33" t="s">
        <v>351</v>
      </c>
      <c r="I108" s="33" t="s">
        <v>3807</v>
      </c>
      <c r="J108" s="33" t="s">
        <v>3808</v>
      </c>
      <c r="K108" s="33" t="s">
        <v>3809</v>
      </c>
      <c r="L108" s="33"/>
      <c r="M108" s="33" t="s">
        <v>3759</v>
      </c>
      <c r="N108" s="33"/>
      <c r="O108" s="33"/>
      <c r="P108" s="33" t="s">
        <v>3573</v>
      </c>
      <c r="Q108" s="33"/>
      <c r="R108" s="33" t="s">
        <v>352</v>
      </c>
      <c r="S108" s="33" t="s">
        <v>3506</v>
      </c>
      <c r="T108" s="33"/>
      <c r="U108" s="33"/>
    </row>
    <row r="109" spans="1:21" ht="30">
      <c r="A109" s="32" t="s">
        <v>3810</v>
      </c>
      <c r="B109" s="32" t="s">
        <v>3811</v>
      </c>
      <c r="C109" s="32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 spans="1:21" ht="105">
      <c r="A110" s="32" t="s">
        <v>3812</v>
      </c>
      <c r="B110" s="32" t="s">
        <v>3813</v>
      </c>
      <c r="C110" s="32" t="s">
        <v>350</v>
      </c>
      <c r="D110" s="33" t="s">
        <v>317</v>
      </c>
      <c r="E110" s="33" t="s">
        <v>457</v>
      </c>
      <c r="F110" s="33" t="s">
        <v>3814</v>
      </c>
      <c r="G110" s="33" t="s">
        <v>3815</v>
      </c>
      <c r="H110" s="33" t="s">
        <v>362</v>
      </c>
      <c r="I110" s="33" t="s">
        <v>3816</v>
      </c>
      <c r="J110" s="33" t="s">
        <v>3817</v>
      </c>
      <c r="K110" s="33" t="s">
        <v>3818</v>
      </c>
      <c r="L110" s="33" t="s">
        <v>3819</v>
      </c>
      <c r="M110" s="33" t="s">
        <v>3820</v>
      </c>
      <c r="N110" s="33"/>
      <c r="O110" s="33"/>
      <c r="P110" s="33" t="s">
        <v>3573</v>
      </c>
      <c r="Q110" s="33"/>
      <c r="R110" s="33" t="s">
        <v>363</v>
      </c>
      <c r="S110" s="33" t="s">
        <v>3506</v>
      </c>
      <c r="T110" s="33"/>
      <c r="U110" s="33"/>
    </row>
    <row r="111" spans="1:21" ht="30">
      <c r="A111" s="32" t="s">
        <v>3821</v>
      </c>
      <c r="B111" s="32" t="s">
        <v>3822</v>
      </c>
      <c r="C111" s="32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 spans="1:21" ht="90">
      <c r="A112" s="32" t="s">
        <v>3823</v>
      </c>
      <c r="B112" s="32" t="s">
        <v>3824</v>
      </c>
      <c r="C112" s="32" t="s">
        <v>350</v>
      </c>
      <c r="D112" s="33" t="s">
        <v>317</v>
      </c>
      <c r="E112" s="33" t="s">
        <v>457</v>
      </c>
      <c r="F112" s="33" t="s">
        <v>3825</v>
      </c>
      <c r="G112" s="33" t="s">
        <v>3826</v>
      </c>
      <c r="H112" s="33" t="s">
        <v>357</v>
      </c>
      <c r="I112" s="33" t="s">
        <v>3827</v>
      </c>
      <c r="J112" s="33" t="s">
        <v>3828</v>
      </c>
      <c r="K112" s="33" t="s">
        <v>3829</v>
      </c>
      <c r="L112" s="33" t="s">
        <v>3830</v>
      </c>
      <c r="M112" s="33"/>
      <c r="N112" s="33"/>
      <c r="O112" s="33"/>
      <c r="P112" s="33" t="s">
        <v>3573</v>
      </c>
      <c r="Q112" s="33"/>
      <c r="R112" s="33" t="s">
        <v>358</v>
      </c>
      <c r="S112" s="33" t="s">
        <v>3506</v>
      </c>
      <c r="T112" s="33"/>
      <c r="U112" s="33"/>
    </row>
    <row r="113" spans="1:21">
      <c r="A113" s="32" t="s">
        <v>3831</v>
      </c>
      <c r="B113" s="32" t="s">
        <v>3832</v>
      </c>
      <c r="C113" s="32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 spans="1:21" ht="75">
      <c r="A114" s="32" t="s">
        <v>3833</v>
      </c>
      <c r="B114" s="32" t="s">
        <v>3834</v>
      </c>
      <c r="C114" s="32" t="s">
        <v>371</v>
      </c>
      <c r="D114" s="33" t="s">
        <v>317</v>
      </c>
      <c r="E114" s="33" t="s">
        <v>438</v>
      </c>
      <c r="F114" s="33" t="s">
        <v>3835</v>
      </c>
      <c r="G114" s="33" t="s">
        <v>3836</v>
      </c>
      <c r="H114" s="33" t="s">
        <v>372</v>
      </c>
      <c r="I114" s="33" t="s">
        <v>3837</v>
      </c>
      <c r="J114" s="33" t="s">
        <v>3838</v>
      </c>
      <c r="K114" s="33" t="s">
        <v>3839</v>
      </c>
      <c r="L114" s="33" t="s">
        <v>3840</v>
      </c>
      <c r="M114" s="33" t="s">
        <v>3841</v>
      </c>
      <c r="N114" s="33"/>
      <c r="O114" s="33"/>
      <c r="P114" s="33" t="s">
        <v>3573</v>
      </c>
      <c r="Q114" s="33"/>
      <c r="R114" s="33" t="s">
        <v>373</v>
      </c>
      <c r="S114" s="33" t="s">
        <v>3506</v>
      </c>
      <c r="T114" s="33"/>
      <c r="U114" s="33"/>
    </row>
    <row r="115" spans="1:21" ht="30">
      <c r="A115" s="32" t="s">
        <v>3842</v>
      </c>
      <c r="B115" s="32" t="s">
        <v>3843</v>
      </c>
      <c r="C115" s="32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</row>
    <row r="116" spans="1:21" ht="90">
      <c r="A116" s="32" t="s">
        <v>3844</v>
      </c>
      <c r="B116" s="32" t="s">
        <v>3845</v>
      </c>
      <c r="C116" s="32" t="s">
        <v>371</v>
      </c>
      <c r="D116" s="33" t="s">
        <v>317</v>
      </c>
      <c r="E116" s="33" t="s">
        <v>438</v>
      </c>
      <c r="F116" s="33" t="s">
        <v>3846</v>
      </c>
      <c r="G116" s="33" t="s">
        <v>3847</v>
      </c>
      <c r="H116" s="33" t="s">
        <v>379</v>
      </c>
      <c r="I116" s="33" t="s">
        <v>3848</v>
      </c>
      <c r="J116" s="33" t="s">
        <v>3849</v>
      </c>
      <c r="K116" s="33" t="s">
        <v>3850</v>
      </c>
      <c r="L116" s="33" t="s">
        <v>3851</v>
      </c>
      <c r="M116" s="33"/>
      <c r="N116" s="33"/>
      <c r="O116" s="33"/>
      <c r="P116" s="33" t="s">
        <v>3573</v>
      </c>
      <c r="Q116" s="33"/>
      <c r="R116" s="33" t="s">
        <v>380</v>
      </c>
      <c r="S116" s="33" t="s">
        <v>3506</v>
      </c>
      <c r="T116" s="33"/>
      <c r="U116" s="33"/>
    </row>
    <row r="117" spans="1:21">
      <c r="A117" s="32" t="s">
        <v>3852</v>
      </c>
      <c r="B117" s="32" t="s">
        <v>3853</v>
      </c>
      <c r="C117" s="32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</row>
    <row r="118" spans="1:21" ht="75">
      <c r="A118" s="32" t="s">
        <v>3854</v>
      </c>
      <c r="B118" s="32" t="s">
        <v>3855</v>
      </c>
      <c r="C118" s="32" t="s">
        <v>371</v>
      </c>
      <c r="D118" s="33" t="s">
        <v>317</v>
      </c>
      <c r="E118" s="33" t="s">
        <v>457</v>
      </c>
      <c r="F118" s="33" t="s">
        <v>3856</v>
      </c>
      <c r="G118" s="33" t="s">
        <v>3857</v>
      </c>
      <c r="H118" s="33" t="s">
        <v>385</v>
      </c>
      <c r="I118" s="33" t="s">
        <v>3858</v>
      </c>
      <c r="J118" s="33" t="s">
        <v>3859</v>
      </c>
      <c r="K118" s="33" t="s">
        <v>3860</v>
      </c>
      <c r="L118" s="33"/>
      <c r="M118" s="33"/>
      <c r="N118" s="33"/>
      <c r="O118" s="33"/>
      <c r="P118" s="33" t="s">
        <v>3573</v>
      </c>
      <c r="Q118" s="33"/>
      <c r="R118" s="33" t="s">
        <v>386</v>
      </c>
      <c r="S118" s="33" t="s">
        <v>3506</v>
      </c>
      <c r="T118" s="33"/>
      <c r="U118" s="33"/>
    </row>
    <row r="119" spans="1:21">
      <c r="A119" s="70" t="s">
        <v>2731</v>
      </c>
      <c r="B119" s="70" t="s">
        <v>3861</v>
      </c>
      <c r="C119" s="70"/>
      <c r="D119" s="70"/>
      <c r="E119" s="70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</row>
    <row r="120" spans="1:21" ht="90">
      <c r="A120" s="70" t="s">
        <v>3862</v>
      </c>
      <c r="B120" s="70" t="s">
        <v>3863</v>
      </c>
      <c r="C120" s="70" t="s">
        <v>22</v>
      </c>
      <c r="D120" s="70" t="s">
        <v>15</v>
      </c>
      <c r="E120" s="70" t="s">
        <v>438</v>
      </c>
      <c r="F120" s="71" t="s">
        <v>3864</v>
      </c>
      <c r="G120" s="71" t="s">
        <v>3865</v>
      </c>
      <c r="H120" s="71" t="s">
        <v>24</v>
      </c>
      <c r="I120" s="71"/>
      <c r="J120" s="71"/>
      <c r="K120" s="71" t="s">
        <v>3866</v>
      </c>
      <c r="L120" s="71"/>
      <c r="M120" s="71" t="s">
        <v>3867</v>
      </c>
      <c r="N120" s="71"/>
      <c r="O120" s="71"/>
      <c r="P120" s="71" t="s">
        <v>3573</v>
      </c>
      <c r="Q120" s="71"/>
      <c r="R120" s="71"/>
      <c r="S120" s="71"/>
      <c r="T120" s="71" t="s">
        <v>3253</v>
      </c>
      <c r="U120" s="71"/>
    </row>
    <row r="121" spans="1:21" ht="90">
      <c r="A121" s="70" t="s">
        <v>3868</v>
      </c>
      <c r="B121" s="70" t="s">
        <v>3869</v>
      </c>
      <c r="C121" s="70" t="s">
        <v>182</v>
      </c>
      <c r="D121" s="70" t="s">
        <v>15</v>
      </c>
      <c r="E121" s="70" t="s">
        <v>438</v>
      </c>
      <c r="F121" s="71" t="s">
        <v>3870</v>
      </c>
      <c r="G121" s="71" t="s">
        <v>3871</v>
      </c>
      <c r="H121" s="71" t="s">
        <v>206</v>
      </c>
      <c r="I121" s="71"/>
      <c r="J121" s="71"/>
      <c r="K121" s="71" t="s">
        <v>3872</v>
      </c>
      <c r="L121" s="71"/>
      <c r="M121" s="71" t="s">
        <v>3873</v>
      </c>
      <c r="N121" s="71"/>
      <c r="O121" s="71"/>
      <c r="P121" s="71" t="s">
        <v>3573</v>
      </c>
      <c r="Q121" s="71"/>
      <c r="R121" s="71"/>
      <c r="S121" s="71"/>
      <c r="T121" s="71"/>
      <c r="U121" s="71"/>
    </row>
    <row r="122" spans="1:21" ht="90">
      <c r="A122" s="70" t="s">
        <v>3874</v>
      </c>
      <c r="B122" s="70" t="s">
        <v>3875</v>
      </c>
      <c r="C122" s="70" t="s">
        <v>407</v>
      </c>
      <c r="D122" s="70" t="s">
        <v>15</v>
      </c>
      <c r="E122" s="70" t="s">
        <v>457</v>
      </c>
      <c r="F122" s="71" t="s">
        <v>3876</v>
      </c>
      <c r="G122" s="71" t="s">
        <v>3877</v>
      </c>
      <c r="H122" s="71" t="s">
        <v>206</v>
      </c>
      <c r="I122" s="71"/>
      <c r="J122" s="71"/>
      <c r="K122" s="71" t="s">
        <v>3866</v>
      </c>
      <c r="L122" s="71"/>
      <c r="M122" s="71" t="s">
        <v>3878</v>
      </c>
      <c r="N122" s="71"/>
      <c r="O122" s="71"/>
      <c r="P122" s="71" t="s">
        <v>20</v>
      </c>
      <c r="Q122" s="71"/>
      <c r="R122" s="71"/>
      <c r="S122" s="71"/>
      <c r="T122" s="71" t="s">
        <v>3879</v>
      </c>
      <c r="U122" s="71"/>
    </row>
    <row r="123" spans="1:21" ht="30">
      <c r="A123" s="78" t="s">
        <v>3614</v>
      </c>
      <c r="B123" s="78" t="s">
        <v>3880</v>
      </c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</row>
    <row r="124" spans="1:21" ht="300">
      <c r="A124" s="72" t="s">
        <v>3881</v>
      </c>
      <c r="B124" s="72" t="s">
        <v>3882</v>
      </c>
      <c r="C124" s="72" t="s">
        <v>123</v>
      </c>
      <c r="D124" s="72" t="s">
        <v>3883</v>
      </c>
      <c r="E124" s="72" t="s">
        <v>3884</v>
      </c>
      <c r="F124" s="72" t="s">
        <v>3885</v>
      </c>
      <c r="G124" s="72" t="s">
        <v>3886</v>
      </c>
      <c r="H124" s="72" t="s">
        <v>3887</v>
      </c>
      <c r="I124" s="72" t="s">
        <v>3888</v>
      </c>
      <c r="J124" s="72"/>
      <c r="K124" s="72"/>
      <c r="L124" s="72"/>
      <c r="M124" s="72" t="s">
        <v>3889</v>
      </c>
      <c r="N124" s="72"/>
      <c r="O124" s="72"/>
      <c r="P124" s="72" t="s">
        <v>20</v>
      </c>
      <c r="Q124" s="72"/>
      <c r="R124" s="72"/>
      <c r="S124" s="72"/>
      <c r="T124" s="72" t="s">
        <v>3890</v>
      </c>
      <c r="U124" s="72"/>
    </row>
    <row r="125" spans="1:21" ht="285">
      <c r="A125" s="73" t="s">
        <v>3891</v>
      </c>
      <c r="B125" s="73" t="s">
        <v>3892</v>
      </c>
      <c r="C125" s="73" t="s">
        <v>30</v>
      </c>
      <c r="D125" s="73" t="s">
        <v>3893</v>
      </c>
      <c r="E125" s="73" t="s">
        <v>3894</v>
      </c>
      <c r="F125" s="73" t="s">
        <v>630</v>
      </c>
      <c r="G125" s="73" t="s">
        <v>3886</v>
      </c>
      <c r="H125" s="73" t="s">
        <v>3895</v>
      </c>
      <c r="I125" s="73" t="s">
        <v>3896</v>
      </c>
      <c r="J125" s="73"/>
      <c r="K125" s="73"/>
      <c r="L125" s="73"/>
      <c r="M125" s="73" t="s">
        <v>3897</v>
      </c>
      <c r="N125" s="73"/>
      <c r="O125" s="73"/>
      <c r="P125" s="73" t="s">
        <v>20</v>
      </c>
      <c r="Q125" s="73"/>
      <c r="R125" s="73"/>
      <c r="S125" s="73"/>
      <c r="T125" s="73" t="s">
        <v>3898</v>
      </c>
      <c r="U125" s="73"/>
    </row>
    <row r="126" spans="1:21" ht="240">
      <c r="A126" s="77" t="s">
        <v>3899</v>
      </c>
      <c r="B126" s="77" t="s">
        <v>3900</v>
      </c>
      <c r="C126" s="77" t="s">
        <v>3901</v>
      </c>
      <c r="D126" s="77" t="s">
        <v>3902</v>
      </c>
      <c r="E126" s="77" t="s">
        <v>3903</v>
      </c>
      <c r="F126" s="77" t="s">
        <v>3885</v>
      </c>
      <c r="G126" s="77" t="s">
        <v>3886</v>
      </c>
      <c r="H126" s="77" t="s">
        <v>3904</v>
      </c>
      <c r="I126" s="77" t="s">
        <v>3905</v>
      </c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</row>
    <row r="127" spans="1:21" ht="255">
      <c r="A127" s="72" t="s">
        <v>3906</v>
      </c>
      <c r="B127" s="72" t="s">
        <v>3907</v>
      </c>
      <c r="C127" s="72" t="s">
        <v>123</v>
      </c>
      <c r="D127" s="72" t="s">
        <v>3908</v>
      </c>
      <c r="E127" s="72" t="s">
        <v>3909</v>
      </c>
      <c r="F127" s="72" t="s">
        <v>630</v>
      </c>
      <c r="G127" s="72" t="s">
        <v>3886</v>
      </c>
      <c r="H127" s="72" t="s">
        <v>3910</v>
      </c>
      <c r="I127" s="72" t="s">
        <v>3911</v>
      </c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</row>
    <row r="128" spans="1:21" ht="210">
      <c r="A128" s="72" t="s">
        <v>3912</v>
      </c>
      <c r="B128" s="72" t="s">
        <v>3913</v>
      </c>
      <c r="C128" s="72" t="s">
        <v>123</v>
      </c>
      <c r="D128" s="72" t="s">
        <v>3914</v>
      </c>
      <c r="E128" s="72" t="s">
        <v>3915</v>
      </c>
      <c r="F128" s="72" t="s">
        <v>636</v>
      </c>
      <c r="G128" s="72" t="s">
        <v>3886</v>
      </c>
      <c r="H128" s="72" t="s">
        <v>3916</v>
      </c>
      <c r="I128" s="72" t="s">
        <v>3917</v>
      </c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</row>
    <row r="129" spans="1:21" ht="225">
      <c r="A129" s="72" t="s">
        <v>3918</v>
      </c>
      <c r="B129" s="72" t="s">
        <v>3919</v>
      </c>
      <c r="C129" s="72" t="s">
        <v>123</v>
      </c>
      <c r="D129" s="72" t="s">
        <v>3920</v>
      </c>
      <c r="E129" s="72" t="s">
        <v>3921</v>
      </c>
      <c r="F129" s="72" t="s">
        <v>630</v>
      </c>
      <c r="G129" s="72" t="s">
        <v>3886</v>
      </c>
      <c r="H129" s="72" t="s">
        <v>3922</v>
      </c>
      <c r="I129" s="72" t="s">
        <v>3923</v>
      </c>
      <c r="J129" s="72"/>
      <c r="K129" s="72"/>
      <c r="L129" s="72"/>
      <c r="M129" s="72" t="s">
        <v>3924</v>
      </c>
      <c r="N129" s="72"/>
      <c r="O129" s="72"/>
      <c r="P129" s="72" t="s">
        <v>20</v>
      </c>
      <c r="Q129" s="72"/>
      <c r="R129" s="72"/>
      <c r="S129" s="72"/>
      <c r="T129" s="72" t="s">
        <v>3925</v>
      </c>
      <c r="U129" s="72"/>
    </row>
    <row r="130" spans="1:21" ht="240">
      <c r="A130" s="76" t="s">
        <v>3926</v>
      </c>
      <c r="B130" s="76" t="s">
        <v>3927</v>
      </c>
      <c r="C130" s="76" t="s">
        <v>182</v>
      </c>
      <c r="D130" s="76" t="s">
        <v>3928</v>
      </c>
      <c r="E130" s="76" t="s">
        <v>3929</v>
      </c>
      <c r="F130" s="76" t="s">
        <v>3885</v>
      </c>
      <c r="G130" s="76" t="s">
        <v>3886</v>
      </c>
      <c r="H130" s="76" t="s">
        <v>3930</v>
      </c>
      <c r="I130" s="76" t="s">
        <v>3931</v>
      </c>
      <c r="J130" s="76"/>
      <c r="K130" s="76"/>
      <c r="L130" s="76"/>
      <c r="M130" s="76" t="s">
        <v>3932</v>
      </c>
      <c r="N130" s="76"/>
      <c r="O130" s="76"/>
      <c r="P130" s="76" t="s">
        <v>20</v>
      </c>
      <c r="Q130" s="76"/>
      <c r="R130" s="76"/>
      <c r="S130" s="76"/>
      <c r="T130" s="76" t="s">
        <v>3933</v>
      </c>
      <c r="U130" s="76"/>
    </row>
    <row r="131" spans="1:21" ht="30">
      <c r="A131" s="78" t="s">
        <v>3624</v>
      </c>
      <c r="B131" s="78" t="s">
        <v>3934</v>
      </c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</row>
    <row r="132" spans="1:21" ht="240">
      <c r="A132" s="74" t="s">
        <v>3935</v>
      </c>
      <c r="B132" s="74" t="s">
        <v>3936</v>
      </c>
      <c r="C132" s="74" t="s">
        <v>3937</v>
      </c>
      <c r="D132" s="74" t="s">
        <v>3938</v>
      </c>
      <c r="E132" s="74" t="s">
        <v>3939</v>
      </c>
      <c r="F132" s="74" t="s">
        <v>630</v>
      </c>
      <c r="G132" s="74" t="s">
        <v>3886</v>
      </c>
      <c r="H132" s="74" t="s">
        <v>3940</v>
      </c>
      <c r="I132" s="74" t="s">
        <v>3941</v>
      </c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</row>
    <row r="133" spans="1:21" ht="195">
      <c r="A133" s="74" t="s">
        <v>3942</v>
      </c>
      <c r="B133" s="74" t="s">
        <v>3943</v>
      </c>
      <c r="C133" s="74" t="s">
        <v>3937</v>
      </c>
      <c r="D133" s="74" t="s">
        <v>3944</v>
      </c>
      <c r="E133" s="74" t="s">
        <v>3945</v>
      </c>
      <c r="F133" s="74" t="s">
        <v>3946</v>
      </c>
      <c r="G133" s="74" t="s">
        <v>3886</v>
      </c>
      <c r="H133" s="74" t="s">
        <v>3947</v>
      </c>
      <c r="I133" s="74" t="s">
        <v>3948</v>
      </c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</row>
    <row r="134" spans="1:21" ht="165">
      <c r="A134" s="74" t="s">
        <v>3949</v>
      </c>
      <c r="B134" s="74" t="s">
        <v>3950</v>
      </c>
      <c r="C134" s="74" t="s">
        <v>3937</v>
      </c>
      <c r="D134" s="74" t="s">
        <v>3951</v>
      </c>
      <c r="E134" s="74" t="s">
        <v>3952</v>
      </c>
      <c r="F134" s="74" t="s">
        <v>636</v>
      </c>
      <c r="G134" s="74" t="s">
        <v>3886</v>
      </c>
      <c r="H134" s="74" t="s">
        <v>3953</v>
      </c>
      <c r="I134" s="74" t="s">
        <v>3954</v>
      </c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</row>
    <row r="135" spans="1:21" ht="120">
      <c r="A135" s="74" t="s">
        <v>3955</v>
      </c>
      <c r="B135" s="74" t="s">
        <v>3956</v>
      </c>
      <c r="C135" s="74" t="s">
        <v>3937</v>
      </c>
      <c r="D135" s="74" t="s">
        <v>3957</v>
      </c>
      <c r="E135" s="74" t="s">
        <v>3958</v>
      </c>
      <c r="F135" s="74" t="s">
        <v>636</v>
      </c>
      <c r="G135" s="74" t="s">
        <v>3886</v>
      </c>
      <c r="H135" s="74" t="s">
        <v>3959</v>
      </c>
      <c r="I135" s="74" t="s">
        <v>3960</v>
      </c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</row>
    <row r="136" spans="1:21" ht="135">
      <c r="A136" s="74" t="s">
        <v>3961</v>
      </c>
      <c r="B136" s="74" t="s">
        <v>3962</v>
      </c>
      <c r="C136" s="74" t="s">
        <v>3937</v>
      </c>
      <c r="D136" s="74" t="s">
        <v>3963</v>
      </c>
      <c r="E136" s="74" t="s">
        <v>3964</v>
      </c>
      <c r="F136" s="74" t="s">
        <v>630</v>
      </c>
      <c r="G136" s="74" t="s">
        <v>3886</v>
      </c>
      <c r="H136" s="74" t="s">
        <v>3965</v>
      </c>
      <c r="I136" s="74" t="s">
        <v>3966</v>
      </c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</row>
    <row r="137" spans="1:21" ht="30">
      <c r="A137" s="78" t="s">
        <v>3967</v>
      </c>
      <c r="B137" s="78" t="s">
        <v>3968</v>
      </c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</row>
    <row r="138" spans="1:21" ht="180">
      <c r="A138" s="76" t="s">
        <v>3969</v>
      </c>
      <c r="B138" s="76" t="s">
        <v>3970</v>
      </c>
      <c r="C138" s="76" t="s">
        <v>182</v>
      </c>
      <c r="D138" s="76" t="s">
        <v>3971</v>
      </c>
      <c r="E138" s="76" t="s">
        <v>3972</v>
      </c>
      <c r="F138" s="76" t="s">
        <v>3885</v>
      </c>
      <c r="G138" s="76" t="s">
        <v>3886</v>
      </c>
      <c r="H138" s="76" t="s">
        <v>3973</v>
      </c>
      <c r="I138" s="76" t="s">
        <v>3974</v>
      </c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</row>
    <row r="139" spans="1:21" ht="210">
      <c r="A139" s="75" t="s">
        <v>3975</v>
      </c>
      <c r="B139" s="75" t="s">
        <v>3976</v>
      </c>
      <c r="C139" s="75" t="s">
        <v>22</v>
      </c>
      <c r="D139" s="75" t="s">
        <v>3977</v>
      </c>
      <c r="E139" s="75" t="s">
        <v>3978</v>
      </c>
      <c r="F139" s="75" t="s">
        <v>630</v>
      </c>
      <c r="G139" s="75" t="s">
        <v>3886</v>
      </c>
      <c r="H139" s="75" t="s">
        <v>3979</v>
      </c>
      <c r="I139" s="75" t="s">
        <v>3980</v>
      </c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r="140" spans="1:21" ht="165">
      <c r="A140" s="79" t="s">
        <v>3981</v>
      </c>
      <c r="B140" s="79" t="s">
        <v>3982</v>
      </c>
      <c r="C140" s="79" t="s">
        <v>89</v>
      </c>
      <c r="D140" s="79" t="s">
        <v>3983</v>
      </c>
      <c r="E140" s="79" t="s">
        <v>3984</v>
      </c>
      <c r="F140" s="79" t="s">
        <v>636</v>
      </c>
      <c r="G140" s="79" t="s">
        <v>3886</v>
      </c>
      <c r="H140" s="79" t="s">
        <v>3985</v>
      </c>
      <c r="I140" s="79" t="s">
        <v>3986</v>
      </c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</row>
    <row r="141" spans="1:21" ht="150">
      <c r="A141" s="76" t="s">
        <v>3987</v>
      </c>
      <c r="B141" s="76" t="s">
        <v>3988</v>
      </c>
      <c r="C141" s="76" t="s">
        <v>182</v>
      </c>
      <c r="D141" s="76" t="s">
        <v>3989</v>
      </c>
      <c r="E141" s="76" t="s">
        <v>3990</v>
      </c>
      <c r="F141" s="76" t="s">
        <v>636</v>
      </c>
      <c r="G141" s="76" t="s">
        <v>3886</v>
      </c>
      <c r="H141" s="76" t="s">
        <v>3991</v>
      </c>
      <c r="I141" s="76" t="s">
        <v>3992</v>
      </c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</row>
    <row r="142" spans="1:21" ht="180">
      <c r="A142" s="76" t="s">
        <v>3993</v>
      </c>
      <c r="B142" s="76" t="s">
        <v>3994</v>
      </c>
      <c r="C142" s="76" t="s">
        <v>182</v>
      </c>
      <c r="D142" s="76" t="s">
        <v>3995</v>
      </c>
      <c r="E142" s="76" t="s">
        <v>3996</v>
      </c>
      <c r="F142" s="76" t="s">
        <v>630</v>
      </c>
      <c r="G142" s="76" t="s">
        <v>3886</v>
      </c>
      <c r="H142" s="76" t="s">
        <v>3997</v>
      </c>
      <c r="I142" s="76" t="s">
        <v>3998</v>
      </c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</row>
    <row r="143" spans="1:21">
      <c r="A143" t="s">
        <v>3999</v>
      </c>
      <c r="B143" t="s">
        <v>4000</v>
      </c>
      <c r="C143" t="s">
        <v>100</v>
      </c>
      <c r="D143" t="s">
        <v>15</v>
      </c>
      <c r="E143" t="s">
        <v>630</v>
      </c>
      <c r="F143" t="s">
        <v>4001</v>
      </c>
      <c r="G143" t="s">
        <v>4002</v>
      </c>
      <c r="H143" t="s">
        <v>113</v>
      </c>
      <c r="I143" t="s">
        <v>4003</v>
      </c>
      <c r="J143" t="s">
        <v>4004</v>
      </c>
      <c r="K143" t="s">
        <v>4005</v>
      </c>
      <c r="L143" t="s">
        <v>4006</v>
      </c>
      <c r="M143" t="s">
        <v>4007</v>
      </c>
      <c r="O143" t="s">
        <v>4008</v>
      </c>
      <c r="P143" t="s">
        <v>3573</v>
      </c>
      <c r="T143" t="s">
        <v>4009</v>
      </c>
    </row>
    <row r="144" spans="1:21">
      <c r="A144" t="s">
        <v>4010</v>
      </c>
      <c r="B144" t="s">
        <v>4011</v>
      </c>
      <c r="C144" t="s">
        <v>100</v>
      </c>
      <c r="D144" t="s">
        <v>15</v>
      </c>
      <c r="E144" t="s">
        <v>630</v>
      </c>
      <c r="F144" t="s">
        <v>4012</v>
      </c>
      <c r="G144" t="s">
        <v>4013</v>
      </c>
      <c r="H144" t="s">
        <v>113</v>
      </c>
      <c r="I144" t="s">
        <v>4014</v>
      </c>
      <c r="J144" t="s">
        <v>4015</v>
      </c>
      <c r="K144" t="s">
        <v>4016</v>
      </c>
      <c r="L144" t="s">
        <v>4017</v>
      </c>
      <c r="M144" t="s">
        <v>4007</v>
      </c>
      <c r="O144" t="s">
        <v>4018</v>
      </c>
      <c r="P144" t="s">
        <v>3573</v>
      </c>
      <c r="T144" t="s">
        <v>631</v>
      </c>
    </row>
    <row r="145" spans="1:20">
      <c r="A145" t="s">
        <v>4019</v>
      </c>
      <c r="B145" t="s">
        <v>4020</v>
      </c>
      <c r="C145" t="s">
        <v>100</v>
      </c>
      <c r="D145" t="s">
        <v>15</v>
      </c>
      <c r="E145" t="s">
        <v>630</v>
      </c>
      <c r="F145" t="s">
        <v>4021</v>
      </c>
      <c r="G145" t="s">
        <v>4022</v>
      </c>
      <c r="H145" t="s">
        <v>113</v>
      </c>
      <c r="I145" t="s">
        <v>4023</v>
      </c>
      <c r="J145" t="s">
        <v>4024</v>
      </c>
      <c r="K145" t="s">
        <v>4025</v>
      </c>
      <c r="L145" t="s">
        <v>4026</v>
      </c>
      <c r="M145" t="s">
        <v>4007</v>
      </c>
      <c r="O145" t="s">
        <v>4027</v>
      </c>
      <c r="P145" t="s">
        <v>3573</v>
      </c>
    </row>
    <row r="146" spans="1:20">
      <c r="A146" t="s">
        <v>4028</v>
      </c>
      <c r="B146" t="s">
        <v>4029</v>
      </c>
      <c r="C146" t="s">
        <v>182</v>
      </c>
      <c r="D146" t="s">
        <v>15</v>
      </c>
      <c r="E146" t="s">
        <v>636</v>
      </c>
      <c r="F146" t="s">
        <v>4030</v>
      </c>
      <c r="G146" t="s">
        <v>4031</v>
      </c>
      <c r="H146" t="s">
        <v>200</v>
      </c>
      <c r="I146" t="s">
        <v>4032</v>
      </c>
      <c r="J146" t="s">
        <v>3484</v>
      </c>
      <c r="K146" t="s">
        <v>4033</v>
      </c>
      <c r="L146" t="s">
        <v>4034</v>
      </c>
      <c r="M146" t="s">
        <v>4007</v>
      </c>
      <c r="O146" t="s">
        <v>4035</v>
      </c>
      <c r="P146" t="s">
        <v>3573</v>
      </c>
      <c r="T146" t="s">
        <v>631</v>
      </c>
    </row>
    <row r="147" spans="1:20">
      <c r="A147" t="s">
        <v>4036</v>
      </c>
      <c r="B147" t="s">
        <v>4037</v>
      </c>
      <c r="C147" t="s">
        <v>182</v>
      </c>
      <c r="D147" t="s">
        <v>15</v>
      </c>
      <c r="E147" t="s">
        <v>636</v>
      </c>
      <c r="F147" t="s">
        <v>4038</v>
      </c>
      <c r="G147" t="s">
        <v>4039</v>
      </c>
      <c r="H147" t="s">
        <v>200</v>
      </c>
      <c r="I147" t="s">
        <v>4040</v>
      </c>
      <c r="J147" t="s">
        <v>4041</v>
      </c>
      <c r="L147" t="s">
        <v>4042</v>
      </c>
      <c r="M147" t="s">
        <v>4007</v>
      </c>
      <c r="O147" t="s">
        <v>4043</v>
      </c>
      <c r="P147" t="s">
        <v>3573</v>
      </c>
    </row>
    <row r="148" spans="1:20">
      <c r="A148" t="s">
        <v>3975</v>
      </c>
      <c r="B148" t="s">
        <v>4044</v>
      </c>
      <c r="C148" t="s">
        <v>394</v>
      </c>
      <c r="D148" t="s">
        <v>15</v>
      </c>
      <c r="E148" t="s">
        <v>457</v>
      </c>
      <c r="F148" t="s">
        <v>4045</v>
      </c>
      <c r="G148" t="s">
        <v>4046</v>
      </c>
      <c r="H148" t="s">
        <v>146</v>
      </c>
      <c r="I148" t="s">
        <v>4047</v>
      </c>
      <c r="J148" t="s">
        <v>4048</v>
      </c>
      <c r="K148" t="s">
        <v>4049</v>
      </c>
      <c r="L148" t="s">
        <v>4050</v>
      </c>
      <c r="M148" t="s">
        <v>4051</v>
      </c>
      <c r="O148" t="s">
        <v>4052</v>
      </c>
      <c r="P148" t="s">
        <v>20</v>
      </c>
      <c r="Q148" t="s">
        <v>440</v>
      </c>
    </row>
    <row r="149" spans="1:20">
      <c r="A149" t="s">
        <v>3981</v>
      </c>
      <c r="B149" t="s">
        <v>4053</v>
      </c>
      <c r="C149" t="s">
        <v>394</v>
      </c>
      <c r="D149" t="s">
        <v>15</v>
      </c>
      <c r="E149" t="s">
        <v>457</v>
      </c>
      <c r="F149" t="s">
        <v>4054</v>
      </c>
      <c r="G149" t="s">
        <v>4055</v>
      </c>
      <c r="H149" t="s">
        <v>146</v>
      </c>
      <c r="I149" t="s">
        <v>4056</v>
      </c>
      <c r="J149" t="s">
        <v>4057</v>
      </c>
      <c r="K149" t="s">
        <v>4058</v>
      </c>
      <c r="L149" t="s">
        <v>4059</v>
      </c>
      <c r="M149" t="s">
        <v>4060</v>
      </c>
      <c r="O149" t="s">
        <v>4061</v>
      </c>
      <c r="P149" t="s">
        <v>20</v>
      </c>
      <c r="Q149" t="s">
        <v>440</v>
      </c>
    </row>
    <row r="150" spans="1:20">
      <c r="A150" t="s">
        <v>3987</v>
      </c>
      <c r="B150" t="s">
        <v>4062</v>
      </c>
      <c r="C150" t="s">
        <v>394</v>
      </c>
      <c r="D150" t="s">
        <v>15</v>
      </c>
      <c r="E150" t="s">
        <v>457</v>
      </c>
      <c r="F150" t="s">
        <v>4063</v>
      </c>
      <c r="G150" t="s">
        <v>4064</v>
      </c>
      <c r="H150" t="s">
        <v>152</v>
      </c>
      <c r="I150" t="s">
        <v>4065</v>
      </c>
      <c r="J150" t="s">
        <v>4066</v>
      </c>
      <c r="K150" t="s">
        <v>4067</v>
      </c>
      <c r="L150" t="s">
        <v>4068</v>
      </c>
      <c r="M150" t="s">
        <v>4069</v>
      </c>
      <c r="O150" t="s">
        <v>4070</v>
      </c>
      <c r="P150" t="s">
        <v>20</v>
      </c>
      <c r="Q150" t="s">
        <v>440</v>
      </c>
    </row>
    <row r="151" spans="1:20">
      <c r="A151" t="s">
        <v>3993</v>
      </c>
      <c r="B151" t="s">
        <v>404</v>
      </c>
      <c r="C151" t="s">
        <v>394</v>
      </c>
      <c r="D151" t="s">
        <v>15</v>
      </c>
      <c r="E151" t="s">
        <v>496</v>
      </c>
      <c r="F151" t="s">
        <v>4071</v>
      </c>
      <c r="G151" t="s">
        <v>4072</v>
      </c>
      <c r="H151" t="s">
        <v>158</v>
      </c>
      <c r="I151" t="s">
        <v>4073</v>
      </c>
      <c r="J151" t="s">
        <v>4074</v>
      </c>
      <c r="K151" t="s">
        <v>4075</v>
      </c>
      <c r="L151" t="s">
        <v>4076</v>
      </c>
      <c r="M151" t="s">
        <v>4077</v>
      </c>
      <c r="O151" t="s">
        <v>4078</v>
      </c>
      <c r="P151" t="s">
        <v>20</v>
      </c>
      <c r="Q151" t="s">
        <v>440</v>
      </c>
    </row>
    <row r="152" spans="1:20">
      <c r="A152" t="s">
        <v>4079</v>
      </c>
      <c r="B152" t="s">
        <v>4080</v>
      </c>
      <c r="C152" t="s">
        <v>407</v>
      </c>
      <c r="D152" t="s">
        <v>15</v>
      </c>
      <c r="E152" t="s">
        <v>457</v>
      </c>
      <c r="F152" t="s">
        <v>4081</v>
      </c>
      <c r="G152" t="s">
        <v>4082</v>
      </c>
      <c r="H152" t="s">
        <v>164</v>
      </c>
      <c r="I152" t="s">
        <v>4083</v>
      </c>
      <c r="J152" t="s">
        <v>4084</v>
      </c>
      <c r="K152" t="s">
        <v>4085</v>
      </c>
      <c r="L152" t="s">
        <v>4086</v>
      </c>
      <c r="M152" t="s">
        <v>4087</v>
      </c>
      <c r="O152" t="s">
        <v>4088</v>
      </c>
      <c r="P152" t="s">
        <v>20</v>
      </c>
      <c r="Q152" t="s">
        <v>440</v>
      </c>
    </row>
    <row r="153" spans="1:20">
      <c r="A153" t="s">
        <v>4089</v>
      </c>
      <c r="B153" t="s">
        <v>412</v>
      </c>
      <c r="C153" t="s">
        <v>407</v>
      </c>
      <c r="D153" t="s">
        <v>15</v>
      </c>
      <c r="E153" t="s">
        <v>457</v>
      </c>
      <c r="F153" t="s">
        <v>4090</v>
      </c>
      <c r="G153" t="s">
        <v>4091</v>
      </c>
      <c r="H153" t="s">
        <v>413</v>
      </c>
      <c r="I153" t="s">
        <v>4092</v>
      </c>
      <c r="J153" t="s">
        <v>4093</v>
      </c>
      <c r="K153" t="s">
        <v>4094</v>
      </c>
      <c r="L153" t="s">
        <v>4095</v>
      </c>
      <c r="M153" t="s">
        <v>4096</v>
      </c>
      <c r="O153" t="s">
        <v>4097</v>
      </c>
      <c r="P153" t="s">
        <v>20</v>
      </c>
      <c r="Q153" t="s">
        <v>440</v>
      </c>
    </row>
    <row r="154" spans="1:20">
      <c r="A154" t="s">
        <v>4098</v>
      </c>
      <c r="B154" t="s">
        <v>416</v>
      </c>
      <c r="C154" t="s">
        <v>407</v>
      </c>
      <c r="D154" t="s">
        <v>15</v>
      </c>
      <c r="E154" t="s">
        <v>457</v>
      </c>
      <c r="F154" t="s">
        <v>4099</v>
      </c>
      <c r="G154" t="s">
        <v>4100</v>
      </c>
      <c r="H154" t="s">
        <v>417</v>
      </c>
      <c r="I154" t="s">
        <v>4101</v>
      </c>
      <c r="J154" t="s">
        <v>4102</v>
      </c>
      <c r="K154" t="s">
        <v>4103</v>
      </c>
      <c r="L154" t="s">
        <v>4104</v>
      </c>
      <c r="M154" t="s">
        <v>4105</v>
      </c>
      <c r="O154" t="s">
        <v>4106</v>
      </c>
      <c r="P154" t="s">
        <v>20</v>
      </c>
      <c r="Q154" t="s">
        <v>440</v>
      </c>
    </row>
    <row r="155" spans="1:20">
      <c r="A155" t="s">
        <v>4107</v>
      </c>
      <c r="B155" t="s">
        <v>421</v>
      </c>
      <c r="C155" t="s">
        <v>100</v>
      </c>
      <c r="D155" t="s">
        <v>15</v>
      </c>
      <c r="E155" t="s">
        <v>496</v>
      </c>
      <c r="F155" t="s">
        <v>4108</v>
      </c>
      <c r="G155" t="s">
        <v>4109</v>
      </c>
      <c r="H155" t="s">
        <v>422</v>
      </c>
      <c r="I155" t="s">
        <v>4110</v>
      </c>
      <c r="J155" t="s">
        <v>4111</v>
      </c>
      <c r="K155" t="s">
        <v>4112</v>
      </c>
      <c r="L155" t="s">
        <v>4113</v>
      </c>
      <c r="M155" t="s">
        <v>4114</v>
      </c>
      <c r="O155" t="s">
        <v>4115</v>
      </c>
      <c r="P155" t="s">
        <v>20</v>
      </c>
      <c r="Q155" t="s">
        <v>440</v>
      </c>
    </row>
    <row r="156" spans="1:20">
      <c r="A156" t="s">
        <v>4116</v>
      </c>
      <c r="B156" t="s">
        <v>4117</v>
      </c>
      <c r="C156" t="s">
        <v>3094</v>
      </c>
      <c r="D156" t="s">
        <v>15</v>
      </c>
      <c r="E156" t="s">
        <v>496</v>
      </c>
      <c r="F156" t="s">
        <v>4118</v>
      </c>
      <c r="G156" t="s">
        <v>4119</v>
      </c>
      <c r="H156" t="s">
        <v>3094</v>
      </c>
      <c r="I156" t="s">
        <v>4120</v>
      </c>
      <c r="J156" t="s">
        <v>4121</v>
      </c>
      <c r="K156" t="s">
        <v>4122</v>
      </c>
      <c r="L156" t="s">
        <v>4123</v>
      </c>
      <c r="M156" t="s">
        <v>4124</v>
      </c>
      <c r="O156" t="s">
        <v>4125</v>
      </c>
      <c r="P156" t="s">
        <v>20</v>
      </c>
      <c r="Q156" t="s">
        <v>440</v>
      </c>
    </row>
    <row r="157" spans="1:20">
      <c r="A157" t="s">
        <v>4126</v>
      </c>
      <c r="B157" t="s">
        <v>4127</v>
      </c>
      <c r="C157" t="s">
        <v>30</v>
      </c>
      <c r="D157" t="s">
        <v>15</v>
      </c>
      <c r="E157" t="s">
        <v>457</v>
      </c>
      <c r="F157" t="s">
        <v>4128</v>
      </c>
      <c r="G157" t="s">
        <v>4129</v>
      </c>
      <c r="H157" t="s">
        <v>38</v>
      </c>
      <c r="I157" t="s">
        <v>4130</v>
      </c>
      <c r="J157" t="s">
        <v>4131</v>
      </c>
      <c r="K157" t="s">
        <v>4132</v>
      </c>
      <c r="L157" t="s">
        <v>4133</v>
      </c>
      <c r="M157" t="s">
        <v>4134</v>
      </c>
      <c r="O157" t="s">
        <v>4135</v>
      </c>
      <c r="P157" t="s">
        <v>20</v>
      </c>
      <c r="Q157" t="s">
        <v>440</v>
      </c>
    </row>
    <row r="158" spans="1:20">
      <c r="A158" t="s">
        <v>4136</v>
      </c>
      <c r="B158" t="s">
        <v>4137</v>
      </c>
      <c r="C158" t="s">
        <v>89</v>
      </c>
      <c r="D158" t="s">
        <v>15</v>
      </c>
      <c r="E158" t="s">
        <v>457</v>
      </c>
      <c r="F158" t="s">
        <v>4138</v>
      </c>
      <c r="G158" t="s">
        <v>4139</v>
      </c>
      <c r="H158" t="s">
        <v>102</v>
      </c>
      <c r="I158" t="s">
        <v>4140</v>
      </c>
      <c r="J158" t="s">
        <v>4141</v>
      </c>
      <c r="K158" t="s">
        <v>4142</v>
      </c>
      <c r="L158" t="s">
        <v>4143</v>
      </c>
      <c r="M158" t="s">
        <v>4144</v>
      </c>
      <c r="O158" t="s">
        <v>4145</v>
      </c>
      <c r="P158" t="s">
        <v>20</v>
      </c>
      <c r="Q158" t="s">
        <v>440</v>
      </c>
    </row>
  </sheetData>
  <autoFilter ref="A1:T1" xr:uid="{00000000-0009-0000-0000-000004000000}"/>
  <phoneticPr fontId="15" type="noConversion"/>
  <dataValidations count="5">
    <dataValidation type="list" allowBlank="1" sqref="D2:D200" xr:uid="{00000000-0002-0000-0400-000000000000}">
      <formula1>"Web,App (iOS),App (Android),Web + App,공통"</formula1>
    </dataValidation>
    <dataValidation type="list" allowBlank="1" sqref="E2:E200" xr:uid="{00000000-0002-0000-0400-000001000000}">
      <formula1>"Critical,High,Medium,Low"</formula1>
    </dataValidation>
    <dataValidation type="list" allowBlank="1" sqref="H2:H200" xr:uid="{00000000-0002-0000-0400-000002000000}">
      <formula1>_xlfn._LONGTEXT("SCR-001,SCR-002,SCR-010,SCR-011,SCR-012,SCR-013,SCR-014,SCR-020,SCR-021,SCR-030,SCR-031,SCR-032,SCR-040,SCR-041,SCR-050,SCR-051,SCR-052,SCR-053,SCR-060,SCR-061,SCR-062,SCR-063,SCR-070,SCR-071,SCR-072,SCR-073,SCR-080,SCR-081,SCR-090,SCR-091,SCR-092,SCR-093",",SCR-094")</formula1>
    </dataValidation>
    <dataValidation type="list" allowBlank="1" sqref="P2:P200" xr:uid="{00000000-0002-0000-0400-000003000000}">
      <formula1>"작성중,검토중,확정,변경필요,삭제"</formula1>
    </dataValidation>
    <dataValidation type="list" allowBlank="1" sqref="Q2:Q200" xr:uid="{00000000-0002-0000-0400-000004000000}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8"/>
  <sheetViews>
    <sheetView tabSelected="1" workbookViewId="0"/>
  </sheetViews>
  <sheetFormatPr baseColWidth="10" defaultColWidth="8.83203125" defaultRowHeight="17"/>
  <cols>
    <col min="1" max="1" width="12" customWidth="1"/>
    <col min="2" max="2" width="20" customWidth="1"/>
    <col min="3" max="3" width="8" customWidth="1"/>
    <col min="4" max="4" width="25" customWidth="1"/>
    <col min="5" max="5" width="30" customWidth="1"/>
    <col min="6" max="6" width="25" customWidth="1"/>
    <col min="7" max="8" width="35" customWidth="1"/>
    <col min="9" max="9" width="30" customWidth="1"/>
    <col min="10" max="10" width="10" customWidth="1"/>
    <col min="11" max="11" width="12" customWidth="1"/>
    <col min="12" max="13" width="10" customWidth="1"/>
    <col min="14" max="14" width="12" customWidth="1"/>
    <col min="15" max="15" width="18" customWidth="1"/>
    <col min="16" max="16" width="16" customWidth="1"/>
    <col min="17" max="17" width="20" customWidth="1"/>
    <col min="18" max="18" width="25" customWidth="1"/>
  </cols>
  <sheetData>
    <row r="1" spans="1:18">
      <c r="A1" s="1" t="s">
        <v>2054</v>
      </c>
      <c r="B1" s="1" t="s">
        <v>4146</v>
      </c>
      <c r="C1" s="1" t="s">
        <v>4147</v>
      </c>
      <c r="D1" s="1" t="s">
        <v>4148</v>
      </c>
      <c r="E1" s="1" t="s">
        <v>9</v>
      </c>
      <c r="F1" s="1" t="s">
        <v>4149</v>
      </c>
      <c r="G1" s="1" t="s">
        <v>4150</v>
      </c>
      <c r="H1" s="1" t="s">
        <v>4151</v>
      </c>
      <c r="I1" s="1" t="s">
        <v>4152</v>
      </c>
      <c r="J1" s="1" t="s">
        <v>4153</v>
      </c>
      <c r="K1" s="1" t="s">
        <v>3</v>
      </c>
      <c r="L1" s="1" t="s">
        <v>2053</v>
      </c>
      <c r="M1" s="1" t="s">
        <v>10</v>
      </c>
      <c r="N1" s="1" t="s">
        <v>432</v>
      </c>
      <c r="O1" s="1" t="s">
        <v>433</v>
      </c>
      <c r="P1" s="1" t="s">
        <v>2060</v>
      </c>
      <c r="Q1" s="1" t="s">
        <v>11</v>
      </c>
      <c r="R1" s="1" t="s">
        <v>3241</v>
      </c>
    </row>
    <row r="2" spans="1:18" ht="105">
      <c r="A2" s="30" t="s">
        <v>2079</v>
      </c>
      <c r="B2" s="30" t="s">
        <v>13</v>
      </c>
      <c r="C2" s="30" t="s">
        <v>4154</v>
      </c>
      <c r="D2" s="31" t="s">
        <v>2085</v>
      </c>
      <c r="E2" s="31" t="s">
        <v>4155</v>
      </c>
      <c r="F2" s="31" t="s">
        <v>4156</v>
      </c>
      <c r="G2" s="31" t="s">
        <v>4157</v>
      </c>
      <c r="H2" s="31" t="s">
        <v>4158</v>
      </c>
      <c r="I2" s="31" t="s">
        <v>4159</v>
      </c>
      <c r="J2" s="31" t="s">
        <v>17</v>
      </c>
      <c r="K2" s="31" t="s">
        <v>14</v>
      </c>
      <c r="L2" s="31" t="s">
        <v>2078</v>
      </c>
      <c r="M2" s="31" t="s">
        <v>20</v>
      </c>
      <c r="N2" s="31"/>
      <c r="O2" s="31" t="s">
        <v>13</v>
      </c>
      <c r="P2" s="31" t="s">
        <v>13</v>
      </c>
      <c r="Q2" s="31" t="s">
        <v>4160</v>
      </c>
      <c r="R2" s="31">
        <v>5</v>
      </c>
    </row>
    <row r="3" spans="1:18" ht="60">
      <c r="A3" s="30" t="s">
        <v>4161</v>
      </c>
      <c r="B3" s="30" t="s">
        <v>4162</v>
      </c>
      <c r="C3" s="30" t="s">
        <v>4154</v>
      </c>
      <c r="D3" s="31" t="s">
        <v>4163</v>
      </c>
      <c r="E3" s="31" t="s">
        <v>4164</v>
      </c>
      <c r="F3" s="31" t="s">
        <v>4165</v>
      </c>
      <c r="G3" s="31"/>
      <c r="H3" s="31" t="s">
        <v>4166</v>
      </c>
      <c r="I3" s="31" t="s">
        <v>4167</v>
      </c>
      <c r="J3" s="31" t="s">
        <v>26</v>
      </c>
      <c r="K3" s="31" t="s">
        <v>24</v>
      </c>
      <c r="L3" s="31" t="s">
        <v>2078</v>
      </c>
      <c r="M3" s="31" t="s">
        <v>20</v>
      </c>
      <c r="N3" s="31"/>
      <c r="O3" s="31" t="s">
        <v>22</v>
      </c>
      <c r="P3" s="31" t="s">
        <v>13</v>
      </c>
      <c r="Q3" s="31" t="s">
        <v>4168</v>
      </c>
      <c r="R3" s="31">
        <v>8</v>
      </c>
    </row>
    <row r="4" spans="1:18" ht="120">
      <c r="A4" s="30" t="s">
        <v>2162</v>
      </c>
      <c r="B4" s="30" t="s">
        <v>4169</v>
      </c>
      <c r="C4" s="30" t="s">
        <v>4170</v>
      </c>
      <c r="D4" s="31" t="s">
        <v>2166</v>
      </c>
      <c r="E4" s="31" t="s">
        <v>4171</v>
      </c>
      <c r="F4" s="31" t="s">
        <v>4165</v>
      </c>
      <c r="G4" s="31"/>
      <c r="H4" s="31" t="s">
        <v>4172</v>
      </c>
      <c r="I4" s="31" t="s">
        <v>4173</v>
      </c>
      <c r="J4" s="31" t="s">
        <v>26</v>
      </c>
      <c r="K4" s="31" t="s">
        <v>24</v>
      </c>
      <c r="L4" s="31" t="s">
        <v>2161</v>
      </c>
      <c r="M4" s="31" t="s">
        <v>20</v>
      </c>
      <c r="N4" s="31"/>
      <c r="O4" s="31" t="s">
        <v>22</v>
      </c>
      <c r="P4" s="31" t="s">
        <v>2165</v>
      </c>
      <c r="Q4" s="31"/>
      <c r="R4" s="31">
        <v>8</v>
      </c>
    </row>
    <row r="5" spans="1:18" ht="90">
      <c r="A5" s="30" t="s">
        <v>2212</v>
      </c>
      <c r="B5" s="30" t="s">
        <v>4174</v>
      </c>
      <c r="C5" s="30" t="s">
        <v>4170</v>
      </c>
      <c r="D5" s="31" t="s">
        <v>2215</v>
      </c>
      <c r="E5" s="31" t="s">
        <v>4175</v>
      </c>
      <c r="F5" s="31" t="s">
        <v>4165</v>
      </c>
      <c r="G5" s="31"/>
      <c r="H5" s="31" t="s">
        <v>4176</v>
      </c>
      <c r="I5" s="31" t="s">
        <v>4173</v>
      </c>
      <c r="J5" s="31" t="s">
        <v>26</v>
      </c>
      <c r="K5" s="31" t="s">
        <v>24</v>
      </c>
      <c r="L5" s="31" t="s">
        <v>2161</v>
      </c>
      <c r="M5" s="31" t="s">
        <v>20</v>
      </c>
      <c r="N5" s="31"/>
      <c r="O5" s="31" t="s">
        <v>22</v>
      </c>
      <c r="P5" s="31" t="s">
        <v>2165</v>
      </c>
      <c r="Q5" s="31"/>
      <c r="R5" s="31">
        <v>8</v>
      </c>
    </row>
    <row r="6" spans="1:18" ht="90">
      <c r="A6" s="30" t="s">
        <v>2227</v>
      </c>
      <c r="B6" s="30" t="s">
        <v>4177</v>
      </c>
      <c r="C6" s="30" t="s">
        <v>4170</v>
      </c>
      <c r="D6" s="31" t="s">
        <v>2230</v>
      </c>
      <c r="E6" s="31" t="s">
        <v>4178</v>
      </c>
      <c r="F6" s="31" t="s">
        <v>4165</v>
      </c>
      <c r="G6" s="31"/>
      <c r="H6" s="31" t="s">
        <v>4179</v>
      </c>
      <c r="I6" s="31" t="s">
        <v>4180</v>
      </c>
      <c r="J6" s="31" t="s">
        <v>26</v>
      </c>
      <c r="K6" s="31" t="s">
        <v>24</v>
      </c>
      <c r="L6" s="31" t="s">
        <v>2161</v>
      </c>
      <c r="M6" s="31" t="s">
        <v>20</v>
      </c>
      <c r="N6" s="31"/>
      <c r="O6" s="31" t="s">
        <v>22</v>
      </c>
      <c r="P6" s="31" t="s">
        <v>2165</v>
      </c>
      <c r="Q6" s="31"/>
      <c r="R6" s="31">
        <v>8</v>
      </c>
    </row>
    <row r="7" spans="1:18" ht="90">
      <c r="A7" s="30" t="s">
        <v>2189</v>
      </c>
      <c r="B7" s="30" t="s">
        <v>4181</v>
      </c>
      <c r="C7" s="30" t="s">
        <v>4170</v>
      </c>
      <c r="D7" s="31" t="s">
        <v>2192</v>
      </c>
      <c r="E7" s="31" t="s">
        <v>4182</v>
      </c>
      <c r="F7" s="31" t="s">
        <v>4165</v>
      </c>
      <c r="G7" s="31"/>
      <c r="H7" s="31" t="s">
        <v>4183</v>
      </c>
      <c r="I7" s="31" t="s">
        <v>4180</v>
      </c>
      <c r="J7" s="31" t="s">
        <v>26</v>
      </c>
      <c r="K7" s="31" t="s">
        <v>24</v>
      </c>
      <c r="L7" s="31" t="s">
        <v>2161</v>
      </c>
      <c r="M7" s="31" t="s">
        <v>20</v>
      </c>
      <c r="N7" s="31"/>
      <c r="O7" s="31" t="s">
        <v>22</v>
      </c>
      <c r="P7" s="31" t="s">
        <v>2165</v>
      </c>
      <c r="Q7" s="31"/>
      <c r="R7" s="31">
        <v>8</v>
      </c>
    </row>
    <row r="8" spans="1:18" ht="105">
      <c r="A8" s="30" t="s">
        <v>2255</v>
      </c>
      <c r="B8" s="30" t="s">
        <v>4184</v>
      </c>
      <c r="C8" s="30" t="s">
        <v>4170</v>
      </c>
      <c r="D8" s="31" t="s">
        <v>2261</v>
      </c>
      <c r="E8" s="31" t="s">
        <v>4185</v>
      </c>
      <c r="F8" s="31" t="s">
        <v>4165</v>
      </c>
      <c r="G8" s="31" t="s">
        <v>4186</v>
      </c>
      <c r="H8" s="31" t="s">
        <v>4187</v>
      </c>
      <c r="I8" s="31" t="s">
        <v>4188</v>
      </c>
      <c r="J8" s="31" t="s">
        <v>26</v>
      </c>
      <c r="K8" s="31" t="s">
        <v>32</v>
      </c>
      <c r="L8" s="31" t="s">
        <v>2254</v>
      </c>
      <c r="M8" s="31" t="s">
        <v>20</v>
      </c>
      <c r="N8" s="31"/>
      <c r="O8" s="31" t="s">
        <v>33</v>
      </c>
      <c r="P8" s="31" t="s">
        <v>2260</v>
      </c>
      <c r="Q8" s="31"/>
      <c r="R8" s="31">
        <v>8</v>
      </c>
    </row>
    <row r="9" spans="1:18" ht="120">
      <c r="A9" s="30" t="s">
        <v>2316</v>
      </c>
      <c r="B9" s="30" t="s">
        <v>2319</v>
      </c>
      <c r="C9" s="30" t="s">
        <v>4170</v>
      </c>
      <c r="D9" s="31" t="s">
        <v>2320</v>
      </c>
      <c r="E9" s="31" t="s">
        <v>4189</v>
      </c>
      <c r="F9" s="31" t="s">
        <v>4165</v>
      </c>
      <c r="G9" s="31"/>
      <c r="H9" s="31" t="s">
        <v>4190</v>
      </c>
      <c r="I9" s="31" t="s">
        <v>4191</v>
      </c>
      <c r="J9" s="31" t="s">
        <v>26</v>
      </c>
      <c r="K9" s="31" t="s">
        <v>38</v>
      </c>
      <c r="L9" s="31" t="s">
        <v>2315</v>
      </c>
      <c r="M9" s="31" t="s">
        <v>20</v>
      </c>
      <c r="N9" s="31"/>
      <c r="O9" s="31" t="s">
        <v>39</v>
      </c>
      <c r="P9" s="31" t="s">
        <v>2319</v>
      </c>
      <c r="Q9" s="31"/>
      <c r="R9" s="31">
        <v>6</v>
      </c>
    </row>
    <row r="10" spans="1:18" ht="150">
      <c r="A10" s="30" t="s">
        <v>2365</v>
      </c>
      <c r="B10" s="30" t="s">
        <v>44</v>
      </c>
      <c r="C10" s="30" t="s">
        <v>4154</v>
      </c>
      <c r="D10" s="31" t="s">
        <v>2261</v>
      </c>
      <c r="E10" s="31" t="s">
        <v>3271</v>
      </c>
      <c r="F10" s="31" t="s">
        <v>4192</v>
      </c>
      <c r="G10" s="31" t="s">
        <v>4193</v>
      </c>
      <c r="H10" s="31" t="s">
        <v>4194</v>
      </c>
      <c r="I10" s="31" t="s">
        <v>4195</v>
      </c>
      <c r="J10" s="31" t="s">
        <v>26</v>
      </c>
      <c r="K10" s="31" t="s">
        <v>43</v>
      </c>
      <c r="L10" s="31" t="s">
        <v>2305</v>
      </c>
      <c r="M10" s="31" t="s">
        <v>20</v>
      </c>
      <c r="N10" s="31"/>
      <c r="O10" s="31" t="s">
        <v>44</v>
      </c>
      <c r="P10" s="31" t="s">
        <v>44</v>
      </c>
      <c r="Q10" s="31"/>
      <c r="R10" s="31">
        <v>10</v>
      </c>
    </row>
    <row r="11" spans="1:18" ht="120">
      <c r="A11" s="30" t="s">
        <v>3016</v>
      </c>
      <c r="B11" s="30" t="s">
        <v>48</v>
      </c>
      <c r="C11" s="30" t="s">
        <v>4196</v>
      </c>
      <c r="D11" s="31" t="s">
        <v>2320</v>
      </c>
      <c r="E11" s="31" t="s">
        <v>3279</v>
      </c>
      <c r="F11" s="31" t="s">
        <v>4192</v>
      </c>
      <c r="G11" s="31" t="s">
        <v>4197</v>
      </c>
      <c r="H11" s="31" t="s">
        <v>4198</v>
      </c>
      <c r="I11" s="31" t="s">
        <v>4191</v>
      </c>
      <c r="J11" s="31" t="s">
        <v>26</v>
      </c>
      <c r="K11" s="31" t="s">
        <v>47</v>
      </c>
      <c r="L11" s="31" t="s">
        <v>3015</v>
      </c>
      <c r="M11" s="31" t="s">
        <v>20</v>
      </c>
      <c r="N11" s="31"/>
      <c r="O11" s="31" t="s">
        <v>48</v>
      </c>
      <c r="P11" s="31" t="s">
        <v>3019</v>
      </c>
      <c r="Q11" s="31"/>
      <c r="R11" s="31">
        <v>2</v>
      </c>
    </row>
    <row r="12" spans="1:18" ht="60">
      <c r="A12" s="30" t="s">
        <v>4199</v>
      </c>
      <c r="B12" s="30" t="s">
        <v>4200</v>
      </c>
      <c r="C12" s="30" t="s">
        <v>4201</v>
      </c>
      <c r="D12" s="31" t="s">
        <v>2320</v>
      </c>
      <c r="E12" s="31" t="s">
        <v>4202</v>
      </c>
      <c r="F12" s="31" t="s">
        <v>4165</v>
      </c>
      <c r="G12" s="31"/>
      <c r="H12" s="31" t="s">
        <v>4203</v>
      </c>
      <c r="I12" s="31" t="s">
        <v>4204</v>
      </c>
      <c r="J12" s="31" t="s">
        <v>26</v>
      </c>
      <c r="K12" s="31" t="s">
        <v>38</v>
      </c>
      <c r="L12" s="31" t="s">
        <v>3015</v>
      </c>
      <c r="M12" s="31" t="s">
        <v>20</v>
      </c>
      <c r="N12" s="31"/>
      <c r="O12" s="31" t="s">
        <v>39</v>
      </c>
      <c r="P12" s="31" t="s">
        <v>3019</v>
      </c>
      <c r="Q12" s="31"/>
      <c r="R12" s="31">
        <v>6</v>
      </c>
    </row>
    <row r="13" spans="1:18" ht="105">
      <c r="A13" s="30" t="s">
        <v>4205</v>
      </c>
      <c r="B13" s="30" t="s">
        <v>4206</v>
      </c>
      <c r="C13" s="30" t="s">
        <v>4170</v>
      </c>
      <c r="D13" s="31" t="s">
        <v>4207</v>
      </c>
      <c r="E13" s="31" t="s">
        <v>4208</v>
      </c>
      <c r="F13" s="31" t="s">
        <v>4165</v>
      </c>
      <c r="G13" s="31"/>
      <c r="H13" s="31" t="s">
        <v>4209</v>
      </c>
      <c r="I13" s="31" t="s">
        <v>4210</v>
      </c>
      <c r="J13" s="31" t="s">
        <v>26</v>
      </c>
      <c r="K13" s="31" t="s">
        <v>32</v>
      </c>
      <c r="L13" s="31" t="s">
        <v>2254</v>
      </c>
      <c r="M13" s="31" t="s">
        <v>20</v>
      </c>
      <c r="N13" s="31"/>
      <c r="O13" s="31" t="s">
        <v>33</v>
      </c>
      <c r="P13" s="31" t="s">
        <v>2260</v>
      </c>
      <c r="Q13" s="31"/>
      <c r="R13" s="31">
        <v>8</v>
      </c>
    </row>
    <row r="14" spans="1:18" ht="120">
      <c r="A14" s="30" t="s">
        <v>2332</v>
      </c>
      <c r="B14" s="30" t="s">
        <v>3048</v>
      </c>
      <c r="C14" s="30" t="s">
        <v>4170</v>
      </c>
      <c r="D14" s="31" t="s">
        <v>2335</v>
      </c>
      <c r="E14" s="31" t="s">
        <v>4211</v>
      </c>
      <c r="F14" s="31" t="s">
        <v>4165</v>
      </c>
      <c r="G14" s="31" t="s">
        <v>4212</v>
      </c>
      <c r="H14" s="31" t="s">
        <v>4213</v>
      </c>
      <c r="I14" s="31" t="s">
        <v>4180</v>
      </c>
      <c r="J14" s="31" t="s">
        <v>26</v>
      </c>
      <c r="K14" s="31" t="s">
        <v>60</v>
      </c>
      <c r="L14" s="31" t="s">
        <v>3044</v>
      </c>
      <c r="M14" s="31" t="s">
        <v>20</v>
      </c>
      <c r="N14" s="31"/>
      <c r="O14" s="31" t="s">
        <v>61</v>
      </c>
      <c r="P14" s="31" t="s">
        <v>3048</v>
      </c>
      <c r="Q14" s="31"/>
      <c r="R14" s="31">
        <v>2</v>
      </c>
    </row>
    <row r="15" spans="1:18" ht="90">
      <c r="A15" s="30" t="s">
        <v>4214</v>
      </c>
      <c r="B15" s="30" t="s">
        <v>4215</v>
      </c>
      <c r="C15" s="30" t="s">
        <v>4154</v>
      </c>
      <c r="D15" s="31" t="s">
        <v>2335</v>
      </c>
      <c r="E15" s="31" t="s">
        <v>4216</v>
      </c>
      <c r="F15" s="31" t="s">
        <v>4192</v>
      </c>
      <c r="G15" s="31" t="s">
        <v>4217</v>
      </c>
      <c r="H15" s="31" t="s">
        <v>4218</v>
      </c>
      <c r="I15" s="31" t="s">
        <v>4219</v>
      </c>
      <c r="J15" s="31" t="s">
        <v>26</v>
      </c>
      <c r="K15" s="31" t="s">
        <v>60</v>
      </c>
      <c r="L15" s="31" t="s">
        <v>3044</v>
      </c>
      <c r="M15" s="31" t="s">
        <v>20</v>
      </c>
      <c r="N15" s="31"/>
      <c r="O15" s="31" t="s">
        <v>61</v>
      </c>
      <c r="P15" s="31" t="s">
        <v>3048</v>
      </c>
      <c r="Q15" s="31"/>
      <c r="R15" s="31">
        <v>2</v>
      </c>
    </row>
    <row r="16" spans="1:18" ht="120">
      <c r="A16" s="30" t="s">
        <v>2340</v>
      </c>
      <c r="B16" s="30" t="s">
        <v>75</v>
      </c>
      <c r="C16" s="30" t="s">
        <v>4170</v>
      </c>
      <c r="D16" s="31" t="s">
        <v>2343</v>
      </c>
      <c r="E16" s="31" t="s">
        <v>4220</v>
      </c>
      <c r="F16" s="31" t="s">
        <v>4165</v>
      </c>
      <c r="G16" s="31" t="s">
        <v>4221</v>
      </c>
      <c r="H16" s="31" t="s">
        <v>4222</v>
      </c>
      <c r="I16" s="31" t="s">
        <v>4223</v>
      </c>
      <c r="J16" s="31" t="s">
        <v>26</v>
      </c>
      <c r="K16" s="31" t="s">
        <v>74</v>
      </c>
      <c r="L16" s="31" t="s">
        <v>2444</v>
      </c>
      <c r="M16" s="31" t="s">
        <v>20</v>
      </c>
      <c r="N16" s="31"/>
      <c r="O16" s="31" t="s">
        <v>75</v>
      </c>
      <c r="P16" s="31" t="s">
        <v>2449</v>
      </c>
      <c r="Q16" s="31"/>
      <c r="R16" s="31">
        <v>7</v>
      </c>
    </row>
    <row r="17" spans="1:18" ht="120">
      <c r="A17" s="30" t="s">
        <v>2521</v>
      </c>
      <c r="B17" s="30" t="s">
        <v>4224</v>
      </c>
      <c r="C17" s="30" t="s">
        <v>4154</v>
      </c>
      <c r="D17" s="31" t="s">
        <v>2343</v>
      </c>
      <c r="E17" s="31" t="s">
        <v>4225</v>
      </c>
      <c r="F17" s="31" t="s">
        <v>4192</v>
      </c>
      <c r="G17" s="31" t="s">
        <v>4226</v>
      </c>
      <c r="H17" s="31" t="s">
        <v>4227</v>
      </c>
      <c r="I17" s="31" t="s">
        <v>4228</v>
      </c>
      <c r="J17" s="31" t="s">
        <v>26</v>
      </c>
      <c r="K17" s="31" t="s">
        <v>84</v>
      </c>
      <c r="L17" s="31" t="s">
        <v>2520</v>
      </c>
      <c r="M17" s="31" t="s">
        <v>20</v>
      </c>
      <c r="N17" s="31"/>
      <c r="O17" s="31" t="s">
        <v>85</v>
      </c>
      <c r="P17" s="31" t="s">
        <v>2524</v>
      </c>
      <c r="Q17" s="31"/>
      <c r="R17" s="31">
        <v>4</v>
      </c>
    </row>
    <row r="18" spans="1:18" ht="105">
      <c r="A18" s="30" t="s">
        <v>2474</v>
      </c>
      <c r="B18" s="30" t="s">
        <v>4229</v>
      </c>
      <c r="C18" s="30" t="s">
        <v>4170</v>
      </c>
      <c r="D18" s="31" t="s">
        <v>2477</v>
      </c>
      <c r="E18" s="31" t="s">
        <v>4230</v>
      </c>
      <c r="F18" s="31" t="s">
        <v>4165</v>
      </c>
      <c r="G18" s="31" t="s">
        <v>4231</v>
      </c>
      <c r="H18" s="31" t="s">
        <v>4232</v>
      </c>
      <c r="I18" s="31" t="s">
        <v>4210</v>
      </c>
      <c r="J18" s="31" t="s">
        <v>26</v>
      </c>
      <c r="K18" s="31" t="s">
        <v>74</v>
      </c>
      <c r="L18" s="31" t="s">
        <v>2444</v>
      </c>
      <c r="M18" s="31" t="s">
        <v>20</v>
      </c>
      <c r="N18" s="31"/>
      <c r="O18" s="31" t="s">
        <v>75</v>
      </c>
      <c r="P18" s="31" t="s">
        <v>2449</v>
      </c>
      <c r="Q18" s="31"/>
      <c r="R18" s="31">
        <v>7</v>
      </c>
    </row>
    <row r="19" spans="1:18" ht="105">
      <c r="A19" s="30" t="s">
        <v>2490</v>
      </c>
      <c r="B19" s="30" t="s">
        <v>2766</v>
      </c>
      <c r="C19" s="30" t="s">
        <v>4170</v>
      </c>
      <c r="D19" s="31" t="s">
        <v>2494</v>
      </c>
      <c r="E19" s="31" t="s">
        <v>4233</v>
      </c>
      <c r="F19" s="31" t="s">
        <v>4165</v>
      </c>
      <c r="G19" s="31" t="s">
        <v>4234</v>
      </c>
      <c r="H19" s="31" t="s">
        <v>4235</v>
      </c>
      <c r="I19" s="31" t="s">
        <v>4180</v>
      </c>
      <c r="J19" s="31" t="s">
        <v>26</v>
      </c>
      <c r="K19" s="31" t="s">
        <v>91</v>
      </c>
      <c r="L19" s="31" t="s">
        <v>2763</v>
      </c>
      <c r="M19" s="31" t="s">
        <v>20</v>
      </c>
      <c r="N19" s="31"/>
      <c r="O19" s="31" t="s">
        <v>92</v>
      </c>
      <c r="P19" s="31" t="s">
        <v>2766</v>
      </c>
      <c r="Q19" s="31"/>
      <c r="R19" s="31">
        <v>3</v>
      </c>
    </row>
    <row r="20" spans="1:18" ht="120">
      <c r="A20" s="30" t="s">
        <v>2785</v>
      </c>
      <c r="B20" s="30" t="s">
        <v>96</v>
      </c>
      <c r="C20" s="30" t="s">
        <v>4154</v>
      </c>
      <c r="D20" s="31" t="s">
        <v>2494</v>
      </c>
      <c r="E20" s="31" t="s">
        <v>4236</v>
      </c>
      <c r="F20" s="31" t="s">
        <v>4192</v>
      </c>
      <c r="G20" s="31" t="s">
        <v>4237</v>
      </c>
      <c r="H20" s="31" t="s">
        <v>4238</v>
      </c>
      <c r="I20" s="31" t="s">
        <v>4239</v>
      </c>
      <c r="J20" s="31" t="s">
        <v>26</v>
      </c>
      <c r="K20" s="31" t="s">
        <v>95</v>
      </c>
      <c r="L20" s="31" t="s">
        <v>2776</v>
      </c>
      <c r="M20" s="31" t="s">
        <v>20</v>
      </c>
      <c r="N20" s="31"/>
      <c r="O20" s="31" t="s">
        <v>96</v>
      </c>
      <c r="P20" s="31" t="s">
        <v>2778</v>
      </c>
      <c r="Q20" s="31"/>
      <c r="R20" s="31">
        <v>4</v>
      </c>
    </row>
    <row r="21" spans="1:18" ht="90">
      <c r="A21" s="30" t="s">
        <v>2551</v>
      </c>
      <c r="B21" s="30" t="s">
        <v>4240</v>
      </c>
      <c r="C21" s="30" t="s">
        <v>4170</v>
      </c>
      <c r="D21" s="31" t="s">
        <v>2554</v>
      </c>
      <c r="E21" s="31" t="s">
        <v>4241</v>
      </c>
      <c r="F21" s="31" t="s">
        <v>4165</v>
      </c>
      <c r="G21" s="31" t="s">
        <v>4242</v>
      </c>
      <c r="H21" s="31" t="s">
        <v>4243</v>
      </c>
      <c r="I21" s="31" t="s">
        <v>4180</v>
      </c>
      <c r="J21" s="31" t="s">
        <v>26</v>
      </c>
      <c r="K21" s="31" t="s">
        <v>102</v>
      </c>
      <c r="L21" s="31" t="s">
        <v>2550</v>
      </c>
      <c r="M21" s="31" t="s">
        <v>20</v>
      </c>
      <c r="N21" s="31"/>
      <c r="O21" s="31" t="s">
        <v>103</v>
      </c>
      <c r="P21" s="31" t="s">
        <v>2553</v>
      </c>
      <c r="Q21" s="31"/>
      <c r="R21" s="31">
        <v>4</v>
      </c>
    </row>
    <row r="22" spans="1:18" ht="90">
      <c r="A22" s="30" t="s">
        <v>2823</v>
      </c>
      <c r="B22" s="30" t="s">
        <v>4244</v>
      </c>
      <c r="C22" s="30" t="s">
        <v>4245</v>
      </c>
      <c r="D22" s="31" t="s">
        <v>2827</v>
      </c>
      <c r="E22" s="31" t="s">
        <v>4246</v>
      </c>
      <c r="F22" s="31" t="s">
        <v>4192</v>
      </c>
      <c r="G22" s="31" t="s">
        <v>4247</v>
      </c>
      <c r="H22" s="31" t="s">
        <v>4248</v>
      </c>
      <c r="I22" s="31" t="s">
        <v>4249</v>
      </c>
      <c r="J22" s="31" t="s">
        <v>26</v>
      </c>
      <c r="K22" s="31" t="s">
        <v>107</v>
      </c>
      <c r="L22" s="31" t="s">
        <v>2811</v>
      </c>
      <c r="M22" s="31" t="s">
        <v>20</v>
      </c>
      <c r="N22" s="31"/>
      <c r="O22" s="31" t="s">
        <v>108</v>
      </c>
      <c r="P22" s="31" t="s">
        <v>2812</v>
      </c>
      <c r="Q22" s="31"/>
      <c r="R22" s="31">
        <v>4</v>
      </c>
    </row>
    <row r="23" spans="1:18" ht="90">
      <c r="A23" s="30" t="s">
        <v>2581</v>
      </c>
      <c r="B23" s="30" t="s">
        <v>2583</v>
      </c>
      <c r="C23" s="30" t="s">
        <v>4170</v>
      </c>
      <c r="D23" s="31" t="s">
        <v>2584</v>
      </c>
      <c r="E23" s="31" t="s">
        <v>4250</v>
      </c>
      <c r="F23" s="31" t="s">
        <v>4165</v>
      </c>
      <c r="G23" s="31" t="s">
        <v>4251</v>
      </c>
      <c r="H23" s="31" t="s">
        <v>4252</v>
      </c>
      <c r="I23" s="31" t="s">
        <v>4253</v>
      </c>
      <c r="J23" s="31" t="s">
        <v>26</v>
      </c>
      <c r="K23" s="31" t="s">
        <v>125</v>
      </c>
      <c r="L23" s="31" t="s">
        <v>2580</v>
      </c>
      <c r="M23" s="31" t="s">
        <v>20</v>
      </c>
      <c r="N23" s="31"/>
      <c r="O23" s="31" t="s">
        <v>126</v>
      </c>
      <c r="P23" s="31" t="s">
        <v>2583</v>
      </c>
      <c r="Q23" s="31"/>
      <c r="R23" s="31">
        <v>5</v>
      </c>
    </row>
    <row r="24" spans="1:18" ht="120">
      <c r="A24" s="30" t="s">
        <v>2838</v>
      </c>
      <c r="B24" s="30" t="s">
        <v>131</v>
      </c>
      <c r="C24" s="30" t="s">
        <v>4154</v>
      </c>
      <c r="D24" s="31" t="s">
        <v>2584</v>
      </c>
      <c r="E24" s="31" t="s">
        <v>4254</v>
      </c>
      <c r="F24" s="31" t="s">
        <v>4192</v>
      </c>
      <c r="G24" s="31" t="s">
        <v>4255</v>
      </c>
      <c r="H24" s="31" t="s">
        <v>4256</v>
      </c>
      <c r="I24" s="31" t="s">
        <v>4257</v>
      </c>
      <c r="J24" s="31" t="s">
        <v>26</v>
      </c>
      <c r="K24" s="31" t="s">
        <v>130</v>
      </c>
      <c r="L24" s="31" t="s">
        <v>2603</v>
      </c>
      <c r="M24" s="31" t="s">
        <v>20</v>
      </c>
      <c r="N24" s="31"/>
      <c r="O24" s="31" t="s">
        <v>131</v>
      </c>
      <c r="P24" s="31" t="s">
        <v>2605</v>
      </c>
      <c r="Q24" s="31"/>
      <c r="R24" s="31">
        <v>5</v>
      </c>
    </row>
    <row r="25" spans="1:18" ht="90">
      <c r="A25" s="30" t="s">
        <v>4258</v>
      </c>
      <c r="B25" s="30" t="s">
        <v>4259</v>
      </c>
      <c r="C25" s="30" t="s">
        <v>4196</v>
      </c>
      <c r="D25" s="31" t="s">
        <v>4260</v>
      </c>
      <c r="E25" s="31" t="s">
        <v>4261</v>
      </c>
      <c r="F25" s="31" t="s">
        <v>4192</v>
      </c>
      <c r="G25" s="31" t="s">
        <v>4262</v>
      </c>
      <c r="H25" s="31" t="s">
        <v>4263</v>
      </c>
      <c r="I25" s="31" t="s">
        <v>4264</v>
      </c>
      <c r="J25" s="31" t="s">
        <v>26</v>
      </c>
      <c r="K25" s="31" t="s">
        <v>125</v>
      </c>
      <c r="L25" s="31" t="s">
        <v>2603</v>
      </c>
      <c r="M25" s="31" t="s">
        <v>20</v>
      </c>
      <c r="N25" s="31"/>
      <c r="O25" s="31" t="s">
        <v>126</v>
      </c>
      <c r="P25" s="31" t="s">
        <v>2605</v>
      </c>
      <c r="Q25" s="31"/>
      <c r="R25" s="31">
        <v>5</v>
      </c>
    </row>
    <row r="26" spans="1:18" ht="60">
      <c r="A26" s="30" t="s">
        <v>4265</v>
      </c>
      <c r="B26" s="30" t="s">
        <v>4266</v>
      </c>
      <c r="C26" s="30" t="s">
        <v>4201</v>
      </c>
      <c r="D26" s="31" t="s">
        <v>4260</v>
      </c>
      <c r="E26" s="31" t="s">
        <v>4267</v>
      </c>
      <c r="F26" s="31" t="s">
        <v>4165</v>
      </c>
      <c r="G26" s="31"/>
      <c r="H26" s="31" t="s">
        <v>4268</v>
      </c>
      <c r="I26" s="31" t="s">
        <v>4204</v>
      </c>
      <c r="J26" s="31" t="s">
        <v>26</v>
      </c>
      <c r="K26" s="31" t="s">
        <v>125</v>
      </c>
      <c r="L26" s="31" t="s">
        <v>2603</v>
      </c>
      <c r="M26" s="31" t="s">
        <v>20</v>
      </c>
      <c r="N26" s="31"/>
      <c r="O26" s="31" t="s">
        <v>126</v>
      </c>
      <c r="P26" s="31" t="s">
        <v>2605</v>
      </c>
      <c r="Q26" s="31"/>
      <c r="R26" s="31">
        <v>5</v>
      </c>
    </row>
    <row r="27" spans="1:18" ht="90">
      <c r="A27" s="30" t="s">
        <v>4269</v>
      </c>
      <c r="B27" s="30" t="s">
        <v>4270</v>
      </c>
      <c r="C27" s="30" t="s">
        <v>4170</v>
      </c>
      <c r="D27" s="31" t="s">
        <v>4271</v>
      </c>
      <c r="E27" s="31" t="s">
        <v>4272</v>
      </c>
      <c r="F27" s="31" t="s">
        <v>4165</v>
      </c>
      <c r="G27" s="31" t="s">
        <v>4273</v>
      </c>
      <c r="H27" s="31" t="s">
        <v>4274</v>
      </c>
      <c r="I27" s="31" t="s">
        <v>4180</v>
      </c>
      <c r="J27" s="31" t="s">
        <v>26</v>
      </c>
      <c r="K27" s="31" t="s">
        <v>135</v>
      </c>
      <c r="L27" s="31" t="s">
        <v>2868</v>
      </c>
      <c r="M27" s="31" t="s">
        <v>20</v>
      </c>
      <c r="N27" s="31"/>
      <c r="O27" s="31" t="s">
        <v>136</v>
      </c>
      <c r="P27" s="31" t="s">
        <v>2872</v>
      </c>
      <c r="Q27" s="31"/>
      <c r="R27" s="31">
        <v>3</v>
      </c>
    </row>
    <row r="28" spans="1:18" ht="75">
      <c r="A28" s="30" t="s">
        <v>2752</v>
      </c>
      <c r="B28" s="30" t="s">
        <v>4275</v>
      </c>
      <c r="C28" s="30" t="s">
        <v>4154</v>
      </c>
      <c r="D28" s="31" t="s">
        <v>2757</v>
      </c>
      <c r="E28" s="31" t="s">
        <v>4276</v>
      </c>
      <c r="F28" s="31" t="s">
        <v>4192</v>
      </c>
      <c r="G28" s="31" t="s">
        <v>4277</v>
      </c>
      <c r="H28" s="31" t="s">
        <v>4278</v>
      </c>
      <c r="I28" s="31" t="s">
        <v>4279</v>
      </c>
      <c r="J28" s="31" t="s">
        <v>26</v>
      </c>
      <c r="K28" s="31" t="s">
        <v>206</v>
      </c>
      <c r="L28" s="31" t="s">
        <v>2737</v>
      </c>
      <c r="M28" s="31" t="s">
        <v>20</v>
      </c>
      <c r="N28" s="31"/>
      <c r="O28" s="31" t="s">
        <v>207</v>
      </c>
      <c r="P28" s="31" t="s">
        <v>207</v>
      </c>
      <c r="Q28" s="31"/>
      <c r="R28" s="31">
        <v>3</v>
      </c>
    </row>
    <row r="29" spans="1:18" ht="60">
      <c r="A29" s="30" t="s">
        <v>4280</v>
      </c>
      <c r="B29" s="30" t="s">
        <v>4281</v>
      </c>
      <c r="C29" s="30" t="s">
        <v>4170</v>
      </c>
      <c r="D29" s="31" t="s">
        <v>2343</v>
      </c>
      <c r="E29" s="31" t="s">
        <v>4282</v>
      </c>
      <c r="F29" s="31" t="s">
        <v>4165</v>
      </c>
      <c r="G29" s="31" t="s">
        <v>4283</v>
      </c>
      <c r="H29" s="31" t="s">
        <v>4284</v>
      </c>
      <c r="I29" s="31" t="s">
        <v>4285</v>
      </c>
      <c r="J29" s="31" t="s">
        <v>26</v>
      </c>
      <c r="K29" s="31" t="s">
        <v>74</v>
      </c>
      <c r="L29" s="31" t="s">
        <v>2489</v>
      </c>
      <c r="M29" s="31" t="s">
        <v>20</v>
      </c>
      <c r="N29" s="31"/>
      <c r="O29" s="31" t="s">
        <v>4286</v>
      </c>
      <c r="P29" s="31" t="s">
        <v>75</v>
      </c>
      <c r="Q29" s="31" t="s">
        <v>4287</v>
      </c>
      <c r="R29" s="31" t="s">
        <v>821</v>
      </c>
    </row>
    <row r="30" spans="1:18" ht="45">
      <c r="A30" s="30" t="s">
        <v>4288</v>
      </c>
      <c r="B30" s="30" t="s">
        <v>4289</v>
      </c>
      <c r="C30" s="30" t="s">
        <v>4170</v>
      </c>
      <c r="D30" s="31" t="s">
        <v>4290</v>
      </c>
      <c r="E30" s="31" t="s">
        <v>4291</v>
      </c>
      <c r="F30" s="31" t="s">
        <v>4165</v>
      </c>
      <c r="G30" s="31" t="s">
        <v>4292</v>
      </c>
      <c r="H30" s="31" t="s">
        <v>4293</v>
      </c>
      <c r="I30" s="31" t="s">
        <v>4294</v>
      </c>
      <c r="J30" s="31" t="s">
        <v>26</v>
      </c>
      <c r="K30" s="31" t="s">
        <v>74</v>
      </c>
      <c r="L30" s="31" t="s">
        <v>2489</v>
      </c>
      <c r="M30" s="31" t="s">
        <v>20</v>
      </c>
      <c r="N30" s="31"/>
      <c r="O30" s="31" t="s">
        <v>4286</v>
      </c>
      <c r="P30" s="31" t="s">
        <v>75</v>
      </c>
      <c r="Q30" s="31" t="s">
        <v>4295</v>
      </c>
      <c r="R30" s="31" t="s">
        <v>821</v>
      </c>
    </row>
    <row r="31" spans="1:18" ht="165">
      <c r="A31" s="30" t="s">
        <v>4296</v>
      </c>
      <c r="B31" s="30" t="s">
        <v>4297</v>
      </c>
      <c r="C31" s="30" t="s">
        <v>4154</v>
      </c>
      <c r="D31" s="31" t="s">
        <v>2343</v>
      </c>
      <c r="E31" s="31" t="s">
        <v>4298</v>
      </c>
      <c r="F31" s="31" t="s">
        <v>4165</v>
      </c>
      <c r="G31" s="31" t="s">
        <v>4299</v>
      </c>
      <c r="H31" s="31" t="s">
        <v>4300</v>
      </c>
      <c r="I31" s="31" t="s">
        <v>4301</v>
      </c>
      <c r="J31" s="31" t="s">
        <v>26</v>
      </c>
      <c r="K31" s="31" t="s">
        <v>80</v>
      </c>
      <c r="L31" s="31" t="s">
        <v>2520</v>
      </c>
      <c r="M31" s="31" t="s">
        <v>20</v>
      </c>
      <c r="N31" s="31"/>
      <c r="O31" s="31" t="s">
        <v>85</v>
      </c>
      <c r="P31" s="31" t="s">
        <v>4297</v>
      </c>
      <c r="Q31" s="31" t="s">
        <v>4302</v>
      </c>
      <c r="R31" s="31" t="s">
        <v>838</v>
      </c>
    </row>
    <row r="32" spans="1:18" ht="60">
      <c r="A32" s="30" t="s">
        <v>4303</v>
      </c>
      <c r="B32" s="30" t="s">
        <v>4304</v>
      </c>
      <c r="C32" s="30" t="s">
        <v>4196</v>
      </c>
      <c r="D32" s="31" t="s">
        <v>4290</v>
      </c>
      <c r="E32" s="31" t="s">
        <v>4305</v>
      </c>
      <c r="F32" s="31" t="s">
        <v>4165</v>
      </c>
      <c r="G32" s="31" t="s">
        <v>4306</v>
      </c>
      <c r="H32" s="31" t="s">
        <v>4307</v>
      </c>
      <c r="I32" s="31" t="s">
        <v>4308</v>
      </c>
      <c r="J32" s="31" t="s">
        <v>26</v>
      </c>
      <c r="K32" s="31" t="s">
        <v>74</v>
      </c>
      <c r="L32" s="31" t="s">
        <v>2763</v>
      </c>
      <c r="M32" s="31" t="s">
        <v>20</v>
      </c>
      <c r="N32" s="31"/>
      <c r="O32" s="31" t="s">
        <v>4286</v>
      </c>
      <c r="P32" s="31" t="s">
        <v>4304</v>
      </c>
      <c r="Q32" s="31"/>
      <c r="R32" s="31" t="s">
        <v>821</v>
      </c>
    </row>
    <row r="33" spans="1:18" ht="45">
      <c r="A33" s="30" t="s">
        <v>4309</v>
      </c>
      <c r="B33" s="30" t="s">
        <v>4310</v>
      </c>
      <c r="C33" s="30" t="s">
        <v>4201</v>
      </c>
      <c r="D33" s="31" t="s">
        <v>4290</v>
      </c>
      <c r="E33" s="31" t="s">
        <v>4311</v>
      </c>
      <c r="F33" s="31" t="s">
        <v>4165</v>
      </c>
      <c r="G33" s="31" t="s">
        <v>4292</v>
      </c>
      <c r="H33" s="31" t="s">
        <v>4312</v>
      </c>
      <c r="I33" s="31" t="s">
        <v>4313</v>
      </c>
      <c r="J33" s="31" t="s">
        <v>26</v>
      </c>
      <c r="K33" s="31" t="s">
        <v>74</v>
      </c>
      <c r="L33" s="31" t="s">
        <v>2776</v>
      </c>
      <c r="M33" s="31" t="s">
        <v>20</v>
      </c>
      <c r="N33" s="31"/>
      <c r="O33" s="31" t="s">
        <v>4286</v>
      </c>
      <c r="P33" s="31" t="s">
        <v>4310</v>
      </c>
      <c r="Q33" s="31" t="s">
        <v>4314</v>
      </c>
      <c r="R33" s="31" t="s">
        <v>821</v>
      </c>
    </row>
    <row r="34" spans="1:18" ht="150">
      <c r="A34" s="30" t="s">
        <v>4315</v>
      </c>
      <c r="B34" s="30" t="s">
        <v>4316</v>
      </c>
      <c r="C34" s="30" t="s">
        <v>4170</v>
      </c>
      <c r="D34" s="31" t="s">
        <v>4317</v>
      </c>
      <c r="E34" s="31" t="s">
        <v>4318</v>
      </c>
      <c r="F34" s="31" t="s">
        <v>4165</v>
      </c>
      <c r="G34" s="31" t="s">
        <v>4319</v>
      </c>
      <c r="H34" s="31" t="s">
        <v>4320</v>
      </c>
      <c r="I34" s="31" t="s">
        <v>4285</v>
      </c>
      <c r="J34" s="31" t="s">
        <v>26</v>
      </c>
      <c r="K34" s="31" t="s">
        <v>74</v>
      </c>
      <c r="L34" s="31" t="s">
        <v>2489</v>
      </c>
      <c r="M34" s="31" t="s">
        <v>20</v>
      </c>
      <c r="N34" s="31"/>
      <c r="O34" s="31" t="s">
        <v>4286</v>
      </c>
      <c r="P34" s="31" t="s">
        <v>75</v>
      </c>
      <c r="Q34" s="31" t="s">
        <v>4321</v>
      </c>
      <c r="R34" s="31" t="s">
        <v>821</v>
      </c>
    </row>
    <row r="35" spans="1:18" ht="60">
      <c r="A35" s="30" t="s">
        <v>4322</v>
      </c>
      <c r="B35" s="30" t="s">
        <v>2766</v>
      </c>
      <c r="C35" s="30" t="s">
        <v>4170</v>
      </c>
      <c r="D35" s="31" t="s">
        <v>2494</v>
      </c>
      <c r="E35" s="31" t="s">
        <v>4323</v>
      </c>
      <c r="F35" s="31" t="s">
        <v>4165</v>
      </c>
      <c r="G35" s="31" t="s">
        <v>4324</v>
      </c>
      <c r="H35" s="31" t="s">
        <v>4325</v>
      </c>
      <c r="I35" s="31" t="s">
        <v>4285</v>
      </c>
      <c r="J35" s="31" t="s">
        <v>26</v>
      </c>
      <c r="K35" s="31" t="s">
        <v>91</v>
      </c>
      <c r="L35" s="31" t="s">
        <v>2550</v>
      </c>
      <c r="M35" s="31" t="s">
        <v>20</v>
      </c>
      <c r="N35" s="31"/>
      <c r="O35" s="31" t="s">
        <v>92</v>
      </c>
      <c r="P35" s="31" t="s">
        <v>4326</v>
      </c>
      <c r="Q35" s="31" t="s">
        <v>4327</v>
      </c>
      <c r="R35" s="31" t="s">
        <v>872</v>
      </c>
    </row>
    <row r="36" spans="1:18" ht="45">
      <c r="A36" s="30" t="s">
        <v>4328</v>
      </c>
      <c r="B36" s="30" t="s">
        <v>4329</v>
      </c>
      <c r="C36" s="30" t="s">
        <v>4170</v>
      </c>
      <c r="D36" s="31" t="s">
        <v>4330</v>
      </c>
      <c r="E36" s="31" t="s">
        <v>4331</v>
      </c>
      <c r="F36" s="31" t="s">
        <v>4165</v>
      </c>
      <c r="G36" s="31" t="s">
        <v>4292</v>
      </c>
      <c r="H36" s="31" t="s">
        <v>4332</v>
      </c>
      <c r="I36" s="31" t="s">
        <v>4294</v>
      </c>
      <c r="J36" s="31" t="s">
        <v>26</v>
      </c>
      <c r="K36" s="31" t="s">
        <v>91</v>
      </c>
      <c r="L36" s="31" t="s">
        <v>2550</v>
      </c>
      <c r="M36" s="31" t="s">
        <v>20</v>
      </c>
      <c r="N36" s="31"/>
      <c r="O36" s="31" t="s">
        <v>92</v>
      </c>
      <c r="P36" s="31" t="s">
        <v>4326</v>
      </c>
      <c r="Q36" s="31"/>
      <c r="R36" s="31" t="s">
        <v>872</v>
      </c>
    </row>
    <row r="37" spans="1:18" ht="150">
      <c r="A37" s="30" t="s">
        <v>4333</v>
      </c>
      <c r="B37" s="30" t="s">
        <v>96</v>
      </c>
      <c r="C37" s="30" t="s">
        <v>4154</v>
      </c>
      <c r="D37" s="31" t="s">
        <v>2494</v>
      </c>
      <c r="E37" s="31" t="s">
        <v>4236</v>
      </c>
      <c r="F37" s="31" t="s">
        <v>4165</v>
      </c>
      <c r="G37" s="31" t="s">
        <v>4334</v>
      </c>
      <c r="H37" s="31" t="s">
        <v>4335</v>
      </c>
      <c r="I37" s="31" t="s">
        <v>4301</v>
      </c>
      <c r="J37" s="31" t="s">
        <v>26</v>
      </c>
      <c r="K37" s="31" t="s">
        <v>95</v>
      </c>
      <c r="L37" s="31" t="s">
        <v>2811</v>
      </c>
      <c r="M37" s="31" t="s">
        <v>20</v>
      </c>
      <c r="N37" s="31"/>
      <c r="O37" s="31" t="s">
        <v>96</v>
      </c>
      <c r="P37" s="31" t="s">
        <v>96</v>
      </c>
      <c r="Q37" s="31" t="s">
        <v>4336</v>
      </c>
      <c r="R37" s="31" t="s">
        <v>885</v>
      </c>
    </row>
    <row r="38" spans="1:18" ht="60">
      <c r="A38" s="30" t="s">
        <v>4337</v>
      </c>
      <c r="B38" s="30" t="s">
        <v>4338</v>
      </c>
      <c r="C38" s="30" t="s">
        <v>4196</v>
      </c>
      <c r="D38" s="31" t="s">
        <v>4330</v>
      </c>
      <c r="E38" s="31" t="s">
        <v>4339</v>
      </c>
      <c r="F38" s="31" t="s">
        <v>4165</v>
      </c>
      <c r="G38" s="31" t="s">
        <v>4340</v>
      </c>
      <c r="H38" s="31" t="s">
        <v>4341</v>
      </c>
      <c r="I38" s="31" t="s">
        <v>4308</v>
      </c>
      <c r="J38" s="31" t="s">
        <v>26</v>
      </c>
      <c r="K38" s="31" t="s">
        <v>95</v>
      </c>
      <c r="L38" s="31" t="s">
        <v>2937</v>
      </c>
      <c r="M38" s="31" t="s">
        <v>20</v>
      </c>
      <c r="N38" s="31"/>
      <c r="O38" s="31" t="s">
        <v>96</v>
      </c>
      <c r="P38" s="31" t="s">
        <v>4338</v>
      </c>
      <c r="Q38" s="31"/>
      <c r="R38" s="31" t="s">
        <v>885</v>
      </c>
    </row>
    <row r="39" spans="1:18" ht="45">
      <c r="A39" s="30" t="s">
        <v>4342</v>
      </c>
      <c r="B39" s="30" t="s">
        <v>4343</v>
      </c>
      <c r="C39" s="30" t="s">
        <v>4201</v>
      </c>
      <c r="D39" s="31" t="s">
        <v>4330</v>
      </c>
      <c r="E39" s="31" t="s">
        <v>4344</v>
      </c>
      <c r="F39" s="31" t="s">
        <v>4165</v>
      </c>
      <c r="G39" s="31" t="s">
        <v>4292</v>
      </c>
      <c r="H39" s="31" t="s">
        <v>4345</v>
      </c>
      <c r="I39" s="31" t="s">
        <v>4313</v>
      </c>
      <c r="J39" s="31" t="s">
        <v>26</v>
      </c>
      <c r="K39" s="31" t="s">
        <v>91</v>
      </c>
      <c r="L39" s="31" t="s">
        <v>2958</v>
      </c>
      <c r="M39" s="31" t="s">
        <v>20</v>
      </c>
      <c r="N39" s="31"/>
      <c r="O39" s="31" t="s">
        <v>92</v>
      </c>
      <c r="P39" s="31" t="s">
        <v>4343</v>
      </c>
      <c r="Q39" s="31" t="s">
        <v>4346</v>
      </c>
      <c r="R39" s="31" t="s">
        <v>872</v>
      </c>
    </row>
    <row r="40" spans="1:18" ht="75">
      <c r="A40" s="30" t="s">
        <v>4145</v>
      </c>
      <c r="B40" s="30" t="s">
        <v>4240</v>
      </c>
      <c r="C40" s="30" t="s">
        <v>4170</v>
      </c>
      <c r="D40" s="31" t="s">
        <v>2554</v>
      </c>
      <c r="E40" s="31" t="s">
        <v>4347</v>
      </c>
      <c r="F40" s="31" t="s">
        <v>4165</v>
      </c>
      <c r="G40" s="31" t="s">
        <v>4348</v>
      </c>
      <c r="H40" s="31" t="s">
        <v>4349</v>
      </c>
      <c r="I40" s="31" t="s">
        <v>4350</v>
      </c>
      <c r="J40" s="31" t="s">
        <v>26</v>
      </c>
      <c r="K40" s="31" t="s">
        <v>125</v>
      </c>
      <c r="L40" s="31" t="s">
        <v>2580</v>
      </c>
      <c r="M40" s="31" t="s">
        <v>20</v>
      </c>
      <c r="N40" s="31"/>
      <c r="O40" s="31" t="s">
        <v>103</v>
      </c>
      <c r="P40" s="31" t="s">
        <v>4351</v>
      </c>
      <c r="Q40" s="31" t="s">
        <v>4352</v>
      </c>
      <c r="R40" s="31" t="s">
        <v>947</v>
      </c>
    </row>
    <row r="41" spans="1:18" ht="90">
      <c r="A41" s="30" t="s">
        <v>4353</v>
      </c>
      <c r="B41" s="30" t="s">
        <v>4354</v>
      </c>
      <c r="C41" s="30" t="s">
        <v>4196</v>
      </c>
      <c r="D41" s="31" t="s">
        <v>4355</v>
      </c>
      <c r="E41" s="31" t="s">
        <v>4356</v>
      </c>
      <c r="F41" s="31" t="s">
        <v>4165</v>
      </c>
      <c r="G41" s="31" t="s">
        <v>4357</v>
      </c>
      <c r="H41" s="31" t="s">
        <v>4358</v>
      </c>
      <c r="I41" s="31" t="s">
        <v>4359</v>
      </c>
      <c r="J41" s="31" t="s">
        <v>26</v>
      </c>
      <c r="K41" s="31" t="s">
        <v>125</v>
      </c>
      <c r="L41" s="31" t="s">
        <v>2603</v>
      </c>
      <c r="M41" s="31" t="s">
        <v>20</v>
      </c>
      <c r="N41" s="31"/>
      <c r="O41" s="31" t="s">
        <v>103</v>
      </c>
      <c r="P41" s="31" t="s">
        <v>4354</v>
      </c>
      <c r="Q41" s="31" t="s">
        <v>4360</v>
      </c>
      <c r="R41" s="31" t="s">
        <v>947</v>
      </c>
    </row>
    <row r="42" spans="1:18" ht="60">
      <c r="A42" s="30" t="s">
        <v>4361</v>
      </c>
      <c r="B42" s="30" t="s">
        <v>4362</v>
      </c>
      <c r="C42" s="30" t="s">
        <v>4196</v>
      </c>
      <c r="D42" s="31" t="s">
        <v>4363</v>
      </c>
      <c r="E42" s="31" t="s">
        <v>4364</v>
      </c>
      <c r="F42" s="31" t="s">
        <v>4165</v>
      </c>
      <c r="G42" s="31" t="s">
        <v>4292</v>
      </c>
      <c r="H42" s="31" t="s">
        <v>4365</v>
      </c>
      <c r="I42" s="31" t="s">
        <v>4366</v>
      </c>
      <c r="J42" s="31" t="s">
        <v>26</v>
      </c>
      <c r="K42" s="31" t="s">
        <v>125</v>
      </c>
      <c r="L42" s="31" t="s">
        <v>2868</v>
      </c>
      <c r="M42" s="31" t="s">
        <v>20</v>
      </c>
      <c r="N42" s="31"/>
      <c r="O42" s="31" t="s">
        <v>103</v>
      </c>
      <c r="P42" s="31" t="s">
        <v>4362</v>
      </c>
      <c r="Q42" s="31" t="s">
        <v>4367</v>
      </c>
      <c r="R42" s="31" t="s">
        <v>947</v>
      </c>
    </row>
    <row r="43" spans="1:18" ht="75">
      <c r="A43" s="30" t="s">
        <v>4368</v>
      </c>
      <c r="B43" s="30" t="s">
        <v>4369</v>
      </c>
      <c r="C43" s="30" t="s">
        <v>4196</v>
      </c>
      <c r="D43" s="31" t="s">
        <v>4370</v>
      </c>
      <c r="E43" s="31" t="s">
        <v>4371</v>
      </c>
      <c r="F43" s="31" t="s">
        <v>4165</v>
      </c>
      <c r="G43" s="31" t="s">
        <v>4372</v>
      </c>
      <c r="H43" s="31" t="s">
        <v>4373</v>
      </c>
      <c r="I43" s="31" t="s">
        <v>4374</v>
      </c>
      <c r="J43" s="31" t="s">
        <v>26</v>
      </c>
      <c r="K43" s="31" t="s">
        <v>130</v>
      </c>
      <c r="L43" s="31" t="s">
        <v>3073</v>
      </c>
      <c r="M43" s="31" t="s">
        <v>20</v>
      </c>
      <c r="N43" s="31"/>
      <c r="O43" s="31" t="s">
        <v>108</v>
      </c>
      <c r="P43" s="31" t="s">
        <v>4375</v>
      </c>
      <c r="Q43" s="31"/>
      <c r="R43" s="31" t="s">
        <v>957</v>
      </c>
    </row>
    <row r="44" spans="1:18" ht="75">
      <c r="A44" s="30" t="s">
        <v>4376</v>
      </c>
      <c r="B44" s="30" t="s">
        <v>2583</v>
      </c>
      <c r="C44" s="30" t="s">
        <v>4170</v>
      </c>
      <c r="D44" s="31" t="s">
        <v>2584</v>
      </c>
      <c r="E44" s="31" t="s">
        <v>4377</v>
      </c>
      <c r="F44" s="31" t="s">
        <v>4165</v>
      </c>
      <c r="G44" s="31" t="s">
        <v>4378</v>
      </c>
      <c r="H44" s="31" t="s">
        <v>4379</v>
      </c>
      <c r="I44" s="31" t="s">
        <v>4380</v>
      </c>
      <c r="J44" s="31" t="s">
        <v>26</v>
      </c>
      <c r="K44" s="31" t="s">
        <v>102</v>
      </c>
      <c r="L44" s="31" t="s">
        <v>2612</v>
      </c>
      <c r="M44" s="31" t="s">
        <v>20</v>
      </c>
      <c r="N44" s="31"/>
      <c r="O44" s="31" t="s">
        <v>126</v>
      </c>
      <c r="P44" s="31" t="s">
        <v>4381</v>
      </c>
      <c r="Q44" s="31" t="s">
        <v>4382</v>
      </c>
      <c r="R44" s="31" t="s">
        <v>903</v>
      </c>
    </row>
    <row r="45" spans="1:18" ht="60">
      <c r="A45" s="30" t="s">
        <v>4383</v>
      </c>
      <c r="B45" s="30" t="s">
        <v>4384</v>
      </c>
      <c r="C45" s="30" t="s">
        <v>4170</v>
      </c>
      <c r="D45" s="31" t="s">
        <v>4385</v>
      </c>
      <c r="E45" s="31" t="s">
        <v>4386</v>
      </c>
      <c r="F45" s="31" t="s">
        <v>4165</v>
      </c>
      <c r="G45" s="31" t="s">
        <v>4292</v>
      </c>
      <c r="H45" s="31" t="s">
        <v>4387</v>
      </c>
      <c r="I45" s="31" t="s">
        <v>4388</v>
      </c>
      <c r="J45" s="31" t="s">
        <v>26</v>
      </c>
      <c r="K45" s="31" t="s">
        <v>102</v>
      </c>
      <c r="L45" s="31" t="s">
        <v>2612</v>
      </c>
      <c r="M45" s="31" t="s">
        <v>20</v>
      </c>
      <c r="N45" s="31"/>
      <c r="O45" s="31" t="s">
        <v>126</v>
      </c>
      <c r="P45" s="31" t="s">
        <v>4381</v>
      </c>
      <c r="Q45" s="31"/>
      <c r="R45" s="31" t="s">
        <v>903</v>
      </c>
    </row>
    <row r="46" spans="1:18" ht="150">
      <c r="A46" s="30" t="s">
        <v>4389</v>
      </c>
      <c r="B46" s="30" t="s">
        <v>131</v>
      </c>
      <c r="C46" s="30" t="s">
        <v>4154</v>
      </c>
      <c r="D46" s="31" t="s">
        <v>2584</v>
      </c>
      <c r="E46" s="31" t="s">
        <v>4254</v>
      </c>
      <c r="F46" s="31" t="s">
        <v>4165</v>
      </c>
      <c r="G46" s="31" t="s">
        <v>4390</v>
      </c>
      <c r="H46" s="31" t="s">
        <v>4391</v>
      </c>
      <c r="I46" s="31" t="s">
        <v>4392</v>
      </c>
      <c r="J46" s="31" t="s">
        <v>26</v>
      </c>
      <c r="K46" s="31" t="s">
        <v>107</v>
      </c>
      <c r="L46" s="31" t="s">
        <v>2891</v>
      </c>
      <c r="M46" s="31" t="s">
        <v>20</v>
      </c>
      <c r="N46" s="31"/>
      <c r="O46" s="31" t="s">
        <v>131</v>
      </c>
      <c r="P46" s="31" t="s">
        <v>131</v>
      </c>
      <c r="Q46" s="31" t="s">
        <v>4393</v>
      </c>
      <c r="R46" s="31" t="s">
        <v>917</v>
      </c>
    </row>
    <row r="47" spans="1:18" ht="60">
      <c r="A47" s="30" t="s">
        <v>4394</v>
      </c>
      <c r="B47" s="30" t="s">
        <v>4259</v>
      </c>
      <c r="C47" s="30" t="s">
        <v>4196</v>
      </c>
      <c r="D47" s="31" t="s">
        <v>4385</v>
      </c>
      <c r="E47" s="31" t="s">
        <v>4395</v>
      </c>
      <c r="F47" s="31" t="s">
        <v>4165</v>
      </c>
      <c r="G47" s="31" t="s">
        <v>4396</v>
      </c>
      <c r="H47" s="31" t="s">
        <v>4397</v>
      </c>
      <c r="I47" s="31" t="s">
        <v>4398</v>
      </c>
      <c r="J47" s="31" t="s">
        <v>26</v>
      </c>
      <c r="K47" s="31" t="s">
        <v>107</v>
      </c>
      <c r="L47" s="31" t="s">
        <v>2906</v>
      </c>
      <c r="M47" s="31" t="s">
        <v>20</v>
      </c>
      <c r="N47" s="31"/>
      <c r="O47" s="31" t="s">
        <v>131</v>
      </c>
      <c r="P47" s="31" t="s">
        <v>4259</v>
      </c>
      <c r="Q47" s="31"/>
      <c r="R47" s="31" t="s">
        <v>917</v>
      </c>
    </row>
    <row r="48" spans="1:18" ht="60">
      <c r="A48" s="30" t="s">
        <v>4399</v>
      </c>
      <c r="B48" s="30" t="s">
        <v>4266</v>
      </c>
      <c r="C48" s="30" t="s">
        <v>4201</v>
      </c>
      <c r="D48" s="31" t="s">
        <v>4385</v>
      </c>
      <c r="E48" s="31" t="s">
        <v>4400</v>
      </c>
      <c r="F48" s="31" t="s">
        <v>4165</v>
      </c>
      <c r="G48" s="31" t="s">
        <v>4292</v>
      </c>
      <c r="H48" s="31" t="s">
        <v>4401</v>
      </c>
      <c r="I48" s="31" t="s">
        <v>4402</v>
      </c>
      <c r="J48" s="31" t="s">
        <v>26</v>
      </c>
      <c r="K48" s="31" t="s">
        <v>102</v>
      </c>
      <c r="L48" s="31" t="s">
        <v>2917</v>
      </c>
      <c r="M48" s="31" t="s">
        <v>20</v>
      </c>
      <c r="N48" s="31"/>
      <c r="O48" s="31" t="s">
        <v>126</v>
      </c>
      <c r="P48" s="31" t="s">
        <v>4266</v>
      </c>
      <c r="Q48" s="31" t="s">
        <v>4403</v>
      </c>
      <c r="R48" s="31" t="s">
        <v>903</v>
      </c>
    </row>
    <row r="49" spans="1:18" ht="75">
      <c r="A49" s="30" t="s">
        <v>4052</v>
      </c>
      <c r="B49" s="30" t="s">
        <v>4404</v>
      </c>
      <c r="C49" s="30" t="s">
        <v>4170</v>
      </c>
      <c r="D49" s="31" t="s">
        <v>4405</v>
      </c>
      <c r="E49" s="31" t="s">
        <v>4406</v>
      </c>
      <c r="F49" s="31" t="s">
        <v>4165</v>
      </c>
      <c r="G49" s="31" t="s">
        <v>4407</v>
      </c>
      <c r="H49" s="31" t="s">
        <v>4408</v>
      </c>
      <c r="I49" s="31" t="s">
        <v>4409</v>
      </c>
      <c r="J49" s="31" t="s">
        <v>26</v>
      </c>
      <c r="K49" s="31" t="s">
        <v>113</v>
      </c>
      <c r="L49" s="31" t="s">
        <v>2648</v>
      </c>
      <c r="M49" s="31" t="s">
        <v>20</v>
      </c>
      <c r="N49" s="31"/>
      <c r="O49" s="31" t="s">
        <v>2872</v>
      </c>
      <c r="P49" s="31" t="s">
        <v>4410</v>
      </c>
      <c r="Q49" s="31" t="s">
        <v>4411</v>
      </c>
      <c r="R49" s="31" t="s">
        <v>931</v>
      </c>
    </row>
    <row r="50" spans="1:18" ht="90">
      <c r="A50" s="30" t="s">
        <v>4061</v>
      </c>
      <c r="B50" s="30" t="s">
        <v>4412</v>
      </c>
      <c r="C50" s="30" t="s">
        <v>4170</v>
      </c>
      <c r="D50" s="31" t="s">
        <v>4413</v>
      </c>
      <c r="E50" s="31" t="s">
        <v>4414</v>
      </c>
      <c r="F50" s="31" t="s">
        <v>4165</v>
      </c>
      <c r="G50" s="31" t="s">
        <v>4415</v>
      </c>
      <c r="H50" s="31" t="s">
        <v>4416</v>
      </c>
      <c r="I50" s="31" t="s">
        <v>4417</v>
      </c>
      <c r="J50" s="31" t="s">
        <v>26</v>
      </c>
      <c r="K50" s="31" t="s">
        <v>119</v>
      </c>
      <c r="L50" s="31" t="s">
        <v>2972</v>
      </c>
      <c r="M50" s="31" t="s">
        <v>20</v>
      </c>
      <c r="N50" s="31"/>
      <c r="O50" s="31" t="s">
        <v>4418</v>
      </c>
      <c r="P50" s="31" t="s">
        <v>4412</v>
      </c>
      <c r="Q50" s="31" t="s">
        <v>4419</v>
      </c>
      <c r="R50" s="31" t="s">
        <v>938</v>
      </c>
    </row>
    <row r="51" spans="1:18" ht="150">
      <c r="A51" s="30" t="s">
        <v>4070</v>
      </c>
      <c r="B51" s="30" t="s">
        <v>4420</v>
      </c>
      <c r="C51" s="30" t="s">
        <v>4154</v>
      </c>
      <c r="D51" s="31" t="s">
        <v>4405</v>
      </c>
      <c r="E51" s="31" t="s">
        <v>4421</v>
      </c>
      <c r="F51" s="31" t="s">
        <v>4165</v>
      </c>
      <c r="G51" s="31" t="s">
        <v>4422</v>
      </c>
      <c r="H51" s="31" t="s">
        <v>4423</v>
      </c>
      <c r="I51" s="31" t="s">
        <v>4424</v>
      </c>
      <c r="J51" s="31" t="s">
        <v>26</v>
      </c>
      <c r="K51" s="31" t="s">
        <v>113</v>
      </c>
      <c r="L51" s="31" t="s">
        <v>2696</v>
      </c>
      <c r="M51" s="31" t="s">
        <v>20</v>
      </c>
      <c r="N51" s="31"/>
      <c r="O51" s="31" t="s">
        <v>2872</v>
      </c>
      <c r="P51" s="31" t="s">
        <v>4420</v>
      </c>
      <c r="Q51" s="31" t="s">
        <v>4425</v>
      </c>
      <c r="R51" s="31" t="s">
        <v>931</v>
      </c>
    </row>
    <row r="52" spans="1:18" ht="75">
      <c r="A52" s="30" t="s">
        <v>4078</v>
      </c>
      <c r="B52" s="30" t="s">
        <v>4426</v>
      </c>
      <c r="C52" s="30" t="s">
        <v>4196</v>
      </c>
      <c r="D52" s="31" t="s">
        <v>4427</v>
      </c>
      <c r="E52" s="31" t="s">
        <v>4428</v>
      </c>
      <c r="F52" s="31" t="s">
        <v>4165</v>
      </c>
      <c r="G52" s="31" t="s">
        <v>4415</v>
      </c>
      <c r="H52" s="31" t="s">
        <v>4429</v>
      </c>
      <c r="I52" s="31" t="s">
        <v>4430</v>
      </c>
      <c r="J52" s="31" t="s">
        <v>26</v>
      </c>
      <c r="K52" s="31" t="s">
        <v>113</v>
      </c>
      <c r="L52" s="31" t="s">
        <v>2716</v>
      </c>
      <c r="M52" s="31" t="s">
        <v>20</v>
      </c>
      <c r="N52" s="31"/>
      <c r="O52" s="31" t="s">
        <v>2872</v>
      </c>
      <c r="P52" s="31" t="s">
        <v>4431</v>
      </c>
      <c r="Q52" s="31" t="s">
        <v>4432</v>
      </c>
      <c r="R52" s="31" t="s">
        <v>931</v>
      </c>
    </row>
    <row r="53" spans="1:18" ht="105">
      <c r="A53" s="30" t="s">
        <v>4433</v>
      </c>
      <c r="B53" s="30" t="s">
        <v>147</v>
      </c>
      <c r="C53" s="30" t="s">
        <v>4154</v>
      </c>
      <c r="D53" s="31" t="s">
        <v>4434</v>
      </c>
      <c r="E53" s="31" t="s">
        <v>4435</v>
      </c>
      <c r="F53" s="31" t="s">
        <v>4165</v>
      </c>
      <c r="G53" s="31" t="s">
        <v>4436</v>
      </c>
      <c r="H53" s="31" t="s">
        <v>4437</v>
      </c>
      <c r="I53" s="31" t="s">
        <v>4438</v>
      </c>
      <c r="J53" s="31" t="s">
        <v>26</v>
      </c>
      <c r="K53" s="31" t="s">
        <v>135</v>
      </c>
      <c r="L53" s="31" t="s">
        <v>2983</v>
      </c>
      <c r="M53" s="31" t="s">
        <v>20</v>
      </c>
      <c r="N53" s="31"/>
      <c r="O53" s="31" t="s">
        <v>147</v>
      </c>
      <c r="P53" s="31" t="s">
        <v>147</v>
      </c>
      <c r="Q53" s="31" t="s">
        <v>4439</v>
      </c>
      <c r="R53" s="31" t="s">
        <v>970</v>
      </c>
    </row>
    <row r="54" spans="1:18" ht="60">
      <c r="A54" s="30" t="s">
        <v>4440</v>
      </c>
      <c r="B54" s="30" t="s">
        <v>4441</v>
      </c>
      <c r="C54" s="30" t="s">
        <v>4170</v>
      </c>
      <c r="D54" s="31" t="s">
        <v>4442</v>
      </c>
      <c r="E54" s="31" t="s">
        <v>4443</v>
      </c>
      <c r="F54" s="31" t="s">
        <v>4165</v>
      </c>
      <c r="G54" s="31" t="s">
        <v>4444</v>
      </c>
      <c r="H54" s="31" t="s">
        <v>4445</v>
      </c>
      <c r="I54" s="31" t="s">
        <v>4446</v>
      </c>
      <c r="J54" s="31" t="s">
        <v>26</v>
      </c>
      <c r="K54" s="31" t="s">
        <v>140</v>
      </c>
      <c r="L54" s="31" t="s">
        <v>3000</v>
      </c>
      <c r="M54" s="31" t="s">
        <v>20</v>
      </c>
      <c r="N54" s="31"/>
      <c r="O54" s="31" t="s">
        <v>4447</v>
      </c>
      <c r="P54" s="31" t="s">
        <v>4441</v>
      </c>
      <c r="Q54" s="31" t="s">
        <v>4448</v>
      </c>
      <c r="R54" s="31" t="s">
        <v>978</v>
      </c>
    </row>
    <row r="55" spans="1:18" ht="165">
      <c r="A55" s="30" t="s">
        <v>4449</v>
      </c>
      <c r="B55" s="30" t="s">
        <v>4450</v>
      </c>
      <c r="C55" s="30" t="s">
        <v>4170</v>
      </c>
      <c r="D55" s="31" t="s">
        <v>4451</v>
      </c>
      <c r="E55" s="31" t="s">
        <v>4452</v>
      </c>
      <c r="F55" s="31" t="s">
        <v>4165</v>
      </c>
      <c r="G55" s="31" t="s">
        <v>4453</v>
      </c>
      <c r="H55" s="31" t="s">
        <v>4454</v>
      </c>
      <c r="I55" s="31" t="s">
        <v>4455</v>
      </c>
      <c r="J55" s="31" t="s">
        <v>26</v>
      </c>
      <c r="K55" s="31" t="s">
        <v>171</v>
      </c>
      <c r="L55" s="31" t="s">
        <v>2737</v>
      </c>
      <c r="M55" s="31" t="s">
        <v>20</v>
      </c>
      <c r="N55" s="31"/>
      <c r="O55" s="31" t="s">
        <v>182</v>
      </c>
      <c r="P55" s="31" t="s">
        <v>4450</v>
      </c>
      <c r="Q55" s="31" t="s">
        <v>4456</v>
      </c>
      <c r="R55" s="31" t="s">
        <v>1028</v>
      </c>
    </row>
    <row r="56" spans="1:18" ht="60">
      <c r="A56" s="30" t="s">
        <v>4457</v>
      </c>
      <c r="B56" s="30" t="s">
        <v>4458</v>
      </c>
      <c r="C56" s="30" t="s">
        <v>4196</v>
      </c>
      <c r="D56" s="31" t="s">
        <v>4451</v>
      </c>
      <c r="E56" s="31" t="s">
        <v>4459</v>
      </c>
      <c r="F56" s="31" t="s">
        <v>4165</v>
      </c>
      <c r="G56" s="31" t="s">
        <v>4460</v>
      </c>
      <c r="H56" s="31" t="s">
        <v>4461</v>
      </c>
      <c r="I56" s="31" t="s">
        <v>4462</v>
      </c>
      <c r="J56" s="31" t="s">
        <v>26</v>
      </c>
      <c r="K56" s="31" t="s">
        <v>171</v>
      </c>
      <c r="L56" s="31" t="s">
        <v>3497</v>
      </c>
      <c r="M56" s="31" t="s">
        <v>20</v>
      </c>
      <c r="N56" s="31"/>
      <c r="O56" s="31" t="s">
        <v>182</v>
      </c>
      <c r="P56" s="31" t="s">
        <v>4458</v>
      </c>
      <c r="Q56" s="31" t="s">
        <v>4463</v>
      </c>
      <c r="R56" s="31" t="s">
        <v>1028</v>
      </c>
    </row>
    <row r="57" spans="1:18" ht="60">
      <c r="A57" s="30" t="s">
        <v>4464</v>
      </c>
      <c r="B57" s="30" t="s">
        <v>4465</v>
      </c>
      <c r="C57" s="30" t="s">
        <v>4170</v>
      </c>
      <c r="D57" s="31" t="s">
        <v>4466</v>
      </c>
      <c r="E57" s="31" t="s">
        <v>4467</v>
      </c>
      <c r="F57" s="31" t="s">
        <v>4165</v>
      </c>
      <c r="G57" s="31" t="s">
        <v>4468</v>
      </c>
      <c r="H57" s="31" t="s">
        <v>4469</v>
      </c>
      <c r="I57" s="31" t="s">
        <v>4446</v>
      </c>
      <c r="J57" s="31" t="s">
        <v>26</v>
      </c>
      <c r="K57" s="31" t="s">
        <v>177</v>
      </c>
      <c r="L57" s="31" t="s">
        <v>3507</v>
      </c>
      <c r="M57" s="31" t="s">
        <v>20</v>
      </c>
      <c r="N57" s="31"/>
      <c r="O57" s="31" t="s">
        <v>207</v>
      </c>
      <c r="P57" s="31" t="s">
        <v>4470</v>
      </c>
      <c r="Q57" s="31" t="s">
        <v>4471</v>
      </c>
      <c r="R57" s="31" t="s">
        <v>1045</v>
      </c>
    </row>
    <row r="58" spans="1:18" ht="60">
      <c r="A58" s="30" t="s">
        <v>4472</v>
      </c>
      <c r="B58" s="30" t="s">
        <v>4473</v>
      </c>
      <c r="C58" s="30" t="s">
        <v>4170</v>
      </c>
      <c r="D58" s="31" t="s">
        <v>4474</v>
      </c>
      <c r="E58" s="31" t="s">
        <v>4475</v>
      </c>
      <c r="F58" s="31" t="s">
        <v>4165</v>
      </c>
      <c r="G58" s="31" t="s">
        <v>4292</v>
      </c>
      <c r="H58" s="31" t="s">
        <v>4476</v>
      </c>
      <c r="I58" s="31" t="s">
        <v>4477</v>
      </c>
      <c r="J58" s="31" t="s">
        <v>26</v>
      </c>
      <c r="K58" s="31" t="s">
        <v>177</v>
      </c>
      <c r="L58" s="31" t="s">
        <v>3507</v>
      </c>
      <c r="M58" s="31" t="s">
        <v>20</v>
      </c>
      <c r="N58" s="31"/>
      <c r="O58" s="31" t="s">
        <v>207</v>
      </c>
      <c r="P58" s="31" t="s">
        <v>4470</v>
      </c>
      <c r="Q58" s="31"/>
      <c r="R58" s="31" t="s">
        <v>1045</v>
      </c>
    </row>
    <row r="59" spans="1:18" ht="120">
      <c r="A59" s="30" t="s">
        <v>4478</v>
      </c>
      <c r="B59" s="30" t="s">
        <v>4479</v>
      </c>
      <c r="C59" s="30" t="s">
        <v>4154</v>
      </c>
      <c r="D59" s="31" t="s">
        <v>4480</v>
      </c>
      <c r="E59" s="31" t="s">
        <v>4481</v>
      </c>
      <c r="F59" s="31" t="s">
        <v>4165</v>
      </c>
      <c r="G59" s="31" t="s">
        <v>4482</v>
      </c>
      <c r="H59" s="31" t="s">
        <v>4483</v>
      </c>
      <c r="I59" s="31" t="s">
        <v>4484</v>
      </c>
      <c r="J59" s="31" t="s">
        <v>26</v>
      </c>
      <c r="K59" s="31" t="s">
        <v>177</v>
      </c>
      <c r="L59" s="31" t="s">
        <v>3517</v>
      </c>
      <c r="M59" s="31" t="s">
        <v>20</v>
      </c>
      <c r="N59" s="31"/>
      <c r="O59" s="31" t="s">
        <v>207</v>
      </c>
      <c r="P59" s="31" t="s">
        <v>4479</v>
      </c>
      <c r="Q59" s="31" t="s">
        <v>4485</v>
      </c>
      <c r="R59" s="31" t="s">
        <v>1045</v>
      </c>
    </row>
    <row r="60" spans="1:18" ht="60">
      <c r="A60" s="30" t="s">
        <v>4486</v>
      </c>
      <c r="B60" s="30" t="s">
        <v>4487</v>
      </c>
      <c r="C60" s="30" t="s">
        <v>4196</v>
      </c>
      <c r="D60" s="31" t="s">
        <v>4474</v>
      </c>
      <c r="E60" s="31" t="s">
        <v>4488</v>
      </c>
      <c r="F60" s="31" t="s">
        <v>4165</v>
      </c>
      <c r="G60" s="31" t="s">
        <v>4489</v>
      </c>
      <c r="H60" s="31" t="s">
        <v>4490</v>
      </c>
      <c r="I60" s="31" t="s">
        <v>4462</v>
      </c>
      <c r="J60" s="31" t="s">
        <v>26</v>
      </c>
      <c r="K60" s="31" t="s">
        <v>177</v>
      </c>
      <c r="L60" s="31" t="s">
        <v>3527</v>
      </c>
      <c r="M60" s="31" t="s">
        <v>20</v>
      </c>
      <c r="N60" s="31"/>
      <c r="O60" s="31" t="s">
        <v>207</v>
      </c>
      <c r="P60" s="31" t="s">
        <v>4487</v>
      </c>
      <c r="Q60" s="31" t="s">
        <v>4491</v>
      </c>
      <c r="R60" s="31" t="s">
        <v>1045</v>
      </c>
    </row>
    <row r="61" spans="1:18">
      <c r="A61" t="s">
        <v>4008</v>
      </c>
      <c r="B61" t="s">
        <v>4000</v>
      </c>
      <c r="C61" t="s">
        <v>4170</v>
      </c>
      <c r="D61" t="s">
        <v>4492</v>
      </c>
      <c r="E61" t="s">
        <v>4493</v>
      </c>
      <c r="F61" t="s">
        <v>4165</v>
      </c>
      <c r="H61" t="s">
        <v>4494</v>
      </c>
      <c r="I61" t="s">
        <v>4495</v>
      </c>
      <c r="J61" t="s">
        <v>26</v>
      </c>
      <c r="K61" t="s">
        <v>113</v>
      </c>
      <c r="L61" t="s">
        <v>4496</v>
      </c>
      <c r="M61" t="s">
        <v>2084</v>
      </c>
      <c r="Q61" t="s">
        <v>4497</v>
      </c>
    </row>
    <row r="62" spans="1:18">
      <c r="A62" t="s">
        <v>4018</v>
      </c>
      <c r="B62" t="s">
        <v>4011</v>
      </c>
      <c r="C62" t="s">
        <v>4154</v>
      </c>
      <c r="D62" t="s">
        <v>4492</v>
      </c>
      <c r="E62" t="s">
        <v>4498</v>
      </c>
      <c r="F62" t="s">
        <v>4165</v>
      </c>
      <c r="G62" t="s">
        <v>4499</v>
      </c>
      <c r="H62" t="s">
        <v>4500</v>
      </c>
      <c r="I62" t="s">
        <v>4495</v>
      </c>
      <c r="J62" t="s">
        <v>26</v>
      </c>
      <c r="K62" t="s">
        <v>113</v>
      </c>
      <c r="L62" t="s">
        <v>4496</v>
      </c>
      <c r="M62" t="s">
        <v>2084</v>
      </c>
      <c r="Q62" t="s">
        <v>4497</v>
      </c>
    </row>
    <row r="63" spans="1:18">
      <c r="A63" t="s">
        <v>4027</v>
      </c>
      <c r="B63" t="s">
        <v>4020</v>
      </c>
      <c r="C63" t="s">
        <v>4196</v>
      </c>
      <c r="D63" t="s">
        <v>4501</v>
      </c>
      <c r="E63" t="s">
        <v>4021</v>
      </c>
      <c r="F63" t="s">
        <v>4165</v>
      </c>
      <c r="G63" t="s">
        <v>4502</v>
      </c>
      <c r="H63" t="s">
        <v>4503</v>
      </c>
      <c r="I63" t="s">
        <v>4495</v>
      </c>
      <c r="J63" t="s">
        <v>26</v>
      </c>
      <c r="K63" t="s">
        <v>113</v>
      </c>
      <c r="L63" t="s">
        <v>4496</v>
      </c>
      <c r="M63" t="s">
        <v>2084</v>
      </c>
      <c r="Q63" t="s">
        <v>4497</v>
      </c>
    </row>
    <row r="64" spans="1:18">
      <c r="A64" t="s">
        <v>4504</v>
      </c>
      <c r="B64" t="s">
        <v>4505</v>
      </c>
      <c r="C64" t="s">
        <v>4196</v>
      </c>
      <c r="D64" t="s">
        <v>4506</v>
      </c>
      <c r="E64" t="s">
        <v>4507</v>
      </c>
      <c r="F64" t="s">
        <v>4165</v>
      </c>
      <c r="G64" t="s">
        <v>4508</v>
      </c>
      <c r="H64" t="s">
        <v>4503</v>
      </c>
      <c r="I64" t="s">
        <v>4495</v>
      </c>
      <c r="J64" t="s">
        <v>26</v>
      </c>
      <c r="K64" t="s">
        <v>113</v>
      </c>
      <c r="L64" t="s">
        <v>4496</v>
      </c>
      <c r="M64" t="s">
        <v>2084</v>
      </c>
    </row>
    <row r="65" spans="1:17">
      <c r="A65" t="s">
        <v>4509</v>
      </c>
      <c r="B65" t="s">
        <v>4510</v>
      </c>
      <c r="C65" t="s">
        <v>4170</v>
      </c>
      <c r="D65" t="s">
        <v>4511</v>
      </c>
      <c r="E65" t="s">
        <v>4512</v>
      </c>
      <c r="F65" t="s">
        <v>4165</v>
      </c>
      <c r="H65" t="s">
        <v>4513</v>
      </c>
      <c r="I65" t="s">
        <v>4495</v>
      </c>
      <c r="J65" t="s">
        <v>26</v>
      </c>
      <c r="K65" t="s">
        <v>200</v>
      </c>
      <c r="L65" t="s">
        <v>4514</v>
      </c>
      <c r="M65" t="s">
        <v>2084</v>
      </c>
      <c r="Q65" t="s">
        <v>4497</v>
      </c>
    </row>
    <row r="66" spans="1:17">
      <c r="A66" t="s">
        <v>4515</v>
      </c>
      <c r="B66" t="s">
        <v>4516</v>
      </c>
      <c r="C66" t="s">
        <v>4154</v>
      </c>
      <c r="D66" t="s">
        <v>4511</v>
      </c>
      <c r="E66" t="s">
        <v>4517</v>
      </c>
      <c r="F66" t="s">
        <v>4165</v>
      </c>
      <c r="G66" t="s">
        <v>4518</v>
      </c>
      <c r="H66" t="s">
        <v>4519</v>
      </c>
      <c r="I66" t="s">
        <v>4495</v>
      </c>
      <c r="J66" t="s">
        <v>26</v>
      </c>
      <c r="K66" t="s">
        <v>200</v>
      </c>
      <c r="L66" t="s">
        <v>4514</v>
      </c>
      <c r="M66" t="s">
        <v>2084</v>
      </c>
    </row>
    <row r="67" spans="1:17">
      <c r="A67" t="s">
        <v>4520</v>
      </c>
      <c r="B67" t="s">
        <v>4521</v>
      </c>
      <c r="C67" t="s">
        <v>4154</v>
      </c>
      <c r="D67" t="s">
        <v>4522</v>
      </c>
      <c r="E67" t="s">
        <v>4523</v>
      </c>
      <c r="F67" t="s">
        <v>4165</v>
      </c>
      <c r="H67" t="s">
        <v>4524</v>
      </c>
      <c r="I67" t="s">
        <v>4495</v>
      </c>
      <c r="J67" t="s">
        <v>26</v>
      </c>
      <c r="K67" t="s">
        <v>200</v>
      </c>
      <c r="L67" t="s">
        <v>4514</v>
      </c>
      <c r="M67" t="s">
        <v>2084</v>
      </c>
    </row>
    <row r="68" spans="1:17">
      <c r="A68" t="s">
        <v>4043</v>
      </c>
      <c r="B68" t="s">
        <v>4037</v>
      </c>
      <c r="C68" t="s">
        <v>4170</v>
      </c>
      <c r="D68" t="s">
        <v>4525</v>
      </c>
      <c r="E68" t="s">
        <v>4526</v>
      </c>
      <c r="F68" t="s">
        <v>4165</v>
      </c>
      <c r="H68" t="s">
        <v>4527</v>
      </c>
      <c r="I68" t="s">
        <v>4495</v>
      </c>
      <c r="J68" t="s">
        <v>26</v>
      </c>
      <c r="K68" t="s">
        <v>200</v>
      </c>
      <c r="L68" t="s">
        <v>4514</v>
      </c>
      <c r="M68" t="s">
        <v>2084</v>
      </c>
    </row>
    <row r="69" spans="1:17">
      <c r="A69" t="s">
        <v>4052</v>
      </c>
      <c r="B69" t="s">
        <v>4528</v>
      </c>
      <c r="C69" t="s">
        <v>4170</v>
      </c>
      <c r="D69" t="s">
        <v>4529</v>
      </c>
      <c r="E69" t="s">
        <v>4530</v>
      </c>
      <c r="F69" t="s">
        <v>4165</v>
      </c>
      <c r="H69" t="s">
        <v>4531</v>
      </c>
      <c r="I69" t="s">
        <v>4532</v>
      </c>
      <c r="J69" t="s">
        <v>26</v>
      </c>
      <c r="K69" t="s">
        <v>146</v>
      </c>
      <c r="L69" t="s">
        <v>3975</v>
      </c>
      <c r="M69" t="s">
        <v>20</v>
      </c>
    </row>
    <row r="70" spans="1:17">
      <c r="A70" t="s">
        <v>4061</v>
      </c>
      <c r="B70" t="s">
        <v>4533</v>
      </c>
      <c r="C70" t="s">
        <v>4170</v>
      </c>
      <c r="D70" t="s">
        <v>4534</v>
      </c>
      <c r="E70" t="s">
        <v>4535</v>
      </c>
      <c r="F70" t="s">
        <v>4165</v>
      </c>
      <c r="H70" t="s">
        <v>4536</v>
      </c>
      <c r="I70" t="s">
        <v>4532</v>
      </c>
      <c r="J70" t="s">
        <v>26</v>
      </c>
      <c r="K70" t="s">
        <v>146</v>
      </c>
      <c r="L70" t="s">
        <v>3981</v>
      </c>
      <c r="M70" t="s">
        <v>20</v>
      </c>
    </row>
    <row r="71" spans="1:17">
      <c r="A71" t="s">
        <v>4070</v>
      </c>
      <c r="B71" t="s">
        <v>4537</v>
      </c>
      <c r="C71" t="s">
        <v>4538</v>
      </c>
      <c r="D71" t="s">
        <v>4539</v>
      </c>
      <c r="E71" t="s">
        <v>4540</v>
      </c>
      <c r="F71" t="s">
        <v>4165</v>
      </c>
      <c r="H71" t="s">
        <v>4541</v>
      </c>
      <c r="I71" t="s">
        <v>4532</v>
      </c>
      <c r="J71" t="s">
        <v>26</v>
      </c>
      <c r="K71" t="s">
        <v>152</v>
      </c>
      <c r="L71" t="s">
        <v>3987</v>
      </c>
      <c r="M71" t="s">
        <v>20</v>
      </c>
    </row>
    <row r="72" spans="1:17">
      <c r="A72" t="s">
        <v>4078</v>
      </c>
      <c r="B72" t="s">
        <v>4542</v>
      </c>
      <c r="C72" t="s">
        <v>4543</v>
      </c>
      <c r="D72" t="s">
        <v>4544</v>
      </c>
      <c r="E72" t="s">
        <v>4545</v>
      </c>
      <c r="F72" t="s">
        <v>4165</v>
      </c>
      <c r="G72" t="s">
        <v>4546</v>
      </c>
      <c r="H72" t="s">
        <v>4547</v>
      </c>
      <c r="I72" t="s">
        <v>4532</v>
      </c>
      <c r="J72" t="s">
        <v>26</v>
      </c>
      <c r="K72" t="s">
        <v>158</v>
      </c>
      <c r="L72" t="s">
        <v>3993</v>
      </c>
      <c r="M72" t="s">
        <v>20</v>
      </c>
    </row>
    <row r="73" spans="1:17">
      <c r="A73" t="s">
        <v>4088</v>
      </c>
      <c r="B73" t="s">
        <v>408</v>
      </c>
      <c r="C73" t="s">
        <v>4548</v>
      </c>
      <c r="D73" t="s">
        <v>4549</v>
      </c>
      <c r="E73" t="s">
        <v>4550</v>
      </c>
      <c r="F73" t="s">
        <v>4165</v>
      </c>
      <c r="G73" t="s">
        <v>4551</v>
      </c>
      <c r="H73" t="s">
        <v>4552</v>
      </c>
      <c r="I73" t="s">
        <v>4532</v>
      </c>
      <c r="J73" t="s">
        <v>26</v>
      </c>
      <c r="K73" t="s">
        <v>164</v>
      </c>
      <c r="L73" t="s">
        <v>4079</v>
      </c>
      <c r="M73" t="s">
        <v>20</v>
      </c>
    </row>
    <row r="74" spans="1:17">
      <c r="A74" t="s">
        <v>4097</v>
      </c>
      <c r="B74" t="s">
        <v>412</v>
      </c>
      <c r="C74" t="s">
        <v>4553</v>
      </c>
      <c r="D74" t="s">
        <v>4554</v>
      </c>
      <c r="E74" t="s">
        <v>4555</v>
      </c>
      <c r="F74" t="s">
        <v>4165</v>
      </c>
      <c r="G74" t="s">
        <v>4556</v>
      </c>
      <c r="H74" t="s">
        <v>4557</v>
      </c>
      <c r="I74" t="s">
        <v>4532</v>
      </c>
      <c r="J74" t="s">
        <v>26</v>
      </c>
      <c r="K74" t="s">
        <v>413</v>
      </c>
      <c r="L74" t="s">
        <v>4089</v>
      </c>
      <c r="M74" t="s">
        <v>20</v>
      </c>
    </row>
    <row r="75" spans="1:17">
      <c r="A75" t="s">
        <v>4106</v>
      </c>
      <c r="B75" t="s">
        <v>416</v>
      </c>
      <c r="C75" t="s">
        <v>4170</v>
      </c>
      <c r="D75" t="s">
        <v>4317</v>
      </c>
      <c r="E75" t="s">
        <v>4558</v>
      </c>
      <c r="F75" t="s">
        <v>4165</v>
      </c>
      <c r="H75" t="s">
        <v>4559</v>
      </c>
      <c r="I75" t="s">
        <v>4532</v>
      </c>
      <c r="J75" t="s">
        <v>26</v>
      </c>
      <c r="K75" t="s">
        <v>417</v>
      </c>
      <c r="L75" t="s">
        <v>4098</v>
      </c>
      <c r="M75" t="s">
        <v>20</v>
      </c>
    </row>
    <row r="76" spans="1:17">
      <c r="A76" t="s">
        <v>4115</v>
      </c>
      <c r="B76" t="s">
        <v>4560</v>
      </c>
      <c r="C76" t="s">
        <v>4553</v>
      </c>
      <c r="D76" t="s">
        <v>4561</v>
      </c>
      <c r="E76" t="s">
        <v>4562</v>
      </c>
      <c r="F76" t="s">
        <v>4165</v>
      </c>
      <c r="G76" t="s">
        <v>4563</v>
      </c>
      <c r="H76" t="s">
        <v>4564</v>
      </c>
      <c r="I76" t="s">
        <v>4532</v>
      </c>
      <c r="J76" t="s">
        <v>26</v>
      </c>
      <c r="K76" t="s">
        <v>422</v>
      </c>
      <c r="L76" t="s">
        <v>4107</v>
      </c>
      <c r="M76" t="s">
        <v>20</v>
      </c>
    </row>
    <row r="77" spans="1:17">
      <c r="A77" t="s">
        <v>4125</v>
      </c>
      <c r="B77" t="s">
        <v>4565</v>
      </c>
      <c r="C77" t="s">
        <v>4553</v>
      </c>
      <c r="D77" t="s">
        <v>4566</v>
      </c>
      <c r="E77" t="s">
        <v>4567</v>
      </c>
      <c r="F77" t="s">
        <v>4165</v>
      </c>
      <c r="H77" t="s">
        <v>4568</v>
      </c>
      <c r="I77" t="s">
        <v>4532</v>
      </c>
      <c r="J77" t="s">
        <v>26</v>
      </c>
      <c r="K77" t="s">
        <v>3094</v>
      </c>
      <c r="L77" t="s">
        <v>4116</v>
      </c>
      <c r="M77" t="s">
        <v>20</v>
      </c>
    </row>
    <row r="78" spans="1:17">
      <c r="A78" t="s">
        <v>4135</v>
      </c>
      <c r="B78" t="s">
        <v>4127</v>
      </c>
      <c r="C78" t="s">
        <v>4548</v>
      </c>
      <c r="D78" t="s">
        <v>4569</v>
      </c>
      <c r="E78" t="s">
        <v>4570</v>
      </c>
      <c r="F78" t="s">
        <v>4165</v>
      </c>
      <c r="G78" t="s">
        <v>4571</v>
      </c>
      <c r="H78" t="s">
        <v>4572</v>
      </c>
      <c r="I78" t="s">
        <v>4532</v>
      </c>
      <c r="J78" t="s">
        <v>26</v>
      </c>
      <c r="K78" t="s">
        <v>38</v>
      </c>
      <c r="L78" t="s">
        <v>4126</v>
      </c>
      <c r="M78" t="s">
        <v>20</v>
      </c>
    </row>
  </sheetData>
  <autoFilter ref="A1:Q1" xr:uid="{00000000-0009-0000-0000-000005000000}"/>
  <phoneticPr fontId="15" type="noConversion"/>
  <dataValidations count="6">
    <dataValidation type="list" allowBlank="1" sqref="C2:C200" xr:uid="{00000000-0002-0000-0500-000000000000}">
      <formula1>"GET,POST,PUT,PATCH,DELETE"</formula1>
    </dataValidation>
    <dataValidation type="list" allowBlank="1" sqref="J2:J200" xr:uid="{00000000-0002-0000-0500-000001000000}">
      <formula1>"Y,N"</formula1>
    </dataValidation>
    <dataValidation type="list" allowBlank="1" sqref="K2:K200" xr:uid="{00000000-0002-0000-0500-000002000000}">
      <formula1>_xlfn._LONGTEXT("SCR-001,SCR-002,SCR-010,SCR-011,SCR-012,SCR-013,SCR-014,SCR-020,SCR-021,SCR-030,SCR-031,SCR-032,SCR-040,SCR-041,SCR-050,SCR-051,SCR-052,SCR-053,SCR-060,SCR-061,SCR-062,SCR-063,SCR-070,SCR-071,SCR-072,SCR-073,SCR-080,SCR-081,SCR-090,SCR-091,SCR-092,SCR-093",",SCR-094")</formula1>
    </dataValidation>
    <dataValidation type="list" allowBlank="1" sqref="L2:L200" xr:uid="{00000000-0002-0000-0500-000003000000}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type="list" allowBlank="1" sqref="M2:M200" xr:uid="{00000000-0002-0000-0500-000004000000}">
      <formula1>"설계중,개발중,개발완료,테스트중,배포완료"</formula1>
    </dataValidation>
    <dataValidation type="list" allowBlank="1" sqref="N2:N200" xr:uid="{00000000-0002-0000-0500-000005000000}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22"/>
  <sheetViews>
    <sheetView workbookViewId="0"/>
  </sheetViews>
  <sheetFormatPr baseColWidth="10" defaultColWidth="8.83203125" defaultRowHeight="17"/>
  <cols>
    <col min="1" max="1" width="16" customWidth="1"/>
    <col min="2" max="2" width="18" customWidth="1"/>
    <col min="3" max="3" width="14" customWidth="1"/>
    <col min="4" max="4" width="8" customWidth="1"/>
    <col min="5" max="5" width="10" customWidth="1"/>
    <col min="6" max="6" width="12" customWidth="1"/>
    <col min="7" max="7" width="6" customWidth="1"/>
    <col min="8" max="8" width="16" customWidth="1"/>
    <col min="9" max="9" width="10" customWidth="1"/>
    <col min="10" max="10" width="30" customWidth="1"/>
    <col min="11" max="11" width="12" customWidth="1"/>
    <col min="12" max="12" width="10" customWidth="1"/>
    <col min="13" max="13" width="20" customWidth="1"/>
  </cols>
  <sheetData>
    <row r="1" spans="1:13">
      <c r="A1" s="1" t="s">
        <v>4573</v>
      </c>
      <c r="B1" s="1" t="s">
        <v>4574</v>
      </c>
      <c r="C1" s="1" t="s">
        <v>4575</v>
      </c>
      <c r="D1" s="1" t="s">
        <v>4576</v>
      </c>
      <c r="E1" s="1" t="s">
        <v>4577</v>
      </c>
      <c r="F1" s="1" t="s">
        <v>4578</v>
      </c>
      <c r="G1" s="1" t="s">
        <v>4579</v>
      </c>
      <c r="H1" s="1" t="s">
        <v>4580</v>
      </c>
      <c r="I1" s="1" t="s">
        <v>4581</v>
      </c>
      <c r="J1" s="1" t="s">
        <v>9</v>
      </c>
      <c r="K1" s="1" t="s">
        <v>3240</v>
      </c>
      <c r="L1" s="1" t="s">
        <v>10</v>
      </c>
      <c r="M1" s="1" t="s">
        <v>11</v>
      </c>
    </row>
    <row r="2" spans="1:13">
      <c r="A2" s="30" t="s">
        <v>4582</v>
      </c>
      <c r="B2" s="30" t="s">
        <v>4583</v>
      </c>
      <c r="C2" s="30" t="s">
        <v>4584</v>
      </c>
      <c r="D2" s="31"/>
      <c r="E2" s="31" t="s">
        <v>17</v>
      </c>
      <c r="F2" s="31"/>
      <c r="G2" s="31" t="s">
        <v>26</v>
      </c>
      <c r="H2" s="31"/>
      <c r="I2" s="31" t="s">
        <v>26</v>
      </c>
      <c r="J2" s="31" t="s">
        <v>4585</v>
      </c>
      <c r="K2" s="31" t="s">
        <v>2162</v>
      </c>
      <c r="L2" s="31" t="s">
        <v>674</v>
      </c>
      <c r="M2" s="31"/>
    </row>
    <row r="3" spans="1:13">
      <c r="A3" s="30" t="s">
        <v>4582</v>
      </c>
      <c r="B3" s="30" t="s">
        <v>4586</v>
      </c>
      <c r="C3" s="30" t="s">
        <v>4587</v>
      </c>
      <c r="D3" s="31">
        <v>100</v>
      </c>
      <c r="E3" s="31" t="s">
        <v>17</v>
      </c>
      <c r="F3" s="31"/>
      <c r="G3" s="31" t="s">
        <v>17</v>
      </c>
      <c r="H3" s="31"/>
      <c r="I3" s="31" t="s">
        <v>17</v>
      </c>
      <c r="J3" s="31" t="s">
        <v>4588</v>
      </c>
      <c r="K3" s="31" t="s">
        <v>2079</v>
      </c>
      <c r="L3" s="31" t="s">
        <v>674</v>
      </c>
      <c r="M3" s="31"/>
    </row>
    <row r="4" spans="1:13">
      <c r="A4" s="30" t="s">
        <v>4582</v>
      </c>
      <c r="B4" s="30" t="s">
        <v>4589</v>
      </c>
      <c r="C4" s="30" t="s">
        <v>4587</v>
      </c>
      <c r="D4" s="31">
        <v>20</v>
      </c>
      <c r="E4" s="31" t="s">
        <v>17</v>
      </c>
      <c r="F4" s="31"/>
      <c r="G4" s="31" t="s">
        <v>17</v>
      </c>
      <c r="H4" s="31"/>
      <c r="I4" s="31" t="s">
        <v>4590</v>
      </c>
      <c r="J4" s="31" t="s">
        <v>4591</v>
      </c>
      <c r="K4" s="31" t="s">
        <v>2079</v>
      </c>
      <c r="L4" s="31" t="s">
        <v>674</v>
      </c>
      <c r="M4" s="31"/>
    </row>
    <row r="5" spans="1:13">
      <c r="A5" s="30" t="s">
        <v>4582</v>
      </c>
      <c r="B5" s="30" t="s">
        <v>4592</v>
      </c>
      <c r="C5" s="30" t="s">
        <v>4593</v>
      </c>
      <c r="D5" s="31"/>
      <c r="E5" s="31" t="s">
        <v>17</v>
      </c>
      <c r="F5" s="31" t="s">
        <v>4594</v>
      </c>
      <c r="G5" s="31" t="s">
        <v>17</v>
      </c>
      <c r="H5" s="31"/>
      <c r="I5" s="31" t="s">
        <v>17</v>
      </c>
      <c r="J5" s="31" t="s">
        <v>4595</v>
      </c>
      <c r="K5" s="31" t="s">
        <v>2079</v>
      </c>
      <c r="L5" s="31" t="s">
        <v>674</v>
      </c>
      <c r="M5" s="31"/>
    </row>
    <row r="6" spans="1:13">
      <c r="A6" s="30" t="s">
        <v>4582</v>
      </c>
      <c r="B6" s="30" t="s">
        <v>4596</v>
      </c>
      <c r="C6" s="30" t="s">
        <v>4593</v>
      </c>
      <c r="D6" s="31"/>
      <c r="E6" s="31" t="s">
        <v>17</v>
      </c>
      <c r="F6" s="31" t="s">
        <v>4597</v>
      </c>
      <c r="G6" s="31" t="s">
        <v>17</v>
      </c>
      <c r="H6" s="31"/>
      <c r="I6" s="31" t="s">
        <v>26</v>
      </c>
      <c r="J6" s="31" t="s">
        <v>4598</v>
      </c>
      <c r="K6" s="31" t="s">
        <v>2079</v>
      </c>
      <c r="L6" s="31" t="s">
        <v>674</v>
      </c>
      <c r="M6" s="31"/>
    </row>
    <row r="7" spans="1:13">
      <c r="A7" s="30" t="s">
        <v>4582</v>
      </c>
      <c r="B7" s="30" t="s">
        <v>4599</v>
      </c>
      <c r="C7" s="30" t="s">
        <v>4600</v>
      </c>
      <c r="D7" s="31"/>
      <c r="E7" s="31" t="s">
        <v>17</v>
      </c>
      <c r="F7" s="31" t="s">
        <v>4601</v>
      </c>
      <c r="G7" s="31" t="s">
        <v>17</v>
      </c>
      <c r="H7" s="31"/>
      <c r="I7" s="31" t="s">
        <v>17</v>
      </c>
      <c r="J7" s="31" t="s">
        <v>4602</v>
      </c>
      <c r="K7" s="31" t="s">
        <v>2079</v>
      </c>
      <c r="L7" s="31" t="s">
        <v>674</v>
      </c>
      <c r="M7" s="31"/>
    </row>
    <row r="8" spans="1:13" ht="30">
      <c r="A8" s="30" t="s">
        <v>4582</v>
      </c>
      <c r="B8" s="30" t="s">
        <v>4603</v>
      </c>
      <c r="C8" s="30" t="s">
        <v>4600</v>
      </c>
      <c r="D8" s="31"/>
      <c r="E8" s="31" t="s">
        <v>26</v>
      </c>
      <c r="F8" s="31" t="s">
        <v>4604</v>
      </c>
      <c r="G8" s="31" t="s">
        <v>17</v>
      </c>
      <c r="H8" s="31"/>
      <c r="I8" s="31" t="s">
        <v>17</v>
      </c>
      <c r="J8" s="31" t="s">
        <v>4605</v>
      </c>
      <c r="K8" s="31" t="s">
        <v>2079</v>
      </c>
      <c r="L8" s="31" t="s">
        <v>674</v>
      </c>
      <c r="M8" s="31"/>
    </row>
    <row r="9" spans="1:13">
      <c r="A9" s="30" t="s">
        <v>4606</v>
      </c>
      <c r="B9" s="30" t="s">
        <v>4583</v>
      </c>
      <c r="C9" s="30" t="s">
        <v>4584</v>
      </c>
      <c r="D9" s="31"/>
      <c r="E9" s="31" t="s">
        <v>17</v>
      </c>
      <c r="F9" s="31"/>
      <c r="G9" s="31" t="s">
        <v>26</v>
      </c>
      <c r="H9" s="31"/>
      <c r="I9" s="31" t="s">
        <v>26</v>
      </c>
      <c r="J9" s="31" t="s">
        <v>4607</v>
      </c>
      <c r="K9" s="31" t="s">
        <v>2752</v>
      </c>
      <c r="L9" s="31" t="s">
        <v>674</v>
      </c>
      <c r="M9" s="31"/>
    </row>
    <row r="10" spans="1:13" ht="30">
      <c r="A10" s="30" t="s">
        <v>4606</v>
      </c>
      <c r="B10" s="30" t="s">
        <v>4608</v>
      </c>
      <c r="C10" s="30" t="s">
        <v>4584</v>
      </c>
      <c r="D10" s="31"/>
      <c r="E10" s="31" t="s">
        <v>17</v>
      </c>
      <c r="F10" s="31"/>
      <c r="G10" s="31" t="s">
        <v>17</v>
      </c>
      <c r="H10" s="31" t="s">
        <v>4609</v>
      </c>
      <c r="I10" s="31" t="s">
        <v>26</v>
      </c>
      <c r="J10" s="31" t="s">
        <v>4610</v>
      </c>
      <c r="K10" s="31" t="s">
        <v>4611</v>
      </c>
      <c r="L10" s="31" t="s">
        <v>674</v>
      </c>
      <c r="M10" s="31"/>
    </row>
    <row r="11" spans="1:13" ht="30">
      <c r="A11" s="30" t="s">
        <v>4606</v>
      </c>
      <c r="B11" s="30" t="s">
        <v>4586</v>
      </c>
      <c r="C11" s="30" t="s">
        <v>4587</v>
      </c>
      <c r="D11" s="31">
        <v>100</v>
      </c>
      <c r="E11" s="31" t="s">
        <v>17</v>
      </c>
      <c r="F11" s="31"/>
      <c r="G11" s="31" t="s">
        <v>17</v>
      </c>
      <c r="H11" s="31"/>
      <c r="I11" s="31" t="s">
        <v>17</v>
      </c>
      <c r="J11" s="31" t="s">
        <v>4612</v>
      </c>
      <c r="K11" s="31" t="s">
        <v>4611</v>
      </c>
      <c r="L11" s="31" t="s">
        <v>674</v>
      </c>
      <c r="M11" s="31"/>
    </row>
    <row r="12" spans="1:13" ht="30">
      <c r="A12" s="30" t="s">
        <v>4606</v>
      </c>
      <c r="B12" s="30" t="s">
        <v>4589</v>
      </c>
      <c r="C12" s="30" t="s">
        <v>4587</v>
      </c>
      <c r="D12" s="31">
        <v>20</v>
      </c>
      <c r="E12" s="31" t="s">
        <v>17</v>
      </c>
      <c r="F12" s="31"/>
      <c r="G12" s="31" t="s">
        <v>17</v>
      </c>
      <c r="H12" s="31"/>
      <c r="I12" s="31" t="s">
        <v>4590</v>
      </c>
      <c r="J12" s="31" t="s">
        <v>4613</v>
      </c>
      <c r="K12" s="31" t="s">
        <v>4611</v>
      </c>
      <c r="L12" s="31" t="s">
        <v>674</v>
      </c>
      <c r="M12" s="31"/>
    </row>
    <row r="13" spans="1:13" ht="30">
      <c r="A13" s="30" t="s">
        <v>4606</v>
      </c>
      <c r="B13" s="30" t="s">
        <v>4614</v>
      </c>
      <c r="C13" s="30" t="s">
        <v>4587</v>
      </c>
      <c r="D13" s="31">
        <v>255</v>
      </c>
      <c r="E13" s="31" t="s">
        <v>26</v>
      </c>
      <c r="F13" s="31"/>
      <c r="G13" s="31" t="s">
        <v>17</v>
      </c>
      <c r="H13" s="31"/>
      <c r="I13" s="31" t="s">
        <v>17</v>
      </c>
      <c r="J13" s="31" t="s">
        <v>4615</v>
      </c>
      <c r="K13" s="31" t="s">
        <v>4611</v>
      </c>
      <c r="L13" s="31" t="s">
        <v>674</v>
      </c>
      <c r="M13" s="31"/>
    </row>
    <row r="14" spans="1:13" ht="30">
      <c r="A14" s="30" t="s">
        <v>4606</v>
      </c>
      <c r="B14" s="30" t="s">
        <v>4616</v>
      </c>
      <c r="C14" s="30" t="s">
        <v>4587</v>
      </c>
      <c r="D14" s="31">
        <v>20</v>
      </c>
      <c r="E14" s="31" t="s">
        <v>26</v>
      </c>
      <c r="F14" s="31"/>
      <c r="G14" s="31" t="s">
        <v>17</v>
      </c>
      <c r="H14" s="31"/>
      <c r="I14" s="31" t="s">
        <v>17</v>
      </c>
      <c r="J14" s="31" t="s">
        <v>4617</v>
      </c>
      <c r="K14" s="31" t="s">
        <v>4611</v>
      </c>
      <c r="L14" s="31" t="s">
        <v>674</v>
      </c>
      <c r="M14" s="31"/>
    </row>
    <row r="15" spans="1:13" ht="30">
      <c r="A15" s="30" t="s">
        <v>4606</v>
      </c>
      <c r="B15" s="30" t="s">
        <v>4596</v>
      </c>
      <c r="C15" s="30" t="s">
        <v>4593</v>
      </c>
      <c r="D15" s="31"/>
      <c r="E15" s="31" t="s">
        <v>17</v>
      </c>
      <c r="F15" s="31" t="s">
        <v>4597</v>
      </c>
      <c r="G15" s="31" t="s">
        <v>17</v>
      </c>
      <c r="H15" s="31"/>
      <c r="I15" s="31" t="s">
        <v>26</v>
      </c>
      <c r="J15" s="31" t="s">
        <v>4618</v>
      </c>
      <c r="K15" s="31" t="s">
        <v>4611</v>
      </c>
      <c r="L15" s="31" t="s">
        <v>674</v>
      </c>
      <c r="M15" s="31"/>
    </row>
    <row r="16" spans="1:13" ht="30">
      <c r="A16" s="30" t="s">
        <v>4606</v>
      </c>
      <c r="B16" s="30" t="s">
        <v>4599</v>
      </c>
      <c r="C16" s="30" t="s">
        <v>4600</v>
      </c>
      <c r="D16" s="31"/>
      <c r="E16" s="31" t="s">
        <v>17</v>
      </c>
      <c r="F16" s="31" t="s">
        <v>4601</v>
      </c>
      <c r="G16" s="31" t="s">
        <v>17</v>
      </c>
      <c r="H16" s="31"/>
      <c r="I16" s="31" t="s">
        <v>17</v>
      </c>
      <c r="J16" s="31" t="s">
        <v>4602</v>
      </c>
      <c r="K16" s="31" t="s">
        <v>4611</v>
      </c>
      <c r="L16" s="31" t="s">
        <v>674</v>
      </c>
      <c r="M16" s="31"/>
    </row>
    <row r="17" spans="1:13">
      <c r="A17" s="30" t="s">
        <v>4619</v>
      </c>
      <c r="B17" s="30" t="s">
        <v>4583</v>
      </c>
      <c r="C17" s="30" t="s">
        <v>4584</v>
      </c>
      <c r="D17" s="31"/>
      <c r="E17" s="31" t="s">
        <v>17</v>
      </c>
      <c r="F17" s="31"/>
      <c r="G17" s="31" t="s">
        <v>26</v>
      </c>
      <c r="H17" s="31"/>
      <c r="I17" s="31" t="s">
        <v>26</v>
      </c>
      <c r="J17" s="31" t="s">
        <v>4620</v>
      </c>
      <c r="K17" s="31" t="s">
        <v>2079</v>
      </c>
      <c r="L17" s="31" t="s">
        <v>674</v>
      </c>
      <c r="M17" s="31"/>
    </row>
    <row r="18" spans="1:13" ht="30">
      <c r="A18" s="30" t="s">
        <v>4619</v>
      </c>
      <c r="B18" s="30" t="s">
        <v>4621</v>
      </c>
      <c r="C18" s="30" t="s">
        <v>4584</v>
      </c>
      <c r="D18" s="31"/>
      <c r="E18" s="31" t="s">
        <v>17</v>
      </c>
      <c r="F18" s="31"/>
      <c r="G18" s="31" t="s">
        <v>17</v>
      </c>
      <c r="H18" s="31" t="s">
        <v>4622</v>
      </c>
      <c r="I18" s="31" t="s">
        <v>26</v>
      </c>
      <c r="J18" s="31" t="s">
        <v>4623</v>
      </c>
      <c r="K18" s="31" t="s">
        <v>4624</v>
      </c>
      <c r="L18" s="31" t="s">
        <v>674</v>
      </c>
      <c r="M18" s="31"/>
    </row>
    <row r="19" spans="1:13" ht="30">
      <c r="A19" s="30" t="s">
        <v>4619</v>
      </c>
      <c r="B19" s="30" t="s">
        <v>4625</v>
      </c>
      <c r="C19" s="30" t="s">
        <v>4587</v>
      </c>
      <c r="D19" s="31">
        <v>100</v>
      </c>
      <c r="E19" s="31" t="s">
        <v>17</v>
      </c>
      <c r="F19" s="31"/>
      <c r="G19" s="31" t="s">
        <v>17</v>
      </c>
      <c r="H19" s="31"/>
      <c r="I19" s="31" t="s">
        <v>4590</v>
      </c>
      <c r="J19" s="31" t="s">
        <v>4626</v>
      </c>
      <c r="K19" s="31" t="s">
        <v>4624</v>
      </c>
      <c r="L19" s="31" t="s">
        <v>674</v>
      </c>
      <c r="M19" s="31"/>
    </row>
    <row r="20" spans="1:13" ht="30">
      <c r="A20" s="30" t="s">
        <v>4619</v>
      </c>
      <c r="B20" s="30" t="s">
        <v>4627</v>
      </c>
      <c r="C20" s="30" t="s">
        <v>4587</v>
      </c>
      <c r="D20" s="31">
        <v>255</v>
      </c>
      <c r="E20" s="31" t="s">
        <v>17</v>
      </c>
      <c r="F20" s="31"/>
      <c r="G20" s="31" t="s">
        <v>17</v>
      </c>
      <c r="H20" s="31"/>
      <c r="I20" s="31" t="s">
        <v>17</v>
      </c>
      <c r="J20" s="31" t="s">
        <v>4628</v>
      </c>
      <c r="K20" s="31" t="s">
        <v>4624</v>
      </c>
      <c r="L20" s="31" t="s">
        <v>674</v>
      </c>
      <c r="M20" s="31"/>
    </row>
    <row r="21" spans="1:13" ht="30">
      <c r="A21" s="30" t="s">
        <v>4619</v>
      </c>
      <c r="B21" s="30" t="s">
        <v>4586</v>
      </c>
      <c r="C21" s="30" t="s">
        <v>4587</v>
      </c>
      <c r="D21" s="31">
        <v>50</v>
      </c>
      <c r="E21" s="31" t="s">
        <v>17</v>
      </c>
      <c r="F21" s="31"/>
      <c r="G21" s="31" t="s">
        <v>17</v>
      </c>
      <c r="H21" s="31"/>
      <c r="I21" s="31" t="s">
        <v>26</v>
      </c>
      <c r="J21" s="31" t="s">
        <v>4629</v>
      </c>
      <c r="K21" s="31" t="s">
        <v>4624</v>
      </c>
      <c r="L21" s="31" t="s">
        <v>674</v>
      </c>
      <c r="M21" s="31"/>
    </row>
    <row r="22" spans="1:13" ht="45">
      <c r="A22" s="30" t="s">
        <v>4619</v>
      </c>
      <c r="B22" s="30" t="s">
        <v>4630</v>
      </c>
      <c r="C22" s="30" t="s">
        <v>4593</v>
      </c>
      <c r="D22" s="31"/>
      <c r="E22" s="31" t="s">
        <v>17</v>
      </c>
      <c r="F22" s="31"/>
      <c r="G22" s="31" t="s">
        <v>17</v>
      </c>
      <c r="H22" s="31"/>
      <c r="I22" s="31" t="s">
        <v>26</v>
      </c>
      <c r="J22" s="31" t="s">
        <v>4631</v>
      </c>
      <c r="K22" s="31" t="s">
        <v>4624</v>
      </c>
      <c r="L22" s="31" t="s">
        <v>674</v>
      </c>
      <c r="M22" s="31"/>
    </row>
    <row r="23" spans="1:13" ht="30">
      <c r="A23" s="30" t="s">
        <v>4619</v>
      </c>
      <c r="B23" s="30" t="s">
        <v>4596</v>
      </c>
      <c r="C23" s="30" t="s">
        <v>4593</v>
      </c>
      <c r="D23" s="31"/>
      <c r="E23" s="31" t="s">
        <v>17</v>
      </c>
      <c r="F23" s="31" t="s">
        <v>4597</v>
      </c>
      <c r="G23" s="31" t="s">
        <v>17</v>
      </c>
      <c r="H23" s="31"/>
      <c r="I23" s="31" t="s">
        <v>26</v>
      </c>
      <c r="J23" s="31" t="s">
        <v>4632</v>
      </c>
      <c r="K23" s="31" t="s">
        <v>4624</v>
      </c>
      <c r="L23" s="31" t="s">
        <v>674</v>
      </c>
      <c r="M23" s="31"/>
    </row>
    <row r="24" spans="1:13" ht="30">
      <c r="A24" s="30" t="s">
        <v>4619</v>
      </c>
      <c r="B24" s="30" t="s">
        <v>4633</v>
      </c>
      <c r="C24" s="30" t="s">
        <v>4600</v>
      </c>
      <c r="D24" s="31"/>
      <c r="E24" s="31" t="s">
        <v>26</v>
      </c>
      <c r="F24" s="31" t="s">
        <v>4634</v>
      </c>
      <c r="G24" s="31" t="s">
        <v>17</v>
      </c>
      <c r="H24" s="31"/>
      <c r="I24" s="31" t="s">
        <v>17</v>
      </c>
      <c r="J24" s="31" t="s">
        <v>4635</v>
      </c>
      <c r="K24" s="31" t="s">
        <v>4624</v>
      </c>
      <c r="L24" s="31" t="s">
        <v>674</v>
      </c>
      <c r="M24" s="31"/>
    </row>
    <row r="25" spans="1:13" ht="30">
      <c r="A25" s="30" t="s">
        <v>4619</v>
      </c>
      <c r="B25" s="30" t="s">
        <v>4636</v>
      </c>
      <c r="C25" s="30" t="s">
        <v>4637</v>
      </c>
      <c r="D25" s="31"/>
      <c r="E25" s="31" t="s">
        <v>17</v>
      </c>
      <c r="F25" s="31" t="s">
        <v>4638</v>
      </c>
      <c r="G25" s="31" t="s">
        <v>17</v>
      </c>
      <c r="H25" s="31"/>
      <c r="I25" s="31" t="s">
        <v>17</v>
      </c>
      <c r="J25" s="31" t="s">
        <v>4639</v>
      </c>
      <c r="K25" s="31" t="s">
        <v>4624</v>
      </c>
      <c r="L25" s="31" t="s">
        <v>674</v>
      </c>
      <c r="M25" s="31"/>
    </row>
    <row r="26" spans="1:13" ht="30">
      <c r="A26" s="30" t="s">
        <v>4619</v>
      </c>
      <c r="B26" s="30" t="s">
        <v>4599</v>
      </c>
      <c r="C26" s="30" t="s">
        <v>4600</v>
      </c>
      <c r="D26" s="31"/>
      <c r="E26" s="31" t="s">
        <v>17</v>
      </c>
      <c r="F26" s="31" t="s">
        <v>4601</v>
      </c>
      <c r="G26" s="31" t="s">
        <v>17</v>
      </c>
      <c r="H26" s="31"/>
      <c r="I26" s="31" t="s">
        <v>17</v>
      </c>
      <c r="J26" s="31" t="s">
        <v>4602</v>
      </c>
      <c r="K26" s="31" t="s">
        <v>4624</v>
      </c>
      <c r="L26" s="31" t="s">
        <v>674</v>
      </c>
      <c r="M26" s="31"/>
    </row>
    <row r="27" spans="1:13">
      <c r="A27" s="30" t="s">
        <v>4640</v>
      </c>
      <c r="B27" s="30" t="s">
        <v>4583</v>
      </c>
      <c r="C27" s="30" t="s">
        <v>4584</v>
      </c>
      <c r="D27" s="31"/>
      <c r="E27" s="31" t="s">
        <v>17</v>
      </c>
      <c r="F27" s="31"/>
      <c r="G27" s="31" t="s">
        <v>26</v>
      </c>
      <c r="H27" s="31"/>
      <c r="I27" s="31" t="s">
        <v>26</v>
      </c>
      <c r="J27" s="31" t="s">
        <v>4641</v>
      </c>
      <c r="K27" s="31" t="s">
        <v>2255</v>
      </c>
      <c r="L27" s="31" t="s">
        <v>674</v>
      </c>
      <c r="M27" s="31"/>
    </row>
    <row r="28" spans="1:13" ht="45">
      <c r="A28" s="30" t="s">
        <v>4640</v>
      </c>
      <c r="B28" s="30" t="s">
        <v>4621</v>
      </c>
      <c r="C28" s="30" t="s">
        <v>4584</v>
      </c>
      <c r="D28" s="31"/>
      <c r="E28" s="31" t="s">
        <v>17</v>
      </c>
      <c r="F28" s="31"/>
      <c r="G28" s="31" t="s">
        <v>17</v>
      </c>
      <c r="H28" s="31" t="s">
        <v>4622</v>
      </c>
      <c r="I28" s="31" t="s">
        <v>26</v>
      </c>
      <c r="J28" s="31" t="s">
        <v>4642</v>
      </c>
      <c r="K28" s="31" t="s">
        <v>4643</v>
      </c>
      <c r="L28" s="31" t="s">
        <v>674</v>
      </c>
      <c r="M28" s="31"/>
    </row>
    <row r="29" spans="1:13" ht="45">
      <c r="A29" s="30" t="s">
        <v>4640</v>
      </c>
      <c r="B29" s="30" t="s">
        <v>4586</v>
      </c>
      <c r="C29" s="30" t="s">
        <v>4587</v>
      </c>
      <c r="D29" s="31">
        <v>50</v>
      </c>
      <c r="E29" s="31" t="s">
        <v>17</v>
      </c>
      <c r="F29" s="31"/>
      <c r="G29" s="31" t="s">
        <v>17</v>
      </c>
      <c r="H29" s="31"/>
      <c r="I29" s="31" t="s">
        <v>26</v>
      </c>
      <c r="J29" s="31" t="s">
        <v>4644</v>
      </c>
      <c r="K29" s="31" t="s">
        <v>4643</v>
      </c>
      <c r="L29" s="31" t="s">
        <v>674</v>
      </c>
      <c r="M29" s="31"/>
    </row>
    <row r="30" spans="1:13" ht="45">
      <c r="A30" s="30" t="s">
        <v>4640</v>
      </c>
      <c r="B30" s="30" t="s">
        <v>4645</v>
      </c>
      <c r="C30" s="30" t="s">
        <v>4593</v>
      </c>
      <c r="D30" s="31"/>
      <c r="E30" s="31" t="s">
        <v>17</v>
      </c>
      <c r="F30" s="31"/>
      <c r="G30" s="31" t="s">
        <v>17</v>
      </c>
      <c r="H30" s="31"/>
      <c r="I30" s="31" t="s">
        <v>26</v>
      </c>
      <c r="J30" s="31" t="s">
        <v>4646</v>
      </c>
      <c r="K30" s="31" t="s">
        <v>4643</v>
      </c>
      <c r="L30" s="31" t="s">
        <v>674</v>
      </c>
      <c r="M30" s="31"/>
    </row>
    <row r="31" spans="1:13" ht="45">
      <c r="A31" s="30" t="s">
        <v>4640</v>
      </c>
      <c r="B31" s="30" t="s">
        <v>4647</v>
      </c>
      <c r="C31" s="30" t="s">
        <v>4587</v>
      </c>
      <c r="D31" s="31">
        <v>10</v>
      </c>
      <c r="E31" s="31" t="s">
        <v>26</v>
      </c>
      <c r="F31" s="31"/>
      <c r="G31" s="31" t="s">
        <v>17</v>
      </c>
      <c r="H31" s="31"/>
      <c r="I31" s="31" t="s">
        <v>17</v>
      </c>
      <c r="J31" s="31" t="s">
        <v>4648</v>
      </c>
      <c r="K31" s="31" t="s">
        <v>4643</v>
      </c>
      <c r="L31" s="31" t="s">
        <v>674</v>
      </c>
      <c r="M31" s="31"/>
    </row>
    <row r="32" spans="1:13" ht="45">
      <c r="A32" s="30" t="s">
        <v>4640</v>
      </c>
      <c r="B32" s="30" t="s">
        <v>4616</v>
      </c>
      <c r="C32" s="30" t="s">
        <v>4587</v>
      </c>
      <c r="D32" s="31">
        <v>20</v>
      </c>
      <c r="E32" s="31" t="s">
        <v>17</v>
      </c>
      <c r="F32" s="31"/>
      <c r="G32" s="31" t="s">
        <v>17</v>
      </c>
      <c r="H32" s="31"/>
      <c r="I32" s="31" t="s">
        <v>26</v>
      </c>
      <c r="J32" s="31" t="s">
        <v>4649</v>
      </c>
      <c r="K32" s="31" t="s">
        <v>4643</v>
      </c>
      <c r="L32" s="31" t="s">
        <v>674</v>
      </c>
      <c r="M32" s="31" t="s">
        <v>4650</v>
      </c>
    </row>
    <row r="33" spans="1:13" ht="45">
      <c r="A33" s="30" t="s">
        <v>4640</v>
      </c>
      <c r="B33" s="30" t="s">
        <v>4625</v>
      </c>
      <c r="C33" s="30" t="s">
        <v>4587</v>
      </c>
      <c r="D33" s="31">
        <v>100</v>
      </c>
      <c r="E33" s="31" t="s">
        <v>26</v>
      </c>
      <c r="F33" s="31"/>
      <c r="G33" s="31" t="s">
        <v>17</v>
      </c>
      <c r="H33" s="31"/>
      <c r="I33" s="31" t="s">
        <v>17</v>
      </c>
      <c r="J33" s="31" t="s">
        <v>4651</v>
      </c>
      <c r="K33" s="31" t="s">
        <v>4643</v>
      </c>
      <c r="L33" s="31" t="s">
        <v>674</v>
      </c>
      <c r="M33" s="31"/>
    </row>
    <row r="34" spans="1:13" ht="45">
      <c r="A34" s="30" t="s">
        <v>4640</v>
      </c>
      <c r="B34" s="30" t="s">
        <v>4614</v>
      </c>
      <c r="C34" s="30" t="s">
        <v>4587</v>
      </c>
      <c r="D34" s="31">
        <v>255</v>
      </c>
      <c r="E34" s="31" t="s">
        <v>26</v>
      </c>
      <c r="F34" s="31"/>
      <c r="G34" s="31" t="s">
        <v>17</v>
      </c>
      <c r="H34" s="31"/>
      <c r="I34" s="31" t="s">
        <v>17</v>
      </c>
      <c r="J34" s="31" t="s">
        <v>4652</v>
      </c>
      <c r="K34" s="31" t="s">
        <v>4643</v>
      </c>
      <c r="L34" s="31" t="s">
        <v>674</v>
      </c>
      <c r="M34" s="31"/>
    </row>
    <row r="35" spans="1:13" ht="45">
      <c r="A35" s="30" t="s">
        <v>4640</v>
      </c>
      <c r="B35" s="30" t="s">
        <v>4596</v>
      </c>
      <c r="C35" s="30" t="s">
        <v>4593</v>
      </c>
      <c r="D35" s="31"/>
      <c r="E35" s="31" t="s">
        <v>17</v>
      </c>
      <c r="F35" s="31" t="s">
        <v>4597</v>
      </c>
      <c r="G35" s="31" t="s">
        <v>17</v>
      </c>
      <c r="H35" s="31"/>
      <c r="I35" s="31" t="s">
        <v>26</v>
      </c>
      <c r="J35" s="31" t="s">
        <v>4653</v>
      </c>
      <c r="K35" s="31" t="s">
        <v>4643</v>
      </c>
      <c r="L35" s="31" t="s">
        <v>674</v>
      </c>
      <c r="M35" s="31"/>
    </row>
    <row r="36" spans="1:13" ht="45">
      <c r="A36" s="30" t="s">
        <v>4640</v>
      </c>
      <c r="B36" s="30" t="s">
        <v>4654</v>
      </c>
      <c r="C36" s="30" t="s">
        <v>4584</v>
      </c>
      <c r="D36" s="31"/>
      <c r="E36" s="31" t="s">
        <v>26</v>
      </c>
      <c r="F36" s="31" t="s">
        <v>4634</v>
      </c>
      <c r="G36" s="31" t="s">
        <v>17</v>
      </c>
      <c r="H36" s="31" t="s">
        <v>4655</v>
      </c>
      <c r="I36" s="31" t="s">
        <v>26</v>
      </c>
      <c r="J36" s="31" t="s">
        <v>4656</v>
      </c>
      <c r="K36" s="31" t="s">
        <v>4643</v>
      </c>
      <c r="L36" s="31" t="s">
        <v>674</v>
      </c>
      <c r="M36" s="31"/>
    </row>
    <row r="37" spans="1:13" ht="45">
      <c r="A37" s="30" t="s">
        <v>4640</v>
      </c>
      <c r="B37" s="30" t="s">
        <v>4657</v>
      </c>
      <c r="C37" s="30" t="s">
        <v>4587</v>
      </c>
      <c r="D37" s="31">
        <v>20</v>
      </c>
      <c r="E37" s="31" t="s">
        <v>26</v>
      </c>
      <c r="F37" s="31"/>
      <c r="G37" s="31" t="s">
        <v>17</v>
      </c>
      <c r="H37" s="31"/>
      <c r="I37" s="31" t="s">
        <v>4590</v>
      </c>
      <c r="J37" s="31" t="s">
        <v>4658</v>
      </c>
      <c r="K37" s="31" t="s">
        <v>4643</v>
      </c>
      <c r="L37" s="31" t="s">
        <v>674</v>
      </c>
      <c r="M37" s="31"/>
    </row>
    <row r="38" spans="1:13" ht="45">
      <c r="A38" s="30" t="s">
        <v>4640</v>
      </c>
      <c r="B38" s="30" t="s">
        <v>4659</v>
      </c>
      <c r="C38" s="30" t="s">
        <v>4587</v>
      </c>
      <c r="D38" s="31">
        <v>100</v>
      </c>
      <c r="E38" s="31" t="s">
        <v>26</v>
      </c>
      <c r="F38" s="31"/>
      <c r="G38" s="31" t="s">
        <v>17</v>
      </c>
      <c r="H38" s="31"/>
      <c r="I38" s="31" t="s">
        <v>17</v>
      </c>
      <c r="J38" s="31" t="s">
        <v>4660</v>
      </c>
      <c r="K38" s="31" t="s">
        <v>4643</v>
      </c>
      <c r="L38" s="31" t="s">
        <v>674</v>
      </c>
      <c r="M38" s="31"/>
    </row>
    <row r="39" spans="1:13" ht="45">
      <c r="A39" s="30" t="s">
        <v>4640</v>
      </c>
      <c r="B39" s="30" t="s">
        <v>4661</v>
      </c>
      <c r="C39" s="30" t="s">
        <v>4662</v>
      </c>
      <c r="D39" s="31"/>
      <c r="E39" s="31" t="s">
        <v>26</v>
      </c>
      <c r="F39" s="31"/>
      <c r="G39" s="31" t="s">
        <v>17</v>
      </c>
      <c r="H39" s="31"/>
      <c r="I39" s="31" t="s">
        <v>17</v>
      </c>
      <c r="J39" s="31" t="s">
        <v>4663</v>
      </c>
      <c r="K39" s="31" t="s">
        <v>4643</v>
      </c>
      <c r="L39" s="31" t="s">
        <v>674</v>
      </c>
      <c r="M39" s="31"/>
    </row>
    <row r="40" spans="1:13" ht="45">
      <c r="A40" s="30" t="s">
        <v>4640</v>
      </c>
      <c r="B40" s="30" t="s">
        <v>4664</v>
      </c>
      <c r="C40" s="30" t="s">
        <v>4600</v>
      </c>
      <c r="D40" s="31"/>
      <c r="E40" s="31" t="s">
        <v>17</v>
      </c>
      <c r="F40" s="31" t="s">
        <v>4601</v>
      </c>
      <c r="G40" s="31" t="s">
        <v>17</v>
      </c>
      <c r="H40" s="31"/>
      <c r="I40" s="31" t="s">
        <v>17</v>
      </c>
      <c r="J40" s="31" t="s">
        <v>4665</v>
      </c>
      <c r="K40" s="31" t="s">
        <v>4643</v>
      </c>
      <c r="L40" s="31" t="s">
        <v>674</v>
      </c>
      <c r="M40" s="31"/>
    </row>
    <row r="41" spans="1:13" ht="45">
      <c r="A41" s="30" t="s">
        <v>4640</v>
      </c>
      <c r="B41" s="30" t="s">
        <v>4599</v>
      </c>
      <c r="C41" s="30" t="s">
        <v>4600</v>
      </c>
      <c r="D41" s="31"/>
      <c r="E41" s="31" t="s">
        <v>17</v>
      </c>
      <c r="F41" s="31" t="s">
        <v>4601</v>
      </c>
      <c r="G41" s="31" t="s">
        <v>17</v>
      </c>
      <c r="H41" s="31"/>
      <c r="I41" s="31" t="s">
        <v>17</v>
      </c>
      <c r="J41" s="31" t="s">
        <v>4602</v>
      </c>
      <c r="K41" s="31" t="s">
        <v>4643</v>
      </c>
      <c r="L41" s="31" t="s">
        <v>674</v>
      </c>
      <c r="M41" s="31"/>
    </row>
    <row r="42" spans="1:13" ht="45">
      <c r="A42" s="30" t="s">
        <v>4640</v>
      </c>
      <c r="B42" s="30" t="s">
        <v>4603</v>
      </c>
      <c r="C42" s="30" t="s">
        <v>4600</v>
      </c>
      <c r="D42" s="31"/>
      <c r="E42" s="31" t="s">
        <v>26</v>
      </c>
      <c r="F42" s="31" t="s">
        <v>4604</v>
      </c>
      <c r="G42" s="31" t="s">
        <v>17</v>
      </c>
      <c r="H42" s="31"/>
      <c r="I42" s="31" t="s">
        <v>17</v>
      </c>
      <c r="J42" s="31" t="s">
        <v>4605</v>
      </c>
      <c r="K42" s="31" t="s">
        <v>4643</v>
      </c>
      <c r="L42" s="31" t="s">
        <v>674</v>
      </c>
      <c r="M42" s="31"/>
    </row>
    <row r="43" spans="1:13">
      <c r="A43" s="30" t="s">
        <v>4666</v>
      </c>
      <c r="B43" s="30" t="s">
        <v>4583</v>
      </c>
      <c r="C43" s="30" t="s">
        <v>4584</v>
      </c>
      <c r="D43" s="31"/>
      <c r="E43" s="31" t="s">
        <v>17</v>
      </c>
      <c r="F43" s="31"/>
      <c r="G43" s="31" t="s">
        <v>26</v>
      </c>
      <c r="H43" s="31"/>
      <c r="I43" s="31" t="s">
        <v>26</v>
      </c>
      <c r="J43" s="31" t="s">
        <v>4667</v>
      </c>
      <c r="K43" s="31" t="s">
        <v>2316</v>
      </c>
      <c r="L43" s="31" t="s">
        <v>674</v>
      </c>
      <c r="M43" s="31"/>
    </row>
    <row r="44" spans="1:13" ht="30">
      <c r="A44" s="30" t="s">
        <v>4666</v>
      </c>
      <c r="B44" s="30" t="s">
        <v>4668</v>
      </c>
      <c r="C44" s="30" t="s">
        <v>4584</v>
      </c>
      <c r="D44" s="31"/>
      <c r="E44" s="31" t="s">
        <v>17</v>
      </c>
      <c r="F44" s="31"/>
      <c r="G44" s="31" t="s">
        <v>17</v>
      </c>
      <c r="H44" s="31" t="s">
        <v>4669</v>
      </c>
      <c r="I44" s="31" t="s">
        <v>26</v>
      </c>
      <c r="J44" s="31" t="s">
        <v>4670</v>
      </c>
      <c r="K44" s="31" t="s">
        <v>4671</v>
      </c>
      <c r="L44" s="31" t="s">
        <v>674</v>
      </c>
      <c r="M44" s="31"/>
    </row>
    <row r="45" spans="1:13" ht="30">
      <c r="A45" s="30" t="s">
        <v>4666</v>
      </c>
      <c r="B45" s="30" t="s">
        <v>4621</v>
      </c>
      <c r="C45" s="30" t="s">
        <v>4584</v>
      </c>
      <c r="D45" s="31"/>
      <c r="E45" s="31" t="s">
        <v>17</v>
      </c>
      <c r="F45" s="31"/>
      <c r="G45" s="31" t="s">
        <v>17</v>
      </c>
      <c r="H45" s="31" t="s">
        <v>4622</v>
      </c>
      <c r="I45" s="31" t="s">
        <v>26</v>
      </c>
      <c r="J45" s="31" t="s">
        <v>4672</v>
      </c>
      <c r="K45" s="31" t="s">
        <v>4671</v>
      </c>
      <c r="L45" s="31" t="s">
        <v>674</v>
      </c>
      <c r="M45" s="31"/>
    </row>
    <row r="46" spans="1:13" ht="30">
      <c r="A46" s="30" t="s">
        <v>4666</v>
      </c>
      <c r="B46" s="30" t="s">
        <v>4673</v>
      </c>
      <c r="C46" s="30" t="s">
        <v>4584</v>
      </c>
      <c r="D46" s="31"/>
      <c r="E46" s="31" t="s">
        <v>17</v>
      </c>
      <c r="F46" s="31"/>
      <c r="G46" s="31" t="s">
        <v>17</v>
      </c>
      <c r="H46" s="31" t="s">
        <v>4674</v>
      </c>
      <c r="I46" s="31" t="s">
        <v>26</v>
      </c>
      <c r="J46" s="31" t="s">
        <v>4675</v>
      </c>
      <c r="K46" s="31" t="s">
        <v>4671</v>
      </c>
      <c r="L46" s="31" t="s">
        <v>674</v>
      </c>
      <c r="M46" s="31"/>
    </row>
    <row r="47" spans="1:13" ht="30">
      <c r="A47" s="30" t="s">
        <v>4666</v>
      </c>
      <c r="B47" s="30" t="s">
        <v>4676</v>
      </c>
      <c r="C47" s="30" t="s">
        <v>4593</v>
      </c>
      <c r="D47" s="31"/>
      <c r="E47" s="31" t="s">
        <v>17</v>
      </c>
      <c r="F47" s="31"/>
      <c r="G47" s="31" t="s">
        <v>17</v>
      </c>
      <c r="H47" s="31"/>
      <c r="I47" s="31" t="s">
        <v>26</v>
      </c>
      <c r="J47" s="31" t="s">
        <v>4677</v>
      </c>
      <c r="K47" s="31" t="s">
        <v>4671</v>
      </c>
      <c r="L47" s="31" t="s">
        <v>674</v>
      </c>
      <c r="M47" s="31"/>
    </row>
    <row r="48" spans="1:13" ht="30">
      <c r="A48" s="30" t="s">
        <v>4666</v>
      </c>
      <c r="B48" s="30" t="s">
        <v>4678</v>
      </c>
      <c r="C48" s="30" t="s">
        <v>4600</v>
      </c>
      <c r="D48" s="31"/>
      <c r="E48" s="31" t="s">
        <v>17</v>
      </c>
      <c r="F48" s="31"/>
      <c r="G48" s="31" t="s">
        <v>17</v>
      </c>
      <c r="H48" s="31"/>
      <c r="I48" s="31" t="s">
        <v>26</v>
      </c>
      <c r="J48" s="31" t="s">
        <v>4679</v>
      </c>
      <c r="K48" s="31" t="s">
        <v>4671</v>
      </c>
      <c r="L48" s="31" t="s">
        <v>674</v>
      </c>
      <c r="M48" s="31"/>
    </row>
    <row r="49" spans="1:13" ht="30">
      <c r="A49" s="30" t="s">
        <v>4666</v>
      </c>
      <c r="B49" s="30" t="s">
        <v>4680</v>
      </c>
      <c r="C49" s="30" t="s">
        <v>4600</v>
      </c>
      <c r="D49" s="31"/>
      <c r="E49" s="31" t="s">
        <v>26</v>
      </c>
      <c r="F49" s="31" t="s">
        <v>4634</v>
      </c>
      <c r="G49" s="31" t="s">
        <v>17</v>
      </c>
      <c r="H49" s="31"/>
      <c r="I49" s="31" t="s">
        <v>26</v>
      </c>
      <c r="J49" s="31" t="s">
        <v>4681</v>
      </c>
      <c r="K49" s="31" t="s">
        <v>4671</v>
      </c>
      <c r="L49" s="31" t="s">
        <v>674</v>
      </c>
      <c r="M49" s="31"/>
    </row>
    <row r="50" spans="1:13" ht="30">
      <c r="A50" s="30" t="s">
        <v>4666</v>
      </c>
      <c r="B50" s="30" t="s">
        <v>4682</v>
      </c>
      <c r="C50" s="30" t="s">
        <v>4637</v>
      </c>
      <c r="D50" s="31"/>
      <c r="E50" s="31" t="s">
        <v>26</v>
      </c>
      <c r="F50" s="31" t="s">
        <v>4638</v>
      </c>
      <c r="G50" s="31" t="s">
        <v>17</v>
      </c>
      <c r="H50" s="31"/>
      <c r="I50" s="31" t="s">
        <v>17</v>
      </c>
      <c r="J50" s="31" t="s">
        <v>4683</v>
      </c>
      <c r="K50" s="31" t="s">
        <v>4671</v>
      </c>
      <c r="L50" s="31" t="s">
        <v>674</v>
      </c>
      <c r="M50" s="31"/>
    </row>
    <row r="51" spans="1:13" ht="30">
      <c r="A51" s="30" t="s">
        <v>4666</v>
      </c>
      <c r="B51" s="30" t="s">
        <v>4596</v>
      </c>
      <c r="C51" s="30" t="s">
        <v>4593</v>
      </c>
      <c r="D51" s="31"/>
      <c r="E51" s="31" t="s">
        <v>17</v>
      </c>
      <c r="F51" s="31" t="s">
        <v>4597</v>
      </c>
      <c r="G51" s="31" t="s">
        <v>17</v>
      </c>
      <c r="H51" s="31"/>
      <c r="I51" s="31" t="s">
        <v>26</v>
      </c>
      <c r="J51" s="31" t="s">
        <v>4684</v>
      </c>
      <c r="K51" s="31" t="s">
        <v>4671</v>
      </c>
      <c r="L51" s="31" t="s">
        <v>674</v>
      </c>
      <c r="M51" s="31"/>
    </row>
    <row r="52" spans="1:13" ht="30">
      <c r="A52" s="30" t="s">
        <v>4666</v>
      </c>
      <c r="B52" s="30" t="s">
        <v>4599</v>
      </c>
      <c r="C52" s="30" t="s">
        <v>4600</v>
      </c>
      <c r="D52" s="31"/>
      <c r="E52" s="31" t="s">
        <v>17</v>
      </c>
      <c r="F52" s="31" t="s">
        <v>4601</v>
      </c>
      <c r="G52" s="31" t="s">
        <v>17</v>
      </c>
      <c r="H52" s="31"/>
      <c r="I52" s="31" t="s">
        <v>17</v>
      </c>
      <c r="J52" s="31" t="s">
        <v>4602</v>
      </c>
      <c r="K52" s="31" t="s">
        <v>4671</v>
      </c>
      <c r="L52" s="31" t="s">
        <v>674</v>
      </c>
      <c r="M52" s="31"/>
    </row>
    <row r="53" spans="1:13">
      <c r="A53" s="30" t="s">
        <v>4685</v>
      </c>
      <c r="B53" s="30" t="s">
        <v>4583</v>
      </c>
      <c r="C53" s="30" t="s">
        <v>4584</v>
      </c>
      <c r="D53" s="31"/>
      <c r="E53" s="31" t="s">
        <v>17</v>
      </c>
      <c r="F53" s="31"/>
      <c r="G53" s="31" t="s">
        <v>26</v>
      </c>
      <c r="H53" s="31"/>
      <c r="I53" s="31" t="s">
        <v>26</v>
      </c>
      <c r="J53" s="31" t="s">
        <v>4686</v>
      </c>
      <c r="K53" s="31" t="s">
        <v>2332</v>
      </c>
      <c r="L53" s="31" t="s">
        <v>674</v>
      </c>
      <c r="M53" s="31"/>
    </row>
    <row r="54" spans="1:13" ht="30">
      <c r="A54" s="30" t="s">
        <v>4685</v>
      </c>
      <c r="B54" s="30" t="s">
        <v>4621</v>
      </c>
      <c r="C54" s="30" t="s">
        <v>4584</v>
      </c>
      <c r="D54" s="31"/>
      <c r="E54" s="31" t="s">
        <v>17</v>
      </c>
      <c r="F54" s="31"/>
      <c r="G54" s="31" t="s">
        <v>17</v>
      </c>
      <c r="H54" s="31" t="s">
        <v>4622</v>
      </c>
      <c r="I54" s="31" t="s">
        <v>26</v>
      </c>
      <c r="J54" s="31" t="s">
        <v>4672</v>
      </c>
      <c r="K54" s="31" t="s">
        <v>4687</v>
      </c>
      <c r="L54" s="31" t="s">
        <v>674</v>
      </c>
      <c r="M54" s="31"/>
    </row>
    <row r="55" spans="1:13" ht="30">
      <c r="A55" s="30" t="s">
        <v>4685</v>
      </c>
      <c r="B55" s="30" t="s">
        <v>4668</v>
      </c>
      <c r="C55" s="30" t="s">
        <v>4584</v>
      </c>
      <c r="D55" s="31"/>
      <c r="E55" s="31" t="s">
        <v>17</v>
      </c>
      <c r="F55" s="31"/>
      <c r="G55" s="31" t="s">
        <v>17</v>
      </c>
      <c r="H55" s="31" t="s">
        <v>4669</v>
      </c>
      <c r="I55" s="31" t="s">
        <v>26</v>
      </c>
      <c r="J55" s="31" t="s">
        <v>4670</v>
      </c>
      <c r="K55" s="31" t="s">
        <v>4687</v>
      </c>
      <c r="L55" s="31" t="s">
        <v>674</v>
      </c>
      <c r="M55" s="31"/>
    </row>
    <row r="56" spans="1:13" ht="30">
      <c r="A56" s="30" t="s">
        <v>4685</v>
      </c>
      <c r="B56" s="30" t="s">
        <v>4676</v>
      </c>
      <c r="C56" s="30" t="s">
        <v>4593</v>
      </c>
      <c r="D56" s="31"/>
      <c r="E56" s="31" t="s">
        <v>17</v>
      </c>
      <c r="F56" s="31" t="s">
        <v>4688</v>
      </c>
      <c r="G56" s="31" t="s">
        <v>17</v>
      </c>
      <c r="H56" s="31"/>
      <c r="I56" s="31" t="s">
        <v>26</v>
      </c>
      <c r="J56" s="31" t="s">
        <v>4689</v>
      </c>
      <c r="K56" s="31" t="s">
        <v>4687</v>
      </c>
      <c r="L56" s="31" t="s">
        <v>674</v>
      </c>
      <c r="M56" s="31"/>
    </row>
    <row r="57" spans="1:13" ht="30">
      <c r="A57" s="30" t="s">
        <v>4685</v>
      </c>
      <c r="B57" s="30" t="s">
        <v>4596</v>
      </c>
      <c r="C57" s="30" t="s">
        <v>4593</v>
      </c>
      <c r="D57" s="31"/>
      <c r="E57" s="31" t="s">
        <v>17</v>
      </c>
      <c r="F57" s="31" t="s">
        <v>4690</v>
      </c>
      <c r="G57" s="31" t="s">
        <v>17</v>
      </c>
      <c r="H57" s="31"/>
      <c r="I57" s="31" t="s">
        <v>26</v>
      </c>
      <c r="J57" s="31" t="s">
        <v>4691</v>
      </c>
      <c r="K57" s="31" t="s">
        <v>4687</v>
      </c>
      <c r="L57" s="31" t="s">
        <v>674</v>
      </c>
      <c r="M57" s="31"/>
    </row>
    <row r="58" spans="1:13" ht="30">
      <c r="A58" s="30" t="s">
        <v>4685</v>
      </c>
      <c r="B58" s="30" t="s">
        <v>4692</v>
      </c>
      <c r="C58" s="30" t="s">
        <v>4587</v>
      </c>
      <c r="D58" s="31">
        <v>50</v>
      </c>
      <c r="E58" s="31" t="s">
        <v>26</v>
      </c>
      <c r="F58" s="31"/>
      <c r="G58" s="31" t="s">
        <v>17</v>
      </c>
      <c r="H58" s="31"/>
      <c r="I58" s="31" t="s">
        <v>17</v>
      </c>
      <c r="J58" s="31" t="s">
        <v>4693</v>
      </c>
      <c r="K58" s="31" t="s">
        <v>4687</v>
      </c>
      <c r="L58" s="31" t="s">
        <v>674</v>
      </c>
      <c r="M58" s="31"/>
    </row>
    <row r="59" spans="1:13" ht="30">
      <c r="A59" s="30" t="s">
        <v>4685</v>
      </c>
      <c r="B59" s="30" t="s">
        <v>4694</v>
      </c>
      <c r="C59" s="30" t="s">
        <v>4587</v>
      </c>
      <c r="D59" s="31">
        <v>50</v>
      </c>
      <c r="E59" s="31" t="s">
        <v>26</v>
      </c>
      <c r="F59" s="31"/>
      <c r="G59" s="31" t="s">
        <v>17</v>
      </c>
      <c r="H59" s="31"/>
      <c r="I59" s="31" t="s">
        <v>17</v>
      </c>
      <c r="J59" s="31" t="s">
        <v>4695</v>
      </c>
      <c r="K59" s="31" t="s">
        <v>4687</v>
      </c>
      <c r="L59" s="31" t="s">
        <v>674</v>
      </c>
      <c r="M59" s="31"/>
    </row>
    <row r="60" spans="1:13" ht="30">
      <c r="A60" s="30" t="s">
        <v>4685</v>
      </c>
      <c r="B60" s="30" t="s">
        <v>4696</v>
      </c>
      <c r="C60" s="30" t="s">
        <v>4600</v>
      </c>
      <c r="D60" s="31"/>
      <c r="E60" s="31" t="s">
        <v>17</v>
      </c>
      <c r="F60" s="31"/>
      <c r="G60" s="31" t="s">
        <v>17</v>
      </c>
      <c r="H60" s="31"/>
      <c r="I60" s="31" t="s">
        <v>26</v>
      </c>
      <c r="J60" s="31" t="s">
        <v>4697</v>
      </c>
      <c r="K60" s="31" t="s">
        <v>4687</v>
      </c>
      <c r="L60" s="31" t="s">
        <v>674</v>
      </c>
      <c r="M60" s="31"/>
    </row>
    <row r="61" spans="1:13" ht="30">
      <c r="A61" s="30" t="s">
        <v>4685</v>
      </c>
      <c r="B61" s="30" t="s">
        <v>4698</v>
      </c>
      <c r="C61" s="30" t="s">
        <v>4600</v>
      </c>
      <c r="D61" s="31"/>
      <c r="E61" s="31" t="s">
        <v>26</v>
      </c>
      <c r="F61" s="31" t="s">
        <v>4634</v>
      </c>
      <c r="G61" s="31" t="s">
        <v>17</v>
      </c>
      <c r="H61" s="31"/>
      <c r="I61" s="31" t="s">
        <v>17</v>
      </c>
      <c r="J61" s="31" t="s">
        <v>4699</v>
      </c>
      <c r="K61" s="31" t="s">
        <v>4687</v>
      </c>
      <c r="L61" s="31" t="s">
        <v>674</v>
      </c>
      <c r="M61" s="31"/>
    </row>
    <row r="62" spans="1:13" ht="30">
      <c r="A62" s="30" t="s">
        <v>4685</v>
      </c>
      <c r="B62" s="30" t="s">
        <v>4700</v>
      </c>
      <c r="C62" s="30" t="s">
        <v>4637</v>
      </c>
      <c r="D62" s="31"/>
      <c r="E62" s="31" t="s">
        <v>17</v>
      </c>
      <c r="F62" s="31" t="s">
        <v>2091</v>
      </c>
      <c r="G62" s="31" t="s">
        <v>17</v>
      </c>
      <c r="H62" s="31"/>
      <c r="I62" s="31" t="s">
        <v>17</v>
      </c>
      <c r="J62" s="31" t="s">
        <v>4701</v>
      </c>
      <c r="K62" s="31" t="s">
        <v>4687</v>
      </c>
      <c r="L62" s="31" t="s">
        <v>674</v>
      </c>
      <c r="M62" s="31"/>
    </row>
    <row r="63" spans="1:13" ht="30">
      <c r="A63" s="30" t="s">
        <v>4685</v>
      </c>
      <c r="B63" s="30" t="s">
        <v>4702</v>
      </c>
      <c r="C63" s="30" t="s">
        <v>4587</v>
      </c>
      <c r="D63" s="31">
        <v>50</v>
      </c>
      <c r="E63" s="31" t="s">
        <v>26</v>
      </c>
      <c r="F63" s="31"/>
      <c r="G63" s="31" t="s">
        <v>17</v>
      </c>
      <c r="H63" s="31"/>
      <c r="I63" s="31" t="s">
        <v>17</v>
      </c>
      <c r="J63" s="31" t="s">
        <v>4703</v>
      </c>
      <c r="K63" s="31" t="s">
        <v>4687</v>
      </c>
      <c r="L63" s="31" t="s">
        <v>674</v>
      </c>
      <c r="M63" s="31"/>
    </row>
    <row r="64" spans="1:13" ht="30">
      <c r="A64" s="30" t="s">
        <v>4685</v>
      </c>
      <c r="B64" s="30" t="s">
        <v>4704</v>
      </c>
      <c r="C64" s="30" t="s">
        <v>4705</v>
      </c>
      <c r="D64" s="31"/>
      <c r="E64" s="31" t="s">
        <v>17</v>
      </c>
      <c r="F64" s="31" t="s">
        <v>4706</v>
      </c>
      <c r="G64" s="31" t="s">
        <v>17</v>
      </c>
      <c r="H64" s="31"/>
      <c r="I64" s="31" t="s">
        <v>26</v>
      </c>
      <c r="J64" s="31" t="s">
        <v>4707</v>
      </c>
      <c r="K64" s="31" t="s">
        <v>4687</v>
      </c>
      <c r="L64" s="31" t="s">
        <v>674</v>
      </c>
      <c r="M64" s="31"/>
    </row>
    <row r="65" spans="1:13" ht="30">
      <c r="A65" s="30" t="s">
        <v>4685</v>
      </c>
      <c r="B65" s="30" t="s">
        <v>4599</v>
      </c>
      <c r="C65" s="30" t="s">
        <v>4600</v>
      </c>
      <c r="D65" s="31"/>
      <c r="E65" s="31" t="s">
        <v>17</v>
      </c>
      <c r="F65" s="31" t="s">
        <v>4601</v>
      </c>
      <c r="G65" s="31" t="s">
        <v>17</v>
      </c>
      <c r="H65" s="31"/>
      <c r="I65" s="31" t="s">
        <v>17</v>
      </c>
      <c r="J65" s="31" t="s">
        <v>4602</v>
      </c>
      <c r="K65" s="31" t="s">
        <v>4687</v>
      </c>
      <c r="L65" s="31" t="s">
        <v>674</v>
      </c>
      <c r="M65" s="31"/>
    </row>
    <row r="66" spans="1:13">
      <c r="A66" s="30" t="s">
        <v>4708</v>
      </c>
      <c r="B66" s="30" t="s">
        <v>4583</v>
      </c>
      <c r="C66" s="30" t="s">
        <v>4584</v>
      </c>
      <c r="D66" s="31"/>
      <c r="E66" s="31" t="s">
        <v>17</v>
      </c>
      <c r="F66" s="31"/>
      <c r="G66" s="31" t="s">
        <v>26</v>
      </c>
      <c r="H66" s="31"/>
      <c r="I66" s="31" t="s">
        <v>26</v>
      </c>
      <c r="J66" s="31" t="s">
        <v>4709</v>
      </c>
      <c r="K66" s="31" t="s">
        <v>2340</v>
      </c>
      <c r="L66" s="31" t="s">
        <v>674</v>
      </c>
      <c r="M66" s="31"/>
    </row>
    <row r="67" spans="1:13" ht="30">
      <c r="A67" s="30" t="s">
        <v>4708</v>
      </c>
      <c r="B67" s="30" t="s">
        <v>4621</v>
      </c>
      <c r="C67" s="30" t="s">
        <v>4584</v>
      </c>
      <c r="D67" s="31"/>
      <c r="E67" s="31" t="s">
        <v>17</v>
      </c>
      <c r="F67" s="31"/>
      <c r="G67" s="31" t="s">
        <v>17</v>
      </c>
      <c r="H67" s="31" t="s">
        <v>4622</v>
      </c>
      <c r="I67" s="31" t="s">
        <v>26</v>
      </c>
      <c r="J67" s="31" t="s">
        <v>4672</v>
      </c>
      <c r="K67" s="31" t="s">
        <v>4710</v>
      </c>
      <c r="L67" s="31" t="s">
        <v>674</v>
      </c>
      <c r="M67" s="31"/>
    </row>
    <row r="68" spans="1:13" ht="30">
      <c r="A68" s="30" t="s">
        <v>4708</v>
      </c>
      <c r="B68" s="30" t="s">
        <v>4711</v>
      </c>
      <c r="C68" s="30" t="s">
        <v>4587</v>
      </c>
      <c r="D68" s="31">
        <v>30</v>
      </c>
      <c r="E68" s="31" t="s">
        <v>17</v>
      </c>
      <c r="F68" s="31"/>
      <c r="G68" s="31" t="s">
        <v>17</v>
      </c>
      <c r="H68" s="31"/>
      <c r="I68" s="31" t="s">
        <v>4590</v>
      </c>
      <c r="J68" s="31" t="s">
        <v>4712</v>
      </c>
      <c r="K68" s="31" t="s">
        <v>4710</v>
      </c>
      <c r="L68" s="31" t="s">
        <v>674</v>
      </c>
      <c r="M68" s="31"/>
    </row>
    <row r="69" spans="1:13" ht="30">
      <c r="A69" s="30" t="s">
        <v>4708</v>
      </c>
      <c r="B69" s="30" t="s">
        <v>4713</v>
      </c>
      <c r="C69" s="30" t="s">
        <v>4600</v>
      </c>
      <c r="D69" s="31"/>
      <c r="E69" s="31" t="s">
        <v>17</v>
      </c>
      <c r="F69" s="31"/>
      <c r="G69" s="31" t="s">
        <v>17</v>
      </c>
      <c r="H69" s="31"/>
      <c r="I69" s="31" t="s">
        <v>26</v>
      </c>
      <c r="J69" s="31" t="s">
        <v>4714</v>
      </c>
      <c r="K69" s="31" t="s">
        <v>4710</v>
      </c>
      <c r="L69" s="31" t="s">
        <v>674</v>
      </c>
      <c r="M69" s="31"/>
    </row>
    <row r="70" spans="1:13" ht="30">
      <c r="A70" s="30" t="s">
        <v>4708</v>
      </c>
      <c r="B70" s="30" t="s">
        <v>4676</v>
      </c>
      <c r="C70" s="30" t="s">
        <v>4587</v>
      </c>
      <c r="D70" s="31">
        <v>50</v>
      </c>
      <c r="E70" s="31" t="s">
        <v>17</v>
      </c>
      <c r="F70" s="31"/>
      <c r="G70" s="31" t="s">
        <v>17</v>
      </c>
      <c r="H70" s="31"/>
      <c r="I70" s="31" t="s">
        <v>26</v>
      </c>
      <c r="J70" s="31" t="s">
        <v>4715</v>
      </c>
      <c r="K70" s="31" t="s">
        <v>4710</v>
      </c>
      <c r="L70" s="31" t="s">
        <v>674</v>
      </c>
      <c r="M70" s="31"/>
    </row>
    <row r="71" spans="1:13" ht="30">
      <c r="A71" s="30" t="s">
        <v>4708</v>
      </c>
      <c r="B71" s="30" t="s">
        <v>4716</v>
      </c>
      <c r="C71" s="30" t="s">
        <v>4587</v>
      </c>
      <c r="D71" s="31">
        <v>100</v>
      </c>
      <c r="E71" s="31" t="s">
        <v>17</v>
      </c>
      <c r="F71" s="31"/>
      <c r="G71" s="31" t="s">
        <v>17</v>
      </c>
      <c r="H71" s="31"/>
      <c r="I71" s="31" t="s">
        <v>17</v>
      </c>
      <c r="J71" s="31" t="s">
        <v>4717</v>
      </c>
      <c r="K71" s="31" t="s">
        <v>4710</v>
      </c>
      <c r="L71" s="31" t="s">
        <v>674</v>
      </c>
      <c r="M71" s="31"/>
    </row>
    <row r="72" spans="1:13" ht="30">
      <c r="A72" s="30" t="s">
        <v>4708</v>
      </c>
      <c r="B72" s="30" t="s">
        <v>4654</v>
      </c>
      <c r="C72" s="30" t="s">
        <v>4584</v>
      </c>
      <c r="D72" s="31"/>
      <c r="E72" s="31" t="s">
        <v>26</v>
      </c>
      <c r="F72" s="31" t="s">
        <v>4634</v>
      </c>
      <c r="G72" s="31" t="s">
        <v>17</v>
      </c>
      <c r="H72" s="31" t="s">
        <v>4655</v>
      </c>
      <c r="I72" s="31" t="s">
        <v>26</v>
      </c>
      <c r="J72" s="31" t="s">
        <v>4718</v>
      </c>
      <c r="K72" s="31" t="s">
        <v>4710</v>
      </c>
      <c r="L72" s="31" t="s">
        <v>674</v>
      </c>
      <c r="M72" s="31"/>
    </row>
    <row r="73" spans="1:13" ht="30">
      <c r="A73" s="30" t="s">
        <v>4708</v>
      </c>
      <c r="B73" s="30" t="s">
        <v>4719</v>
      </c>
      <c r="C73" s="30" t="s">
        <v>4584</v>
      </c>
      <c r="D73" s="31"/>
      <c r="E73" s="31" t="s">
        <v>26</v>
      </c>
      <c r="F73" s="31" t="s">
        <v>4634</v>
      </c>
      <c r="G73" s="31" t="s">
        <v>17</v>
      </c>
      <c r="H73" s="31" t="s">
        <v>4669</v>
      </c>
      <c r="I73" s="31" t="s">
        <v>26</v>
      </c>
      <c r="J73" s="31" t="s">
        <v>4720</v>
      </c>
      <c r="K73" s="31" t="s">
        <v>4710</v>
      </c>
      <c r="L73" s="31" t="s">
        <v>674</v>
      </c>
      <c r="M73" s="31"/>
    </row>
    <row r="74" spans="1:13" ht="30">
      <c r="A74" s="30" t="s">
        <v>4708</v>
      </c>
      <c r="B74" s="30" t="s">
        <v>4721</v>
      </c>
      <c r="C74" s="30" t="s">
        <v>4637</v>
      </c>
      <c r="D74" s="31"/>
      <c r="E74" s="31" t="s">
        <v>17</v>
      </c>
      <c r="F74" s="31" t="s">
        <v>2091</v>
      </c>
      <c r="G74" s="31" t="s">
        <v>17</v>
      </c>
      <c r="H74" s="31"/>
      <c r="I74" s="31" t="s">
        <v>17</v>
      </c>
      <c r="J74" s="31" t="s">
        <v>4722</v>
      </c>
      <c r="K74" s="31" t="s">
        <v>4710</v>
      </c>
      <c r="L74" s="31" t="s">
        <v>674</v>
      </c>
      <c r="M74" s="31"/>
    </row>
    <row r="75" spans="1:13" ht="30">
      <c r="A75" s="30" t="s">
        <v>4708</v>
      </c>
      <c r="B75" s="30" t="s">
        <v>4723</v>
      </c>
      <c r="C75" s="30" t="s">
        <v>4637</v>
      </c>
      <c r="D75" s="31"/>
      <c r="E75" s="31" t="s">
        <v>17</v>
      </c>
      <c r="F75" s="31" t="s">
        <v>4638</v>
      </c>
      <c r="G75" s="31" t="s">
        <v>17</v>
      </c>
      <c r="H75" s="31"/>
      <c r="I75" s="31" t="s">
        <v>17</v>
      </c>
      <c r="J75" s="31" t="s">
        <v>4724</v>
      </c>
      <c r="K75" s="31" t="s">
        <v>4710</v>
      </c>
      <c r="L75" s="31" t="s">
        <v>674</v>
      </c>
      <c r="M75" s="31"/>
    </row>
    <row r="76" spans="1:13" ht="30">
      <c r="A76" s="30" t="s">
        <v>4708</v>
      </c>
      <c r="B76" s="30" t="s">
        <v>4725</v>
      </c>
      <c r="C76" s="30" t="s">
        <v>4637</v>
      </c>
      <c r="D76" s="31"/>
      <c r="E76" s="31" t="s">
        <v>17</v>
      </c>
      <c r="F76" s="31" t="s">
        <v>4638</v>
      </c>
      <c r="G76" s="31" t="s">
        <v>17</v>
      </c>
      <c r="H76" s="31"/>
      <c r="I76" s="31" t="s">
        <v>17</v>
      </c>
      <c r="J76" s="31" t="s">
        <v>4726</v>
      </c>
      <c r="K76" s="31" t="s">
        <v>4710</v>
      </c>
      <c r="L76" s="31" t="s">
        <v>674</v>
      </c>
      <c r="M76" s="31"/>
    </row>
    <row r="77" spans="1:13" ht="30">
      <c r="A77" s="30" t="s">
        <v>4708</v>
      </c>
      <c r="B77" s="30" t="s">
        <v>4727</v>
      </c>
      <c r="C77" s="30" t="s">
        <v>4637</v>
      </c>
      <c r="D77" s="31"/>
      <c r="E77" s="31" t="s">
        <v>17</v>
      </c>
      <c r="F77" s="31" t="s">
        <v>4638</v>
      </c>
      <c r="G77" s="31" t="s">
        <v>17</v>
      </c>
      <c r="H77" s="31"/>
      <c r="I77" s="31" t="s">
        <v>17</v>
      </c>
      <c r="J77" s="31" t="s">
        <v>4728</v>
      </c>
      <c r="K77" s="31" t="s">
        <v>4710</v>
      </c>
      <c r="L77" s="31" t="s">
        <v>674</v>
      </c>
      <c r="M77" s="31"/>
    </row>
    <row r="78" spans="1:13" ht="30">
      <c r="A78" s="30" t="s">
        <v>4708</v>
      </c>
      <c r="B78" s="30" t="s">
        <v>4729</v>
      </c>
      <c r="C78" s="30" t="s">
        <v>4587</v>
      </c>
      <c r="D78" s="31">
        <v>20</v>
      </c>
      <c r="E78" s="31" t="s">
        <v>17</v>
      </c>
      <c r="F78" s="31"/>
      <c r="G78" s="31" t="s">
        <v>17</v>
      </c>
      <c r="H78" s="31"/>
      <c r="I78" s="31" t="s">
        <v>26</v>
      </c>
      <c r="J78" s="31" t="s">
        <v>4730</v>
      </c>
      <c r="K78" s="31" t="s">
        <v>4710</v>
      </c>
      <c r="L78" s="31" t="s">
        <v>674</v>
      </c>
      <c r="M78" s="31"/>
    </row>
    <row r="79" spans="1:13" ht="30">
      <c r="A79" s="30" t="s">
        <v>4708</v>
      </c>
      <c r="B79" s="30" t="s">
        <v>4731</v>
      </c>
      <c r="C79" s="30" t="s">
        <v>4637</v>
      </c>
      <c r="D79" s="31"/>
      <c r="E79" s="31" t="s">
        <v>17</v>
      </c>
      <c r="F79" s="31" t="s">
        <v>4638</v>
      </c>
      <c r="G79" s="31" t="s">
        <v>17</v>
      </c>
      <c r="H79" s="31"/>
      <c r="I79" s="31" t="s">
        <v>17</v>
      </c>
      <c r="J79" s="31" t="s">
        <v>4732</v>
      </c>
      <c r="K79" s="31" t="s">
        <v>4710</v>
      </c>
      <c r="L79" s="31" t="s">
        <v>674</v>
      </c>
      <c r="M79" s="31"/>
    </row>
    <row r="80" spans="1:13" ht="30">
      <c r="A80" s="30" t="s">
        <v>4708</v>
      </c>
      <c r="B80" s="30" t="s">
        <v>4733</v>
      </c>
      <c r="C80" s="30" t="s">
        <v>4637</v>
      </c>
      <c r="D80" s="31"/>
      <c r="E80" s="31" t="s">
        <v>17</v>
      </c>
      <c r="F80" s="31" t="s">
        <v>4638</v>
      </c>
      <c r="G80" s="31" t="s">
        <v>17</v>
      </c>
      <c r="H80" s="31"/>
      <c r="I80" s="31" t="s">
        <v>17</v>
      </c>
      <c r="J80" s="31" t="s">
        <v>4734</v>
      </c>
      <c r="K80" s="31" t="s">
        <v>4710</v>
      </c>
      <c r="L80" s="31" t="s">
        <v>674</v>
      </c>
      <c r="M80" s="31"/>
    </row>
    <row r="81" spans="1:13" ht="30">
      <c r="A81" s="30" t="s">
        <v>4708</v>
      </c>
      <c r="B81" s="30" t="s">
        <v>4735</v>
      </c>
      <c r="C81" s="30" t="s">
        <v>4637</v>
      </c>
      <c r="D81" s="31"/>
      <c r="E81" s="31" t="s">
        <v>17</v>
      </c>
      <c r="F81" s="31" t="s">
        <v>4638</v>
      </c>
      <c r="G81" s="31" t="s">
        <v>17</v>
      </c>
      <c r="H81" s="31"/>
      <c r="I81" s="31" t="s">
        <v>17</v>
      </c>
      <c r="J81" s="31" t="s">
        <v>4736</v>
      </c>
      <c r="K81" s="31" t="s">
        <v>4710</v>
      </c>
      <c r="L81" s="31" t="s">
        <v>674</v>
      </c>
      <c r="M81" s="31"/>
    </row>
    <row r="82" spans="1:13" ht="30">
      <c r="A82" s="30" t="s">
        <v>4708</v>
      </c>
      <c r="B82" s="30" t="s">
        <v>4737</v>
      </c>
      <c r="C82" s="30" t="s">
        <v>4587</v>
      </c>
      <c r="D82" s="31">
        <v>50</v>
      </c>
      <c r="E82" s="31" t="s">
        <v>26</v>
      </c>
      <c r="F82" s="31"/>
      <c r="G82" s="31" t="s">
        <v>17</v>
      </c>
      <c r="H82" s="31"/>
      <c r="I82" s="31" t="s">
        <v>17</v>
      </c>
      <c r="J82" s="31" t="s">
        <v>4738</v>
      </c>
      <c r="K82" s="31" t="s">
        <v>4710</v>
      </c>
      <c r="L82" s="31" t="s">
        <v>674</v>
      </c>
      <c r="M82" s="31"/>
    </row>
    <row r="83" spans="1:13" ht="30">
      <c r="A83" s="30" t="s">
        <v>4708</v>
      </c>
      <c r="B83" s="30" t="s">
        <v>4739</v>
      </c>
      <c r="C83" s="30" t="s">
        <v>4587</v>
      </c>
      <c r="D83" s="31">
        <v>20</v>
      </c>
      <c r="E83" s="31" t="s">
        <v>26</v>
      </c>
      <c r="F83" s="31"/>
      <c r="G83" s="31" t="s">
        <v>17</v>
      </c>
      <c r="H83" s="31"/>
      <c r="I83" s="31" t="s">
        <v>17</v>
      </c>
      <c r="J83" s="31" t="s">
        <v>4740</v>
      </c>
      <c r="K83" s="31" t="s">
        <v>4710</v>
      </c>
      <c r="L83" s="31" t="s">
        <v>674</v>
      </c>
      <c r="M83" s="31"/>
    </row>
    <row r="84" spans="1:13" ht="30">
      <c r="A84" s="30" t="s">
        <v>4708</v>
      </c>
      <c r="B84" s="30" t="s">
        <v>4741</v>
      </c>
      <c r="C84" s="30" t="s">
        <v>4587</v>
      </c>
      <c r="D84" s="31">
        <v>30</v>
      </c>
      <c r="E84" s="31" t="s">
        <v>26</v>
      </c>
      <c r="F84" s="31"/>
      <c r="G84" s="31" t="s">
        <v>17</v>
      </c>
      <c r="H84" s="31"/>
      <c r="I84" s="31" t="s">
        <v>17</v>
      </c>
      <c r="J84" s="31" t="s">
        <v>4742</v>
      </c>
      <c r="K84" s="31" t="s">
        <v>4710</v>
      </c>
      <c r="L84" s="31" t="s">
        <v>674</v>
      </c>
      <c r="M84" s="31"/>
    </row>
    <row r="85" spans="1:13" ht="30">
      <c r="A85" s="30" t="s">
        <v>4708</v>
      </c>
      <c r="B85" s="30" t="s">
        <v>4743</v>
      </c>
      <c r="C85" s="30" t="s">
        <v>4637</v>
      </c>
      <c r="D85" s="31"/>
      <c r="E85" s="31" t="s">
        <v>17</v>
      </c>
      <c r="F85" s="31" t="s">
        <v>4638</v>
      </c>
      <c r="G85" s="31" t="s">
        <v>17</v>
      </c>
      <c r="H85" s="31"/>
      <c r="I85" s="31" t="s">
        <v>17</v>
      </c>
      <c r="J85" s="31" t="s">
        <v>4744</v>
      </c>
      <c r="K85" s="31" t="s">
        <v>4710</v>
      </c>
      <c r="L85" s="31" t="s">
        <v>674</v>
      </c>
      <c r="M85" s="31"/>
    </row>
    <row r="86" spans="1:13" ht="45">
      <c r="A86" s="30" t="s">
        <v>4708</v>
      </c>
      <c r="B86" s="30" t="s">
        <v>4596</v>
      </c>
      <c r="C86" s="30" t="s">
        <v>4593</v>
      </c>
      <c r="D86" s="31"/>
      <c r="E86" s="31" t="s">
        <v>17</v>
      </c>
      <c r="F86" s="31" t="s">
        <v>4745</v>
      </c>
      <c r="G86" s="31" t="s">
        <v>17</v>
      </c>
      <c r="H86" s="31"/>
      <c r="I86" s="31" t="s">
        <v>26</v>
      </c>
      <c r="J86" s="31" t="s">
        <v>4746</v>
      </c>
      <c r="K86" s="31" t="s">
        <v>4710</v>
      </c>
      <c r="L86" s="31" t="s">
        <v>674</v>
      </c>
      <c r="M86" s="31"/>
    </row>
    <row r="87" spans="1:13" ht="30">
      <c r="A87" s="30" t="s">
        <v>4708</v>
      </c>
      <c r="B87" s="30" t="s">
        <v>4692</v>
      </c>
      <c r="C87" s="30" t="s">
        <v>4587</v>
      </c>
      <c r="D87" s="31">
        <v>50</v>
      </c>
      <c r="E87" s="31" t="s">
        <v>26</v>
      </c>
      <c r="F87" s="31"/>
      <c r="G87" s="31" t="s">
        <v>17</v>
      </c>
      <c r="H87" s="31"/>
      <c r="I87" s="31" t="s">
        <v>17</v>
      </c>
      <c r="J87" s="31" t="s">
        <v>4747</v>
      </c>
      <c r="K87" s="31" t="s">
        <v>4710</v>
      </c>
      <c r="L87" s="31" t="s">
        <v>674</v>
      </c>
      <c r="M87" s="31"/>
    </row>
    <row r="88" spans="1:13" ht="30">
      <c r="A88" s="30" t="s">
        <v>4708</v>
      </c>
      <c r="B88" s="30" t="s">
        <v>4661</v>
      </c>
      <c r="C88" s="30" t="s">
        <v>4662</v>
      </c>
      <c r="D88" s="31"/>
      <c r="E88" s="31" t="s">
        <v>26</v>
      </c>
      <c r="F88" s="31"/>
      <c r="G88" s="31" t="s">
        <v>17</v>
      </c>
      <c r="H88" s="31"/>
      <c r="I88" s="31" t="s">
        <v>17</v>
      </c>
      <c r="J88" s="31" t="s">
        <v>4748</v>
      </c>
      <c r="K88" s="31" t="s">
        <v>4710</v>
      </c>
      <c r="L88" s="31" t="s">
        <v>674</v>
      </c>
      <c r="M88" s="31"/>
    </row>
    <row r="89" spans="1:13" ht="30">
      <c r="A89" s="30" t="s">
        <v>4708</v>
      </c>
      <c r="B89" s="30" t="s">
        <v>4599</v>
      </c>
      <c r="C89" s="30" t="s">
        <v>4600</v>
      </c>
      <c r="D89" s="31"/>
      <c r="E89" s="31" t="s">
        <v>17</v>
      </c>
      <c r="F89" s="31" t="s">
        <v>4601</v>
      </c>
      <c r="G89" s="31" t="s">
        <v>17</v>
      </c>
      <c r="H89" s="31"/>
      <c r="I89" s="31" t="s">
        <v>17</v>
      </c>
      <c r="J89" s="31" t="s">
        <v>4602</v>
      </c>
      <c r="K89" s="31" t="s">
        <v>4710</v>
      </c>
      <c r="L89" s="31" t="s">
        <v>674</v>
      </c>
      <c r="M89" s="31"/>
    </row>
    <row r="90" spans="1:13">
      <c r="A90" s="30" t="s">
        <v>4749</v>
      </c>
      <c r="B90" s="30" t="s">
        <v>4583</v>
      </c>
      <c r="C90" s="30" t="s">
        <v>4584</v>
      </c>
      <c r="D90" s="31"/>
      <c r="E90" s="31" t="s">
        <v>17</v>
      </c>
      <c r="F90" s="31"/>
      <c r="G90" s="31" t="s">
        <v>26</v>
      </c>
      <c r="H90" s="31"/>
      <c r="I90" s="31" t="s">
        <v>26</v>
      </c>
      <c r="J90" s="31" t="s">
        <v>4750</v>
      </c>
      <c r="K90" s="31" t="s">
        <v>2490</v>
      </c>
      <c r="L90" s="31" t="s">
        <v>674</v>
      </c>
      <c r="M90" s="31"/>
    </row>
    <row r="91" spans="1:13" ht="30">
      <c r="A91" s="30" t="s">
        <v>4749</v>
      </c>
      <c r="B91" s="30" t="s">
        <v>4621</v>
      </c>
      <c r="C91" s="30" t="s">
        <v>4584</v>
      </c>
      <c r="D91" s="31"/>
      <c r="E91" s="31" t="s">
        <v>17</v>
      </c>
      <c r="F91" s="31"/>
      <c r="G91" s="31" t="s">
        <v>17</v>
      </c>
      <c r="H91" s="31" t="s">
        <v>4622</v>
      </c>
      <c r="I91" s="31" t="s">
        <v>26</v>
      </c>
      <c r="J91" s="31" t="s">
        <v>4672</v>
      </c>
      <c r="K91" s="31" t="s">
        <v>4751</v>
      </c>
      <c r="L91" s="31" t="s">
        <v>674</v>
      </c>
      <c r="M91" s="31"/>
    </row>
    <row r="92" spans="1:13" ht="30">
      <c r="A92" s="30" t="s">
        <v>4749</v>
      </c>
      <c r="B92" s="30" t="s">
        <v>4692</v>
      </c>
      <c r="C92" s="30" t="s">
        <v>4587</v>
      </c>
      <c r="D92" s="31">
        <v>50</v>
      </c>
      <c r="E92" s="31" t="s">
        <v>17</v>
      </c>
      <c r="F92" s="31"/>
      <c r="G92" s="31" t="s">
        <v>17</v>
      </c>
      <c r="H92" s="31"/>
      <c r="I92" s="31" t="s">
        <v>26</v>
      </c>
      <c r="J92" s="31" t="s">
        <v>4752</v>
      </c>
      <c r="K92" s="31" t="s">
        <v>4751</v>
      </c>
      <c r="L92" s="31" t="s">
        <v>674</v>
      </c>
      <c r="M92" s="31"/>
    </row>
    <row r="93" spans="1:13" ht="30">
      <c r="A93" s="30" t="s">
        <v>4749</v>
      </c>
      <c r="B93" s="30" t="s">
        <v>4753</v>
      </c>
      <c r="C93" s="30" t="s">
        <v>4593</v>
      </c>
      <c r="D93" s="31"/>
      <c r="E93" s="31" t="s">
        <v>17</v>
      </c>
      <c r="F93" s="31"/>
      <c r="G93" s="31" t="s">
        <v>17</v>
      </c>
      <c r="H93" s="31"/>
      <c r="I93" s="31" t="s">
        <v>26</v>
      </c>
      <c r="J93" s="31" t="s">
        <v>4754</v>
      </c>
      <c r="K93" s="31" t="s">
        <v>4751</v>
      </c>
      <c r="L93" s="31" t="s">
        <v>674</v>
      </c>
      <c r="M93" s="31"/>
    </row>
    <row r="94" spans="1:13" ht="30">
      <c r="A94" s="30" t="s">
        <v>4749</v>
      </c>
      <c r="B94" s="30" t="s">
        <v>4755</v>
      </c>
      <c r="C94" s="30" t="s">
        <v>4587</v>
      </c>
      <c r="D94" s="31">
        <v>50</v>
      </c>
      <c r="E94" s="31" t="s">
        <v>26</v>
      </c>
      <c r="F94" s="31"/>
      <c r="G94" s="31" t="s">
        <v>17</v>
      </c>
      <c r="H94" s="31"/>
      <c r="I94" s="31" t="s">
        <v>17</v>
      </c>
      <c r="J94" s="31" t="s">
        <v>4756</v>
      </c>
      <c r="K94" s="31" t="s">
        <v>4751</v>
      </c>
      <c r="L94" s="31" t="s">
        <v>674</v>
      </c>
      <c r="M94" s="31"/>
    </row>
    <row r="95" spans="1:13" ht="30">
      <c r="A95" s="30" t="s">
        <v>4749</v>
      </c>
      <c r="B95" s="30" t="s">
        <v>4586</v>
      </c>
      <c r="C95" s="30" t="s">
        <v>4587</v>
      </c>
      <c r="D95" s="31">
        <v>100</v>
      </c>
      <c r="E95" s="31" t="s">
        <v>17</v>
      </c>
      <c r="F95" s="31"/>
      <c r="G95" s="31" t="s">
        <v>17</v>
      </c>
      <c r="H95" s="31"/>
      <c r="I95" s="31" t="s">
        <v>26</v>
      </c>
      <c r="J95" s="31" t="s">
        <v>4717</v>
      </c>
      <c r="K95" s="31" t="s">
        <v>4751</v>
      </c>
      <c r="L95" s="31" t="s">
        <v>674</v>
      </c>
      <c r="M95" s="31"/>
    </row>
    <row r="96" spans="1:13" ht="30">
      <c r="A96" s="30" t="s">
        <v>4749</v>
      </c>
      <c r="B96" s="30" t="s">
        <v>4757</v>
      </c>
      <c r="C96" s="30" t="s">
        <v>4637</v>
      </c>
      <c r="D96" s="31"/>
      <c r="E96" s="31" t="s">
        <v>17</v>
      </c>
      <c r="F96" s="31" t="s">
        <v>4638</v>
      </c>
      <c r="G96" s="31" t="s">
        <v>17</v>
      </c>
      <c r="H96" s="31"/>
      <c r="I96" s="31" t="s">
        <v>17</v>
      </c>
      <c r="J96" s="31" t="s">
        <v>4758</v>
      </c>
      <c r="K96" s="31" t="s">
        <v>4751</v>
      </c>
      <c r="L96" s="31" t="s">
        <v>674</v>
      </c>
      <c r="M96" s="31"/>
    </row>
    <row r="97" spans="1:13" ht="30">
      <c r="A97" s="30" t="s">
        <v>4749</v>
      </c>
      <c r="B97" s="30" t="s">
        <v>4759</v>
      </c>
      <c r="C97" s="30" t="s">
        <v>4637</v>
      </c>
      <c r="D97" s="31"/>
      <c r="E97" s="31" t="s">
        <v>17</v>
      </c>
      <c r="F97" s="31" t="s">
        <v>4638</v>
      </c>
      <c r="G97" s="31" t="s">
        <v>17</v>
      </c>
      <c r="H97" s="31"/>
      <c r="I97" s="31" t="s">
        <v>17</v>
      </c>
      <c r="J97" s="31" t="s">
        <v>4760</v>
      </c>
      <c r="K97" s="31" t="s">
        <v>4751</v>
      </c>
      <c r="L97" s="31" t="s">
        <v>674</v>
      </c>
      <c r="M97" s="31"/>
    </row>
    <row r="98" spans="1:13" ht="30">
      <c r="A98" s="30" t="s">
        <v>4749</v>
      </c>
      <c r="B98" s="30" t="s">
        <v>4761</v>
      </c>
      <c r="C98" s="30" t="s">
        <v>4637</v>
      </c>
      <c r="D98" s="31"/>
      <c r="E98" s="31" t="s">
        <v>26</v>
      </c>
      <c r="F98" s="31" t="s">
        <v>4634</v>
      </c>
      <c r="G98" s="31" t="s">
        <v>17</v>
      </c>
      <c r="H98" s="31"/>
      <c r="I98" s="31" t="s">
        <v>17</v>
      </c>
      <c r="J98" s="31" t="s">
        <v>4762</v>
      </c>
      <c r="K98" s="31" t="s">
        <v>4751</v>
      </c>
      <c r="L98" s="31" t="s">
        <v>674</v>
      </c>
      <c r="M98" s="31"/>
    </row>
    <row r="99" spans="1:13" ht="30">
      <c r="A99" s="30" t="s">
        <v>4749</v>
      </c>
      <c r="B99" s="30" t="s">
        <v>4763</v>
      </c>
      <c r="C99" s="30" t="s">
        <v>4705</v>
      </c>
      <c r="D99" s="31"/>
      <c r="E99" s="31" t="s">
        <v>17</v>
      </c>
      <c r="F99" s="31" t="s">
        <v>4764</v>
      </c>
      <c r="G99" s="31" t="s">
        <v>17</v>
      </c>
      <c r="H99" s="31"/>
      <c r="I99" s="31" t="s">
        <v>17</v>
      </c>
      <c r="J99" s="31" t="s">
        <v>4765</v>
      </c>
      <c r="K99" s="31" t="s">
        <v>4751</v>
      </c>
      <c r="L99" s="31" t="s">
        <v>674</v>
      </c>
      <c r="M99" s="31"/>
    </row>
    <row r="100" spans="1:13" ht="30">
      <c r="A100" s="30" t="s">
        <v>4749</v>
      </c>
      <c r="B100" s="30" t="s">
        <v>4596</v>
      </c>
      <c r="C100" s="30" t="s">
        <v>4593</v>
      </c>
      <c r="D100" s="31"/>
      <c r="E100" s="31" t="s">
        <v>17</v>
      </c>
      <c r="F100" s="31" t="s">
        <v>4597</v>
      </c>
      <c r="G100" s="31" t="s">
        <v>17</v>
      </c>
      <c r="H100" s="31"/>
      <c r="I100" s="31" t="s">
        <v>26</v>
      </c>
      <c r="J100" s="31" t="s">
        <v>4618</v>
      </c>
      <c r="K100" s="31" t="s">
        <v>4751</v>
      </c>
      <c r="L100" s="31" t="s">
        <v>674</v>
      </c>
      <c r="M100" s="31"/>
    </row>
    <row r="101" spans="1:13" ht="30">
      <c r="A101" s="30" t="s">
        <v>4749</v>
      </c>
      <c r="B101" s="30" t="s">
        <v>4599</v>
      </c>
      <c r="C101" s="30" t="s">
        <v>4600</v>
      </c>
      <c r="D101" s="31"/>
      <c r="E101" s="31" t="s">
        <v>17</v>
      </c>
      <c r="F101" s="31" t="s">
        <v>4601</v>
      </c>
      <c r="G101" s="31" t="s">
        <v>17</v>
      </c>
      <c r="H101" s="31"/>
      <c r="I101" s="31" t="s">
        <v>17</v>
      </c>
      <c r="J101" s="31" t="s">
        <v>4602</v>
      </c>
      <c r="K101" s="31" t="s">
        <v>4751</v>
      </c>
      <c r="L101" s="31" t="s">
        <v>674</v>
      </c>
      <c r="M101" s="31"/>
    </row>
    <row r="102" spans="1:13" ht="30">
      <c r="A102" s="30" t="s">
        <v>4749</v>
      </c>
      <c r="B102" s="30" t="s">
        <v>4603</v>
      </c>
      <c r="C102" s="30" t="s">
        <v>4600</v>
      </c>
      <c r="D102" s="31"/>
      <c r="E102" s="31" t="s">
        <v>26</v>
      </c>
      <c r="F102" s="31" t="s">
        <v>4604</v>
      </c>
      <c r="G102" s="31" t="s">
        <v>17</v>
      </c>
      <c r="H102" s="31"/>
      <c r="I102" s="31" t="s">
        <v>17</v>
      </c>
      <c r="J102" s="31" t="s">
        <v>4605</v>
      </c>
      <c r="K102" s="31" t="s">
        <v>4751</v>
      </c>
      <c r="L102" s="31" t="s">
        <v>674</v>
      </c>
      <c r="M102" s="31"/>
    </row>
    <row r="103" spans="1:13">
      <c r="A103" s="30" t="s">
        <v>4766</v>
      </c>
      <c r="B103" s="30" t="s">
        <v>4583</v>
      </c>
      <c r="C103" s="30" t="s">
        <v>4584</v>
      </c>
      <c r="D103" s="31"/>
      <c r="E103" s="31" t="s">
        <v>17</v>
      </c>
      <c r="F103" s="31"/>
      <c r="G103" s="31" t="s">
        <v>26</v>
      </c>
      <c r="H103" s="31"/>
      <c r="I103" s="31" t="s">
        <v>26</v>
      </c>
      <c r="J103" s="31" t="s">
        <v>4767</v>
      </c>
      <c r="K103" s="31" t="s">
        <v>2581</v>
      </c>
      <c r="L103" s="31" t="s">
        <v>674</v>
      </c>
      <c r="M103" s="31"/>
    </row>
    <row r="104" spans="1:13" ht="30">
      <c r="A104" s="30" t="s">
        <v>4766</v>
      </c>
      <c r="B104" s="30" t="s">
        <v>4621</v>
      </c>
      <c r="C104" s="30" t="s">
        <v>4584</v>
      </c>
      <c r="D104" s="31"/>
      <c r="E104" s="31" t="s">
        <v>17</v>
      </c>
      <c r="F104" s="31"/>
      <c r="G104" s="31" t="s">
        <v>17</v>
      </c>
      <c r="H104" s="31" t="s">
        <v>4622</v>
      </c>
      <c r="I104" s="31" t="s">
        <v>26</v>
      </c>
      <c r="J104" s="31" t="s">
        <v>4672</v>
      </c>
      <c r="K104" s="31" t="s">
        <v>4768</v>
      </c>
      <c r="L104" s="31" t="s">
        <v>674</v>
      </c>
      <c r="M104" s="31"/>
    </row>
    <row r="105" spans="1:13" ht="30">
      <c r="A105" s="30" t="s">
        <v>4766</v>
      </c>
      <c r="B105" s="30" t="s">
        <v>4586</v>
      </c>
      <c r="C105" s="30" t="s">
        <v>4587</v>
      </c>
      <c r="D105" s="31">
        <v>50</v>
      </c>
      <c r="E105" s="31" t="s">
        <v>17</v>
      </c>
      <c r="F105" s="31"/>
      <c r="G105" s="31" t="s">
        <v>17</v>
      </c>
      <c r="H105" s="31"/>
      <c r="I105" s="31" t="s">
        <v>26</v>
      </c>
      <c r="J105" s="31" t="s">
        <v>2836</v>
      </c>
      <c r="K105" s="31" t="s">
        <v>4768</v>
      </c>
      <c r="L105" s="31" t="s">
        <v>674</v>
      </c>
      <c r="M105" s="31"/>
    </row>
    <row r="106" spans="1:13" ht="30">
      <c r="A106" s="30" t="s">
        <v>4766</v>
      </c>
      <c r="B106" s="30" t="s">
        <v>4645</v>
      </c>
      <c r="C106" s="30" t="s">
        <v>4593</v>
      </c>
      <c r="D106" s="31"/>
      <c r="E106" s="31" t="s">
        <v>26</v>
      </c>
      <c r="F106" s="31"/>
      <c r="G106" s="31" t="s">
        <v>17</v>
      </c>
      <c r="H106" s="31"/>
      <c r="I106" s="31" t="s">
        <v>17</v>
      </c>
      <c r="J106" s="31" t="s">
        <v>4646</v>
      </c>
      <c r="K106" s="31" t="s">
        <v>4768</v>
      </c>
      <c r="L106" s="31" t="s">
        <v>674</v>
      </c>
      <c r="M106" s="31"/>
    </row>
    <row r="107" spans="1:13" ht="30">
      <c r="A107" s="30" t="s">
        <v>4766</v>
      </c>
      <c r="B107" s="30" t="s">
        <v>4769</v>
      </c>
      <c r="C107" s="30" t="s">
        <v>4587</v>
      </c>
      <c r="D107" s="31">
        <v>20</v>
      </c>
      <c r="E107" s="31" t="s">
        <v>26</v>
      </c>
      <c r="F107" s="31"/>
      <c r="G107" s="31" t="s">
        <v>17</v>
      </c>
      <c r="H107" s="31"/>
      <c r="I107" s="31" t="s">
        <v>17</v>
      </c>
      <c r="J107" s="31" t="s">
        <v>4649</v>
      </c>
      <c r="K107" s="31" t="s">
        <v>4768</v>
      </c>
      <c r="L107" s="31" t="s">
        <v>674</v>
      </c>
      <c r="M107" s="31"/>
    </row>
    <row r="108" spans="1:13" ht="30">
      <c r="A108" s="30" t="s">
        <v>4766</v>
      </c>
      <c r="B108" s="30" t="s">
        <v>4630</v>
      </c>
      <c r="C108" s="30" t="s">
        <v>4593</v>
      </c>
      <c r="D108" s="31"/>
      <c r="E108" s="31" t="s">
        <v>17</v>
      </c>
      <c r="F108" s="31"/>
      <c r="G108" s="31" t="s">
        <v>17</v>
      </c>
      <c r="H108" s="31"/>
      <c r="I108" s="31" t="s">
        <v>26</v>
      </c>
      <c r="J108" s="31" t="s">
        <v>4770</v>
      </c>
      <c r="K108" s="31" t="s">
        <v>4768</v>
      </c>
      <c r="L108" s="31" t="s">
        <v>674</v>
      </c>
      <c r="M108" s="31"/>
    </row>
    <row r="109" spans="1:13" ht="30">
      <c r="A109" s="30" t="s">
        <v>4766</v>
      </c>
      <c r="B109" s="30" t="s">
        <v>4771</v>
      </c>
      <c r="C109" s="30" t="s">
        <v>4587</v>
      </c>
      <c r="D109" s="31">
        <v>50</v>
      </c>
      <c r="E109" s="31" t="s">
        <v>26</v>
      </c>
      <c r="F109" s="31"/>
      <c r="G109" s="31" t="s">
        <v>17</v>
      </c>
      <c r="H109" s="31"/>
      <c r="I109" s="31" t="s">
        <v>17</v>
      </c>
      <c r="J109" s="31" t="s">
        <v>4772</v>
      </c>
      <c r="K109" s="31" t="s">
        <v>4768</v>
      </c>
      <c r="L109" s="31" t="s">
        <v>674</v>
      </c>
      <c r="M109" s="31"/>
    </row>
    <row r="110" spans="1:13" ht="30">
      <c r="A110" s="30" t="s">
        <v>4766</v>
      </c>
      <c r="B110" s="30" t="s">
        <v>4773</v>
      </c>
      <c r="C110" s="30" t="s">
        <v>4587</v>
      </c>
      <c r="D110" s="31">
        <v>50</v>
      </c>
      <c r="E110" s="31" t="s">
        <v>26</v>
      </c>
      <c r="F110" s="31"/>
      <c r="G110" s="31" t="s">
        <v>17</v>
      </c>
      <c r="H110" s="31"/>
      <c r="I110" s="31" t="s">
        <v>17</v>
      </c>
      <c r="J110" s="31" t="s">
        <v>4774</v>
      </c>
      <c r="K110" s="31" t="s">
        <v>4768</v>
      </c>
      <c r="L110" s="31" t="s">
        <v>674</v>
      </c>
      <c r="M110" s="31"/>
    </row>
    <row r="111" spans="1:13" ht="30">
      <c r="A111" s="30" t="s">
        <v>4766</v>
      </c>
      <c r="B111" s="30" t="s">
        <v>4775</v>
      </c>
      <c r="C111" s="30" t="s">
        <v>4587</v>
      </c>
      <c r="D111" s="31">
        <v>50</v>
      </c>
      <c r="E111" s="31" t="s">
        <v>26</v>
      </c>
      <c r="F111" s="31"/>
      <c r="G111" s="31" t="s">
        <v>17</v>
      </c>
      <c r="H111" s="31"/>
      <c r="I111" s="31" t="s">
        <v>17</v>
      </c>
      <c r="J111" s="31" t="s">
        <v>4776</v>
      </c>
      <c r="K111" s="31" t="s">
        <v>4768</v>
      </c>
      <c r="L111" s="31" t="s">
        <v>674</v>
      </c>
      <c r="M111" s="31"/>
    </row>
    <row r="112" spans="1:13" ht="30">
      <c r="A112" s="30" t="s">
        <v>4766</v>
      </c>
      <c r="B112" s="30" t="s">
        <v>4777</v>
      </c>
      <c r="C112" s="30" t="s">
        <v>4600</v>
      </c>
      <c r="D112" s="31"/>
      <c r="E112" s="31" t="s">
        <v>17</v>
      </c>
      <c r="F112" s="31"/>
      <c r="G112" s="31" t="s">
        <v>17</v>
      </c>
      <c r="H112" s="31"/>
      <c r="I112" s="31" t="s">
        <v>26</v>
      </c>
      <c r="J112" s="31" t="s">
        <v>4778</v>
      </c>
      <c r="K112" s="31" t="s">
        <v>4768</v>
      </c>
      <c r="L112" s="31" t="s">
        <v>674</v>
      </c>
      <c r="M112" s="31"/>
    </row>
    <row r="113" spans="1:13" ht="30">
      <c r="A113" s="30" t="s">
        <v>4766</v>
      </c>
      <c r="B113" s="30" t="s">
        <v>4779</v>
      </c>
      <c r="C113" s="30" t="s">
        <v>4587</v>
      </c>
      <c r="D113" s="31">
        <v>50</v>
      </c>
      <c r="E113" s="31" t="s">
        <v>26</v>
      </c>
      <c r="F113" s="31"/>
      <c r="G113" s="31" t="s">
        <v>17</v>
      </c>
      <c r="H113" s="31"/>
      <c r="I113" s="31" t="s">
        <v>4590</v>
      </c>
      <c r="J113" s="31" t="s">
        <v>4780</v>
      </c>
      <c r="K113" s="31" t="s">
        <v>4768</v>
      </c>
      <c r="L113" s="31" t="s">
        <v>674</v>
      </c>
      <c r="M113" s="31"/>
    </row>
    <row r="114" spans="1:13" ht="30">
      <c r="A114" s="30" t="s">
        <v>4766</v>
      </c>
      <c r="B114" s="30" t="s">
        <v>4661</v>
      </c>
      <c r="C114" s="30" t="s">
        <v>4662</v>
      </c>
      <c r="D114" s="31"/>
      <c r="E114" s="31" t="s">
        <v>26</v>
      </c>
      <c r="F114" s="31"/>
      <c r="G114" s="31" t="s">
        <v>17</v>
      </c>
      <c r="H114" s="31"/>
      <c r="I114" s="31" t="s">
        <v>17</v>
      </c>
      <c r="J114" s="31" t="s">
        <v>4748</v>
      </c>
      <c r="K114" s="31" t="s">
        <v>4768</v>
      </c>
      <c r="L114" s="31" t="s">
        <v>674</v>
      </c>
      <c r="M114" s="31"/>
    </row>
    <row r="115" spans="1:13" ht="30">
      <c r="A115" s="30" t="s">
        <v>4766</v>
      </c>
      <c r="B115" s="30" t="s">
        <v>4781</v>
      </c>
      <c r="C115" s="30" t="s">
        <v>4593</v>
      </c>
      <c r="D115" s="31"/>
      <c r="E115" s="31" t="s">
        <v>17</v>
      </c>
      <c r="F115" s="31" t="s">
        <v>4782</v>
      </c>
      <c r="G115" s="31" t="s">
        <v>17</v>
      </c>
      <c r="H115" s="31"/>
      <c r="I115" s="31" t="s">
        <v>17</v>
      </c>
      <c r="J115" s="31" t="s">
        <v>4783</v>
      </c>
      <c r="K115" s="31" t="s">
        <v>4768</v>
      </c>
      <c r="L115" s="31" t="s">
        <v>674</v>
      </c>
      <c r="M115" s="31"/>
    </row>
    <row r="116" spans="1:13" ht="30">
      <c r="A116" s="30" t="s">
        <v>4766</v>
      </c>
      <c r="B116" s="30" t="s">
        <v>4596</v>
      </c>
      <c r="C116" s="30" t="s">
        <v>4593</v>
      </c>
      <c r="D116" s="31"/>
      <c r="E116" s="31" t="s">
        <v>17</v>
      </c>
      <c r="F116" s="31" t="s">
        <v>4597</v>
      </c>
      <c r="G116" s="31" t="s">
        <v>17</v>
      </c>
      <c r="H116" s="31"/>
      <c r="I116" s="31" t="s">
        <v>26</v>
      </c>
      <c r="J116" s="31" t="s">
        <v>4784</v>
      </c>
      <c r="K116" s="31" t="s">
        <v>4768</v>
      </c>
      <c r="L116" s="31" t="s">
        <v>674</v>
      </c>
      <c r="M116" s="31"/>
    </row>
    <row r="117" spans="1:13" ht="30">
      <c r="A117" s="30" t="s">
        <v>4766</v>
      </c>
      <c r="B117" s="30" t="s">
        <v>4599</v>
      </c>
      <c r="C117" s="30" t="s">
        <v>4600</v>
      </c>
      <c r="D117" s="31"/>
      <c r="E117" s="31" t="s">
        <v>17</v>
      </c>
      <c r="F117" s="31" t="s">
        <v>4601</v>
      </c>
      <c r="G117" s="31" t="s">
        <v>17</v>
      </c>
      <c r="H117" s="31"/>
      <c r="I117" s="31" t="s">
        <v>17</v>
      </c>
      <c r="J117" s="31" t="s">
        <v>4602</v>
      </c>
      <c r="K117" s="31" t="s">
        <v>4768</v>
      </c>
      <c r="L117" s="31" t="s">
        <v>674</v>
      </c>
      <c r="M117" s="31"/>
    </row>
    <row r="118" spans="1:13">
      <c r="A118" s="30" t="s">
        <v>4785</v>
      </c>
      <c r="B118" s="30" t="s">
        <v>4583</v>
      </c>
      <c r="C118" s="30" t="s">
        <v>4584</v>
      </c>
      <c r="D118" s="31"/>
      <c r="E118" s="31" t="s">
        <v>17</v>
      </c>
      <c r="F118" s="31"/>
      <c r="G118" s="31" t="s">
        <v>26</v>
      </c>
      <c r="H118" s="31"/>
      <c r="I118" s="31" t="s">
        <v>26</v>
      </c>
      <c r="J118" s="31" t="s">
        <v>4786</v>
      </c>
      <c r="K118" s="31" t="s">
        <v>4269</v>
      </c>
      <c r="L118" s="31" t="s">
        <v>674</v>
      </c>
      <c r="M118" s="31"/>
    </row>
    <row r="119" spans="1:13">
      <c r="A119" s="30" t="s">
        <v>4785</v>
      </c>
      <c r="B119" s="30" t="s">
        <v>4787</v>
      </c>
      <c r="C119" s="30" t="s">
        <v>4584</v>
      </c>
      <c r="D119" s="31"/>
      <c r="E119" s="31" t="s">
        <v>17</v>
      </c>
      <c r="F119" s="31"/>
      <c r="G119" s="31" t="s">
        <v>17</v>
      </c>
      <c r="H119" s="31" t="s">
        <v>4788</v>
      </c>
      <c r="I119" s="31" t="s">
        <v>26</v>
      </c>
      <c r="J119" s="31" t="s">
        <v>4789</v>
      </c>
      <c r="K119" s="31" t="s">
        <v>4303</v>
      </c>
      <c r="L119" s="31" t="s">
        <v>674</v>
      </c>
      <c r="M119" s="31"/>
    </row>
    <row r="120" spans="1:13">
      <c r="A120" s="30" t="s">
        <v>4785</v>
      </c>
      <c r="B120" s="30" t="s">
        <v>4621</v>
      </c>
      <c r="C120" s="30" t="s">
        <v>4584</v>
      </c>
      <c r="D120" s="31"/>
      <c r="E120" s="31" t="s">
        <v>17</v>
      </c>
      <c r="F120" s="31"/>
      <c r="G120" s="31" t="s">
        <v>17</v>
      </c>
      <c r="H120" s="31" t="s">
        <v>4622</v>
      </c>
      <c r="I120" s="31" t="s">
        <v>26</v>
      </c>
      <c r="J120" s="31" t="s">
        <v>4672</v>
      </c>
      <c r="K120" s="31" t="s">
        <v>4303</v>
      </c>
      <c r="L120" s="31" t="s">
        <v>674</v>
      </c>
      <c r="M120" s="31"/>
    </row>
    <row r="121" spans="1:13">
      <c r="A121" s="30" t="s">
        <v>4785</v>
      </c>
      <c r="B121" s="30" t="s">
        <v>4790</v>
      </c>
      <c r="C121" s="30" t="s">
        <v>4587</v>
      </c>
      <c r="D121" s="31">
        <v>10</v>
      </c>
      <c r="E121" s="31" t="s">
        <v>17</v>
      </c>
      <c r="F121" s="31"/>
      <c r="G121" s="31" t="s">
        <v>17</v>
      </c>
      <c r="H121" s="31"/>
      <c r="I121" s="31" t="s">
        <v>26</v>
      </c>
      <c r="J121" s="31" t="s">
        <v>4791</v>
      </c>
      <c r="K121" s="31" t="s">
        <v>4303</v>
      </c>
      <c r="L121" s="31" t="s">
        <v>674</v>
      </c>
      <c r="M121" s="31"/>
    </row>
    <row r="122" spans="1:13" ht="30">
      <c r="A122" s="30" t="s">
        <v>4785</v>
      </c>
      <c r="B122" s="30" t="s">
        <v>4596</v>
      </c>
      <c r="C122" s="30" t="s">
        <v>4593</v>
      </c>
      <c r="D122" s="31"/>
      <c r="E122" s="31" t="s">
        <v>17</v>
      </c>
      <c r="F122" s="31" t="s">
        <v>4792</v>
      </c>
      <c r="G122" s="31" t="s">
        <v>17</v>
      </c>
      <c r="H122" s="31"/>
      <c r="I122" s="31" t="s">
        <v>26</v>
      </c>
      <c r="J122" s="31" t="s">
        <v>4793</v>
      </c>
      <c r="K122" s="31" t="s">
        <v>4303</v>
      </c>
      <c r="L122" s="31" t="s">
        <v>674</v>
      </c>
      <c r="M122" s="31"/>
    </row>
    <row r="123" spans="1:13">
      <c r="A123" s="30" t="s">
        <v>4785</v>
      </c>
      <c r="B123" s="30" t="s">
        <v>4794</v>
      </c>
      <c r="C123" s="30" t="s">
        <v>4587</v>
      </c>
      <c r="D123" s="31">
        <v>5</v>
      </c>
      <c r="E123" s="31" t="s">
        <v>26</v>
      </c>
      <c r="F123" s="31"/>
      <c r="G123" s="31" t="s">
        <v>17</v>
      </c>
      <c r="H123" s="31"/>
      <c r="I123" s="31" t="s">
        <v>17</v>
      </c>
      <c r="J123" s="31" t="s">
        <v>4795</v>
      </c>
      <c r="K123" s="31" t="s">
        <v>4303</v>
      </c>
      <c r="L123" s="31" t="s">
        <v>674</v>
      </c>
      <c r="M123" s="31"/>
    </row>
    <row r="124" spans="1:13">
      <c r="A124" s="30" t="s">
        <v>4785</v>
      </c>
      <c r="B124" s="30" t="s">
        <v>4796</v>
      </c>
      <c r="C124" s="30" t="s">
        <v>4587</v>
      </c>
      <c r="D124" s="31">
        <v>5</v>
      </c>
      <c r="E124" s="31" t="s">
        <v>26</v>
      </c>
      <c r="F124" s="31"/>
      <c r="G124" s="31" t="s">
        <v>17</v>
      </c>
      <c r="H124" s="31"/>
      <c r="I124" s="31" t="s">
        <v>17</v>
      </c>
      <c r="J124" s="31" t="s">
        <v>4797</v>
      </c>
      <c r="K124" s="31" t="s">
        <v>4303</v>
      </c>
      <c r="L124" s="31" t="s">
        <v>674</v>
      </c>
      <c r="M124" s="31"/>
    </row>
    <row r="125" spans="1:13">
      <c r="A125" s="30" t="s">
        <v>4785</v>
      </c>
      <c r="B125" s="30" t="s">
        <v>4599</v>
      </c>
      <c r="C125" s="30" t="s">
        <v>4600</v>
      </c>
      <c r="D125" s="31"/>
      <c r="E125" s="31" t="s">
        <v>17</v>
      </c>
      <c r="F125" s="31" t="s">
        <v>4601</v>
      </c>
      <c r="G125" s="31" t="s">
        <v>17</v>
      </c>
      <c r="H125" s="31"/>
      <c r="I125" s="31" t="s">
        <v>17</v>
      </c>
      <c r="J125" s="31" t="s">
        <v>4602</v>
      </c>
      <c r="K125" s="31" t="s">
        <v>4303</v>
      </c>
      <c r="L125" s="31" t="s">
        <v>674</v>
      </c>
      <c r="M125" s="31"/>
    </row>
    <row r="126" spans="1:13">
      <c r="A126" s="30" t="s">
        <v>4798</v>
      </c>
      <c r="B126" s="30" t="s">
        <v>4583</v>
      </c>
      <c r="C126" s="30" t="s">
        <v>4584</v>
      </c>
      <c r="D126" s="31"/>
      <c r="E126" s="31" t="s">
        <v>17</v>
      </c>
      <c r="F126" s="31"/>
      <c r="G126" s="31" t="s">
        <v>26</v>
      </c>
      <c r="H126" s="31"/>
      <c r="I126" s="31" t="s">
        <v>26</v>
      </c>
      <c r="J126" s="31" t="s">
        <v>4799</v>
      </c>
      <c r="K126" s="31" t="s">
        <v>2551</v>
      </c>
      <c r="L126" s="31" t="s">
        <v>674</v>
      </c>
      <c r="M126" s="31"/>
    </row>
    <row r="127" spans="1:13" ht="30">
      <c r="A127" s="30" t="s">
        <v>4798</v>
      </c>
      <c r="B127" s="30" t="s">
        <v>4621</v>
      </c>
      <c r="C127" s="30" t="s">
        <v>4584</v>
      </c>
      <c r="D127" s="31"/>
      <c r="E127" s="31" t="s">
        <v>17</v>
      </c>
      <c r="F127" s="31"/>
      <c r="G127" s="31" t="s">
        <v>17</v>
      </c>
      <c r="H127" s="31" t="s">
        <v>4622</v>
      </c>
      <c r="I127" s="31" t="s">
        <v>26</v>
      </c>
      <c r="J127" s="31" t="s">
        <v>4672</v>
      </c>
      <c r="K127" s="31" t="s">
        <v>4800</v>
      </c>
      <c r="L127" s="31" t="s">
        <v>674</v>
      </c>
      <c r="M127" s="31"/>
    </row>
    <row r="128" spans="1:13" ht="30">
      <c r="A128" s="30" t="s">
        <v>4798</v>
      </c>
      <c r="B128" s="30" t="s">
        <v>4801</v>
      </c>
      <c r="C128" s="30" t="s">
        <v>4587</v>
      </c>
      <c r="D128" s="31">
        <v>10</v>
      </c>
      <c r="E128" s="31" t="s">
        <v>17</v>
      </c>
      <c r="F128" s="31"/>
      <c r="G128" s="31" t="s">
        <v>17</v>
      </c>
      <c r="H128" s="31"/>
      <c r="I128" s="31" t="s">
        <v>26</v>
      </c>
      <c r="J128" s="31" t="s">
        <v>4802</v>
      </c>
      <c r="K128" s="31" t="s">
        <v>4800</v>
      </c>
      <c r="L128" s="31" t="s">
        <v>674</v>
      </c>
      <c r="M128" s="31"/>
    </row>
    <row r="129" spans="1:13" ht="30">
      <c r="A129" s="30" t="s">
        <v>4798</v>
      </c>
      <c r="B129" s="30" t="s">
        <v>4676</v>
      </c>
      <c r="C129" s="30" t="s">
        <v>4593</v>
      </c>
      <c r="D129" s="31"/>
      <c r="E129" s="31" t="s">
        <v>17</v>
      </c>
      <c r="F129" s="31" t="s">
        <v>4803</v>
      </c>
      <c r="G129" s="31" t="s">
        <v>17</v>
      </c>
      <c r="H129" s="31"/>
      <c r="I129" s="31" t="s">
        <v>17</v>
      </c>
      <c r="J129" s="31" t="s">
        <v>4804</v>
      </c>
      <c r="K129" s="31" t="s">
        <v>4800</v>
      </c>
      <c r="L129" s="31" t="s">
        <v>674</v>
      </c>
      <c r="M129" s="31"/>
    </row>
    <row r="130" spans="1:13" ht="30">
      <c r="A130" s="30" t="s">
        <v>4798</v>
      </c>
      <c r="B130" s="30" t="s">
        <v>4805</v>
      </c>
      <c r="C130" s="30" t="s">
        <v>4587</v>
      </c>
      <c r="D130" s="31">
        <v>10</v>
      </c>
      <c r="E130" s="31" t="s">
        <v>17</v>
      </c>
      <c r="F130" s="31"/>
      <c r="G130" s="31" t="s">
        <v>17</v>
      </c>
      <c r="H130" s="31"/>
      <c r="I130" s="31" t="s">
        <v>26</v>
      </c>
      <c r="J130" s="31" t="s">
        <v>4806</v>
      </c>
      <c r="K130" s="31" t="s">
        <v>4800</v>
      </c>
      <c r="L130" s="31" t="s">
        <v>674</v>
      </c>
      <c r="M130" s="31"/>
    </row>
    <row r="131" spans="1:13" ht="30">
      <c r="A131" s="30" t="s">
        <v>4798</v>
      </c>
      <c r="B131" s="30" t="s">
        <v>4596</v>
      </c>
      <c r="C131" s="30" t="s">
        <v>4593</v>
      </c>
      <c r="D131" s="31"/>
      <c r="E131" s="31" t="s">
        <v>17</v>
      </c>
      <c r="F131" s="31" t="s">
        <v>4807</v>
      </c>
      <c r="G131" s="31" t="s">
        <v>17</v>
      </c>
      <c r="H131" s="31"/>
      <c r="I131" s="31" t="s">
        <v>26</v>
      </c>
      <c r="J131" s="31" t="s">
        <v>4808</v>
      </c>
      <c r="K131" s="31" t="s">
        <v>4800</v>
      </c>
      <c r="L131" s="31" t="s">
        <v>674</v>
      </c>
      <c r="M131" s="31"/>
    </row>
    <row r="132" spans="1:13" ht="30">
      <c r="A132" s="30" t="s">
        <v>4798</v>
      </c>
      <c r="B132" s="30" t="s">
        <v>4668</v>
      </c>
      <c r="C132" s="30" t="s">
        <v>4584</v>
      </c>
      <c r="D132" s="31"/>
      <c r="E132" s="31" t="s">
        <v>26</v>
      </c>
      <c r="F132" s="31" t="s">
        <v>4634</v>
      </c>
      <c r="G132" s="31" t="s">
        <v>17</v>
      </c>
      <c r="H132" s="31" t="s">
        <v>4669</v>
      </c>
      <c r="I132" s="31" t="s">
        <v>26</v>
      </c>
      <c r="J132" s="31" t="s">
        <v>4809</v>
      </c>
      <c r="K132" s="31" t="s">
        <v>4800</v>
      </c>
      <c r="L132" s="31" t="s">
        <v>674</v>
      </c>
      <c r="M132" s="31"/>
    </row>
    <row r="133" spans="1:13" ht="30">
      <c r="A133" s="30" t="s">
        <v>4798</v>
      </c>
      <c r="B133" s="30" t="s">
        <v>4810</v>
      </c>
      <c r="C133" s="30" t="s">
        <v>4600</v>
      </c>
      <c r="D133" s="31"/>
      <c r="E133" s="31" t="s">
        <v>26</v>
      </c>
      <c r="F133" s="31" t="s">
        <v>4634</v>
      </c>
      <c r="G133" s="31" t="s">
        <v>17</v>
      </c>
      <c r="H133" s="31"/>
      <c r="I133" s="31" t="s">
        <v>26</v>
      </c>
      <c r="J133" s="31" t="s">
        <v>4811</v>
      </c>
      <c r="K133" s="31" t="s">
        <v>4800</v>
      </c>
      <c r="L133" s="31" t="s">
        <v>674</v>
      </c>
      <c r="M133" s="31"/>
    </row>
    <row r="134" spans="1:13" ht="30">
      <c r="A134" s="30" t="s">
        <v>4798</v>
      </c>
      <c r="B134" s="30" t="s">
        <v>4645</v>
      </c>
      <c r="C134" s="30" t="s">
        <v>4593</v>
      </c>
      <c r="D134" s="31"/>
      <c r="E134" s="31" t="s">
        <v>26</v>
      </c>
      <c r="F134" s="31"/>
      <c r="G134" s="31" t="s">
        <v>17</v>
      </c>
      <c r="H134" s="31"/>
      <c r="I134" s="31" t="s">
        <v>17</v>
      </c>
      <c r="J134" s="31" t="s">
        <v>4812</v>
      </c>
      <c r="K134" s="31" t="s">
        <v>4800</v>
      </c>
      <c r="L134" s="31" t="s">
        <v>674</v>
      </c>
      <c r="M134" s="31"/>
    </row>
    <row r="135" spans="1:13" ht="30">
      <c r="A135" s="30" t="s">
        <v>4798</v>
      </c>
      <c r="B135" s="30" t="s">
        <v>4813</v>
      </c>
      <c r="C135" s="30" t="s">
        <v>4600</v>
      </c>
      <c r="D135" s="31"/>
      <c r="E135" s="31" t="s">
        <v>26</v>
      </c>
      <c r="F135" s="31" t="s">
        <v>4634</v>
      </c>
      <c r="G135" s="31" t="s">
        <v>17</v>
      </c>
      <c r="H135" s="31"/>
      <c r="I135" s="31" t="s">
        <v>17</v>
      </c>
      <c r="J135" s="31" t="s">
        <v>4814</v>
      </c>
      <c r="K135" s="31" t="s">
        <v>4800</v>
      </c>
      <c r="L135" s="31" t="s">
        <v>674</v>
      </c>
      <c r="M135" s="31"/>
    </row>
    <row r="136" spans="1:13" ht="30">
      <c r="A136" s="30" t="s">
        <v>4798</v>
      </c>
      <c r="B136" s="30" t="s">
        <v>4599</v>
      </c>
      <c r="C136" s="30" t="s">
        <v>4600</v>
      </c>
      <c r="D136" s="31"/>
      <c r="E136" s="31" t="s">
        <v>17</v>
      </c>
      <c r="F136" s="31" t="s">
        <v>4601</v>
      </c>
      <c r="G136" s="31" t="s">
        <v>17</v>
      </c>
      <c r="H136" s="31"/>
      <c r="I136" s="31" t="s">
        <v>17</v>
      </c>
      <c r="J136" s="31" t="s">
        <v>4602</v>
      </c>
      <c r="K136" s="31" t="s">
        <v>4800</v>
      </c>
      <c r="L136" s="31" t="s">
        <v>674</v>
      </c>
      <c r="M136" s="31"/>
    </row>
    <row r="137" spans="1:13" ht="30">
      <c r="A137" s="30" t="s">
        <v>4815</v>
      </c>
      <c r="B137" s="30" t="s">
        <v>4583</v>
      </c>
      <c r="C137" s="30" t="s">
        <v>4584</v>
      </c>
      <c r="D137" s="31"/>
      <c r="E137" s="31" t="s">
        <v>17</v>
      </c>
      <c r="F137" s="31"/>
      <c r="G137" s="31" t="s">
        <v>26</v>
      </c>
      <c r="H137" s="31"/>
      <c r="I137" s="31" t="s">
        <v>26</v>
      </c>
      <c r="J137" s="31" t="s">
        <v>4816</v>
      </c>
      <c r="K137" s="31" t="s">
        <v>4817</v>
      </c>
      <c r="L137" s="31" t="s">
        <v>674</v>
      </c>
      <c r="M137" s="31"/>
    </row>
    <row r="138" spans="1:13" ht="30">
      <c r="A138" s="30" t="s">
        <v>4815</v>
      </c>
      <c r="B138" s="30" t="s">
        <v>4787</v>
      </c>
      <c r="C138" s="30" t="s">
        <v>4584</v>
      </c>
      <c r="D138" s="31"/>
      <c r="E138" s="31" t="s">
        <v>17</v>
      </c>
      <c r="F138" s="31"/>
      <c r="G138" s="31" t="s">
        <v>17</v>
      </c>
      <c r="H138" s="31" t="s">
        <v>4788</v>
      </c>
      <c r="I138" s="31" t="s">
        <v>26</v>
      </c>
      <c r="J138" s="31" t="s">
        <v>4789</v>
      </c>
      <c r="K138" s="31" t="s">
        <v>4817</v>
      </c>
      <c r="L138" s="31" t="s">
        <v>674</v>
      </c>
      <c r="M138" s="31"/>
    </row>
    <row r="139" spans="1:13" ht="30">
      <c r="A139" s="30" t="s">
        <v>4815</v>
      </c>
      <c r="B139" s="30" t="s">
        <v>4621</v>
      </c>
      <c r="C139" s="30" t="s">
        <v>4584</v>
      </c>
      <c r="D139" s="31"/>
      <c r="E139" s="31" t="s">
        <v>17</v>
      </c>
      <c r="F139" s="31"/>
      <c r="G139" s="31" t="s">
        <v>17</v>
      </c>
      <c r="H139" s="31" t="s">
        <v>4622</v>
      </c>
      <c r="I139" s="31" t="s">
        <v>26</v>
      </c>
      <c r="J139" s="31" t="s">
        <v>4672</v>
      </c>
      <c r="K139" s="31" t="s">
        <v>4817</v>
      </c>
      <c r="L139" s="31" t="s">
        <v>674</v>
      </c>
      <c r="M139" s="31"/>
    </row>
    <row r="140" spans="1:13" ht="30">
      <c r="A140" s="30" t="s">
        <v>4815</v>
      </c>
      <c r="B140" s="30" t="s">
        <v>4818</v>
      </c>
      <c r="C140" s="30" t="s">
        <v>4587</v>
      </c>
      <c r="D140" s="31">
        <v>7</v>
      </c>
      <c r="E140" s="31" t="s">
        <v>17</v>
      </c>
      <c r="F140" s="31"/>
      <c r="G140" s="31" t="s">
        <v>17</v>
      </c>
      <c r="H140" s="31"/>
      <c r="I140" s="31" t="s">
        <v>26</v>
      </c>
      <c r="J140" s="31" t="s">
        <v>4819</v>
      </c>
      <c r="K140" s="31" t="s">
        <v>4817</v>
      </c>
      <c r="L140" s="31" t="s">
        <v>674</v>
      </c>
      <c r="M140" s="31"/>
    </row>
    <row r="141" spans="1:13" ht="30">
      <c r="A141" s="30" t="s">
        <v>4815</v>
      </c>
      <c r="B141" s="30" t="s">
        <v>4820</v>
      </c>
      <c r="C141" s="30" t="s">
        <v>4637</v>
      </c>
      <c r="D141" s="31"/>
      <c r="E141" s="31" t="s">
        <v>17</v>
      </c>
      <c r="F141" s="31" t="s">
        <v>4638</v>
      </c>
      <c r="G141" s="31" t="s">
        <v>17</v>
      </c>
      <c r="H141" s="31"/>
      <c r="I141" s="31" t="s">
        <v>17</v>
      </c>
      <c r="J141" s="31" t="s">
        <v>4821</v>
      </c>
      <c r="K141" s="31" t="s">
        <v>4817</v>
      </c>
      <c r="L141" s="31" t="s">
        <v>674</v>
      </c>
      <c r="M141" s="31"/>
    </row>
    <row r="142" spans="1:13" ht="30">
      <c r="A142" s="30" t="s">
        <v>4815</v>
      </c>
      <c r="B142" s="30" t="s">
        <v>4822</v>
      </c>
      <c r="C142" s="30" t="s">
        <v>4637</v>
      </c>
      <c r="D142" s="31"/>
      <c r="E142" s="31" t="s">
        <v>17</v>
      </c>
      <c r="F142" s="31" t="s">
        <v>4638</v>
      </c>
      <c r="G142" s="31" t="s">
        <v>17</v>
      </c>
      <c r="H142" s="31"/>
      <c r="I142" s="31" t="s">
        <v>17</v>
      </c>
      <c r="J142" s="31" t="s">
        <v>4823</v>
      </c>
      <c r="K142" s="31" t="s">
        <v>4817</v>
      </c>
      <c r="L142" s="31" t="s">
        <v>674</v>
      </c>
      <c r="M142" s="31"/>
    </row>
    <row r="143" spans="1:13" ht="30">
      <c r="A143" s="30" t="s">
        <v>4815</v>
      </c>
      <c r="B143" s="30" t="s">
        <v>4824</v>
      </c>
      <c r="C143" s="30" t="s">
        <v>4637</v>
      </c>
      <c r="D143" s="31"/>
      <c r="E143" s="31" t="s">
        <v>17</v>
      </c>
      <c r="F143" s="31" t="s">
        <v>4638</v>
      </c>
      <c r="G143" s="31" t="s">
        <v>17</v>
      </c>
      <c r="H143" s="31"/>
      <c r="I143" s="31" t="s">
        <v>17</v>
      </c>
      <c r="J143" s="31" t="s">
        <v>4825</v>
      </c>
      <c r="K143" s="31" t="s">
        <v>4817</v>
      </c>
      <c r="L143" s="31" t="s">
        <v>674</v>
      </c>
      <c r="M143" s="31"/>
    </row>
    <row r="144" spans="1:13" ht="30">
      <c r="A144" s="30" t="s">
        <v>4815</v>
      </c>
      <c r="B144" s="30" t="s">
        <v>4826</v>
      </c>
      <c r="C144" s="30" t="s">
        <v>4637</v>
      </c>
      <c r="D144" s="31"/>
      <c r="E144" s="31" t="s">
        <v>17</v>
      </c>
      <c r="F144" s="31" t="s">
        <v>4638</v>
      </c>
      <c r="G144" s="31" t="s">
        <v>17</v>
      </c>
      <c r="H144" s="31"/>
      <c r="I144" s="31" t="s">
        <v>17</v>
      </c>
      <c r="J144" s="31" t="s">
        <v>4827</v>
      </c>
      <c r="K144" s="31" t="s">
        <v>4817</v>
      </c>
      <c r="L144" s="31" t="s">
        <v>674</v>
      </c>
      <c r="M144" s="31"/>
    </row>
    <row r="145" spans="1:13" ht="30">
      <c r="A145" s="30" t="s">
        <v>4815</v>
      </c>
      <c r="B145" s="30" t="s">
        <v>4596</v>
      </c>
      <c r="C145" s="30" t="s">
        <v>4593</v>
      </c>
      <c r="D145" s="31"/>
      <c r="E145" s="31" t="s">
        <v>17</v>
      </c>
      <c r="F145" s="31" t="s">
        <v>4828</v>
      </c>
      <c r="G145" s="31" t="s">
        <v>17</v>
      </c>
      <c r="H145" s="31"/>
      <c r="I145" s="31" t="s">
        <v>26</v>
      </c>
      <c r="J145" s="31" t="s">
        <v>4829</v>
      </c>
      <c r="K145" s="31" t="s">
        <v>4817</v>
      </c>
      <c r="L145" s="31" t="s">
        <v>674</v>
      </c>
      <c r="M145" s="31"/>
    </row>
    <row r="146" spans="1:13" ht="30">
      <c r="A146" s="30" t="s">
        <v>4815</v>
      </c>
      <c r="B146" s="30" t="s">
        <v>4599</v>
      </c>
      <c r="C146" s="30" t="s">
        <v>4600</v>
      </c>
      <c r="D146" s="31"/>
      <c r="E146" s="31" t="s">
        <v>17</v>
      </c>
      <c r="F146" s="31" t="s">
        <v>4601</v>
      </c>
      <c r="G146" s="31" t="s">
        <v>17</v>
      </c>
      <c r="H146" s="31"/>
      <c r="I146" s="31" t="s">
        <v>17</v>
      </c>
      <c r="J146" s="31" t="s">
        <v>4602</v>
      </c>
      <c r="K146" s="31" t="s">
        <v>4817</v>
      </c>
      <c r="L146" s="31" t="s">
        <v>674</v>
      </c>
      <c r="M146" s="31"/>
    </row>
    <row r="147" spans="1:13" ht="30">
      <c r="A147" s="30" t="s">
        <v>4830</v>
      </c>
      <c r="B147" s="30" t="s">
        <v>4583</v>
      </c>
      <c r="C147" s="30" t="s">
        <v>4584</v>
      </c>
      <c r="D147" s="31"/>
      <c r="E147" s="31" t="s">
        <v>17</v>
      </c>
      <c r="F147" s="31"/>
      <c r="G147" s="31" t="s">
        <v>26</v>
      </c>
      <c r="H147" s="31"/>
      <c r="I147" s="31" t="s">
        <v>26</v>
      </c>
      <c r="J147" s="31" t="s">
        <v>4831</v>
      </c>
      <c r="K147" s="31" t="s">
        <v>4832</v>
      </c>
      <c r="L147" s="31" t="s">
        <v>674</v>
      </c>
      <c r="M147" s="31"/>
    </row>
    <row r="148" spans="1:13" ht="30">
      <c r="A148" s="30" t="s">
        <v>4830</v>
      </c>
      <c r="B148" s="30" t="s">
        <v>4621</v>
      </c>
      <c r="C148" s="30" t="s">
        <v>4584</v>
      </c>
      <c r="D148" s="31"/>
      <c r="E148" s="31" t="s">
        <v>17</v>
      </c>
      <c r="F148" s="31"/>
      <c r="G148" s="31" t="s">
        <v>17</v>
      </c>
      <c r="H148" s="31" t="s">
        <v>4622</v>
      </c>
      <c r="I148" s="31" t="s">
        <v>26</v>
      </c>
      <c r="J148" s="31" t="s">
        <v>4672</v>
      </c>
      <c r="K148" s="31" t="s">
        <v>4832</v>
      </c>
      <c r="L148" s="31" t="s">
        <v>674</v>
      </c>
      <c r="M148" s="31"/>
    </row>
    <row r="149" spans="1:13" ht="30">
      <c r="A149" s="30" t="s">
        <v>4830</v>
      </c>
      <c r="B149" s="30" t="s">
        <v>4833</v>
      </c>
      <c r="C149" s="30" t="s">
        <v>4584</v>
      </c>
      <c r="D149" s="31"/>
      <c r="E149" s="31" t="s">
        <v>17</v>
      </c>
      <c r="F149" s="31"/>
      <c r="G149" s="31" t="s">
        <v>17</v>
      </c>
      <c r="H149" s="31" t="s">
        <v>4655</v>
      </c>
      <c r="I149" s="31" t="s">
        <v>26</v>
      </c>
      <c r="J149" s="31" t="s">
        <v>4834</v>
      </c>
      <c r="K149" s="31" t="s">
        <v>4832</v>
      </c>
      <c r="L149" s="31" t="s">
        <v>674</v>
      </c>
      <c r="M149" s="31"/>
    </row>
    <row r="150" spans="1:13" ht="30">
      <c r="A150" s="30" t="s">
        <v>4830</v>
      </c>
      <c r="B150" s="30" t="s">
        <v>4676</v>
      </c>
      <c r="C150" s="30" t="s">
        <v>4593</v>
      </c>
      <c r="D150" s="31"/>
      <c r="E150" s="31" t="s">
        <v>17</v>
      </c>
      <c r="F150" s="31"/>
      <c r="G150" s="31" t="s">
        <v>17</v>
      </c>
      <c r="H150" s="31"/>
      <c r="I150" s="31" t="s">
        <v>26</v>
      </c>
      <c r="J150" s="31" t="s">
        <v>4835</v>
      </c>
      <c r="K150" s="31" t="s">
        <v>4832</v>
      </c>
      <c r="L150" s="31" t="s">
        <v>674</v>
      </c>
      <c r="M150" s="31"/>
    </row>
    <row r="151" spans="1:13" ht="30">
      <c r="A151" s="30" t="s">
        <v>4830</v>
      </c>
      <c r="B151" s="30" t="s">
        <v>4836</v>
      </c>
      <c r="C151" s="30" t="s">
        <v>4587</v>
      </c>
      <c r="D151" s="31">
        <v>100</v>
      </c>
      <c r="E151" s="31" t="s">
        <v>26</v>
      </c>
      <c r="F151" s="31"/>
      <c r="G151" s="31" t="s">
        <v>17</v>
      </c>
      <c r="H151" s="31"/>
      <c r="I151" s="31" t="s">
        <v>17</v>
      </c>
      <c r="J151" s="31" t="s">
        <v>4837</v>
      </c>
      <c r="K151" s="31" t="s">
        <v>4832</v>
      </c>
      <c r="L151" s="31" t="s">
        <v>674</v>
      </c>
      <c r="M151" s="31"/>
    </row>
    <row r="152" spans="1:13" ht="30">
      <c r="A152" s="30" t="s">
        <v>4830</v>
      </c>
      <c r="B152" s="30" t="s">
        <v>4838</v>
      </c>
      <c r="C152" s="30" t="s">
        <v>4662</v>
      </c>
      <c r="D152" s="31"/>
      <c r="E152" s="31" t="s">
        <v>17</v>
      </c>
      <c r="F152" s="31"/>
      <c r="G152" s="31" t="s">
        <v>17</v>
      </c>
      <c r="H152" s="31"/>
      <c r="I152" s="31" t="s">
        <v>17</v>
      </c>
      <c r="J152" s="31" t="s">
        <v>4839</v>
      </c>
      <c r="K152" s="31" t="s">
        <v>4832</v>
      </c>
      <c r="L152" s="31" t="s">
        <v>674</v>
      </c>
      <c r="M152" s="31"/>
    </row>
    <row r="153" spans="1:13" ht="30">
      <c r="A153" s="30" t="s">
        <v>4830</v>
      </c>
      <c r="B153" s="30" t="s">
        <v>4840</v>
      </c>
      <c r="C153" s="30" t="s">
        <v>4841</v>
      </c>
      <c r="D153" s="31"/>
      <c r="E153" s="31" t="s">
        <v>17</v>
      </c>
      <c r="F153" s="31"/>
      <c r="G153" s="31" t="s">
        <v>17</v>
      </c>
      <c r="H153" s="31"/>
      <c r="I153" s="31" t="s">
        <v>17</v>
      </c>
      <c r="J153" s="31" t="s">
        <v>4842</v>
      </c>
      <c r="K153" s="31" t="s">
        <v>4832</v>
      </c>
      <c r="L153" s="31" t="s">
        <v>674</v>
      </c>
      <c r="M153" s="31"/>
    </row>
    <row r="154" spans="1:13" ht="30">
      <c r="A154" s="30" t="s">
        <v>4830</v>
      </c>
      <c r="B154" s="30" t="s">
        <v>4843</v>
      </c>
      <c r="C154" s="30" t="s">
        <v>4600</v>
      </c>
      <c r="D154" s="31"/>
      <c r="E154" s="31" t="s">
        <v>26</v>
      </c>
      <c r="F154" s="31" t="s">
        <v>4634</v>
      </c>
      <c r="G154" s="31" t="s">
        <v>17</v>
      </c>
      <c r="H154" s="31"/>
      <c r="I154" s="31" t="s">
        <v>26</v>
      </c>
      <c r="J154" s="31" t="s">
        <v>4844</v>
      </c>
      <c r="K154" s="31" t="s">
        <v>4832</v>
      </c>
      <c r="L154" s="31" t="s">
        <v>674</v>
      </c>
      <c r="M154" s="31"/>
    </row>
    <row r="155" spans="1:13" ht="30">
      <c r="A155" s="30" t="s">
        <v>4830</v>
      </c>
      <c r="B155" s="30" t="s">
        <v>4596</v>
      </c>
      <c r="C155" s="30" t="s">
        <v>4593</v>
      </c>
      <c r="D155" s="31"/>
      <c r="E155" s="31" t="s">
        <v>17</v>
      </c>
      <c r="F155" s="31" t="s">
        <v>4828</v>
      </c>
      <c r="G155" s="31" t="s">
        <v>17</v>
      </c>
      <c r="H155" s="31"/>
      <c r="I155" s="31" t="s">
        <v>26</v>
      </c>
      <c r="J155" s="31" t="s">
        <v>4845</v>
      </c>
      <c r="K155" s="31" t="s">
        <v>4832</v>
      </c>
      <c r="L155" s="31" t="s">
        <v>674</v>
      </c>
      <c r="M155" s="31"/>
    </row>
    <row r="156" spans="1:13" ht="30">
      <c r="A156" s="30" t="s">
        <v>4830</v>
      </c>
      <c r="B156" s="30" t="s">
        <v>4599</v>
      </c>
      <c r="C156" s="30" t="s">
        <v>4600</v>
      </c>
      <c r="D156" s="31"/>
      <c r="E156" s="31" t="s">
        <v>17</v>
      </c>
      <c r="F156" s="31" t="s">
        <v>4601</v>
      </c>
      <c r="G156" s="31" t="s">
        <v>17</v>
      </c>
      <c r="H156" s="31"/>
      <c r="I156" s="31" t="s">
        <v>17</v>
      </c>
      <c r="J156" s="31" t="s">
        <v>4602</v>
      </c>
      <c r="K156" s="31" t="s">
        <v>4832</v>
      </c>
      <c r="L156" s="31" t="s">
        <v>674</v>
      </c>
      <c r="M156" s="31"/>
    </row>
    <row r="157" spans="1:13">
      <c r="A157" s="30" t="s">
        <v>4846</v>
      </c>
      <c r="B157" s="30" t="s">
        <v>4583</v>
      </c>
      <c r="C157" s="30" t="s">
        <v>4584</v>
      </c>
      <c r="D157" s="31"/>
      <c r="E157" s="31" t="s">
        <v>17</v>
      </c>
      <c r="F157" s="31"/>
      <c r="G157" s="31" t="s">
        <v>26</v>
      </c>
      <c r="H157" s="31"/>
      <c r="I157" s="31" t="s">
        <v>26</v>
      </c>
      <c r="J157" s="31" t="s">
        <v>4847</v>
      </c>
      <c r="K157" s="31" t="s">
        <v>4342</v>
      </c>
      <c r="L157" s="31" t="s">
        <v>674</v>
      </c>
      <c r="M157" s="31"/>
    </row>
    <row r="158" spans="1:13">
      <c r="A158" s="30" t="s">
        <v>4846</v>
      </c>
      <c r="B158" s="30" t="s">
        <v>4621</v>
      </c>
      <c r="C158" s="30" t="s">
        <v>4584</v>
      </c>
      <c r="D158" s="31"/>
      <c r="E158" s="31" t="s">
        <v>17</v>
      </c>
      <c r="F158" s="31"/>
      <c r="G158" s="31" t="s">
        <v>17</v>
      </c>
      <c r="H158" s="31" t="s">
        <v>4622</v>
      </c>
      <c r="I158" s="31" t="s">
        <v>26</v>
      </c>
      <c r="J158" s="31" t="s">
        <v>4672</v>
      </c>
      <c r="K158" s="31" t="s">
        <v>4342</v>
      </c>
      <c r="L158" s="31" t="s">
        <v>674</v>
      </c>
      <c r="M158" s="31"/>
    </row>
    <row r="159" spans="1:13">
      <c r="A159" s="30" t="s">
        <v>4846</v>
      </c>
      <c r="B159" s="30" t="s">
        <v>4586</v>
      </c>
      <c r="C159" s="30" t="s">
        <v>4587</v>
      </c>
      <c r="D159" s="31">
        <v>100</v>
      </c>
      <c r="E159" s="31" t="s">
        <v>17</v>
      </c>
      <c r="F159" s="31"/>
      <c r="G159" s="31" t="s">
        <v>17</v>
      </c>
      <c r="H159" s="31"/>
      <c r="I159" s="31" t="s">
        <v>17</v>
      </c>
      <c r="J159" s="31" t="s">
        <v>4848</v>
      </c>
      <c r="K159" s="31" t="s">
        <v>4342</v>
      </c>
      <c r="L159" s="31" t="s">
        <v>674</v>
      </c>
      <c r="M159" s="31"/>
    </row>
    <row r="160" spans="1:13">
      <c r="A160" s="30" t="s">
        <v>4846</v>
      </c>
      <c r="B160" s="30" t="s">
        <v>4676</v>
      </c>
      <c r="C160" s="30" t="s">
        <v>4593</v>
      </c>
      <c r="D160" s="31"/>
      <c r="E160" s="31" t="s">
        <v>17</v>
      </c>
      <c r="F160" s="31"/>
      <c r="G160" s="31" t="s">
        <v>17</v>
      </c>
      <c r="H160" s="31"/>
      <c r="I160" s="31" t="s">
        <v>26</v>
      </c>
      <c r="J160" s="31" t="s">
        <v>4849</v>
      </c>
      <c r="K160" s="31" t="s">
        <v>4342</v>
      </c>
      <c r="L160" s="31" t="s">
        <v>674</v>
      </c>
      <c r="M160" s="31"/>
    </row>
    <row r="161" spans="1:13">
      <c r="A161" s="30" t="s">
        <v>4846</v>
      </c>
      <c r="B161" s="30" t="s">
        <v>4850</v>
      </c>
      <c r="C161" s="30" t="s">
        <v>4637</v>
      </c>
      <c r="D161" s="31"/>
      <c r="E161" s="31" t="s">
        <v>17</v>
      </c>
      <c r="F161" s="31"/>
      <c r="G161" s="31" t="s">
        <v>17</v>
      </c>
      <c r="H161" s="31"/>
      <c r="I161" s="31" t="s">
        <v>17</v>
      </c>
      <c r="J161" s="31" t="s">
        <v>4851</v>
      </c>
      <c r="K161" s="31" t="s">
        <v>4342</v>
      </c>
      <c r="L161" s="31" t="s">
        <v>674</v>
      </c>
      <c r="M161" s="31"/>
    </row>
    <row r="162" spans="1:13">
      <c r="A162" s="30" t="s">
        <v>4846</v>
      </c>
      <c r="B162" s="30" t="s">
        <v>4678</v>
      </c>
      <c r="C162" s="30" t="s">
        <v>4600</v>
      </c>
      <c r="D162" s="31"/>
      <c r="E162" s="31" t="s">
        <v>17</v>
      </c>
      <c r="F162" s="31"/>
      <c r="G162" s="31" t="s">
        <v>17</v>
      </c>
      <c r="H162" s="31"/>
      <c r="I162" s="31" t="s">
        <v>26</v>
      </c>
      <c r="J162" s="31" t="s">
        <v>4679</v>
      </c>
      <c r="K162" s="31" t="s">
        <v>4342</v>
      </c>
      <c r="L162" s="31" t="s">
        <v>674</v>
      </c>
      <c r="M162" s="31"/>
    </row>
    <row r="163" spans="1:13">
      <c r="A163" s="30" t="s">
        <v>4846</v>
      </c>
      <c r="B163" s="30" t="s">
        <v>4680</v>
      </c>
      <c r="C163" s="30" t="s">
        <v>4600</v>
      </c>
      <c r="D163" s="31"/>
      <c r="E163" s="31" t="s">
        <v>17</v>
      </c>
      <c r="F163" s="31"/>
      <c r="G163" s="31" t="s">
        <v>17</v>
      </c>
      <c r="H163" s="31"/>
      <c r="I163" s="31" t="s">
        <v>26</v>
      </c>
      <c r="J163" s="31" t="s">
        <v>4681</v>
      </c>
      <c r="K163" s="31" t="s">
        <v>4342</v>
      </c>
      <c r="L163" s="31" t="s">
        <v>674</v>
      </c>
      <c r="M163" s="31"/>
    </row>
    <row r="164" spans="1:13">
      <c r="A164" s="30" t="s">
        <v>4846</v>
      </c>
      <c r="B164" s="30" t="s">
        <v>4852</v>
      </c>
      <c r="C164" s="30" t="s">
        <v>4637</v>
      </c>
      <c r="D164" s="31"/>
      <c r="E164" s="31" t="s">
        <v>26</v>
      </c>
      <c r="F164" s="31"/>
      <c r="G164" s="31" t="s">
        <v>17</v>
      </c>
      <c r="H164" s="31"/>
      <c r="I164" s="31" t="s">
        <v>17</v>
      </c>
      <c r="J164" s="31" t="s">
        <v>4853</v>
      </c>
      <c r="K164" s="31" t="s">
        <v>4342</v>
      </c>
      <c r="L164" s="31" t="s">
        <v>674</v>
      </c>
      <c r="M164" s="31"/>
    </row>
    <row r="165" spans="1:13">
      <c r="A165" s="30" t="s">
        <v>4846</v>
      </c>
      <c r="B165" s="30" t="s">
        <v>4854</v>
      </c>
      <c r="C165" s="30" t="s">
        <v>4637</v>
      </c>
      <c r="D165" s="31"/>
      <c r="E165" s="31" t="s">
        <v>17</v>
      </c>
      <c r="F165" s="31" t="s">
        <v>4638</v>
      </c>
      <c r="G165" s="31" t="s">
        <v>17</v>
      </c>
      <c r="H165" s="31"/>
      <c r="I165" s="31" t="s">
        <v>17</v>
      </c>
      <c r="J165" s="31" t="s">
        <v>4855</v>
      </c>
      <c r="K165" s="31" t="s">
        <v>4342</v>
      </c>
      <c r="L165" s="31" t="s">
        <v>674</v>
      </c>
      <c r="M165" s="31"/>
    </row>
    <row r="166" spans="1:13">
      <c r="A166" s="30" t="s">
        <v>4846</v>
      </c>
      <c r="B166" s="30" t="s">
        <v>4596</v>
      </c>
      <c r="C166" s="30" t="s">
        <v>4593</v>
      </c>
      <c r="D166" s="31"/>
      <c r="E166" s="31" t="s">
        <v>17</v>
      </c>
      <c r="F166" s="31" t="s">
        <v>4597</v>
      </c>
      <c r="G166" s="31" t="s">
        <v>17</v>
      </c>
      <c r="H166" s="31"/>
      <c r="I166" s="31" t="s">
        <v>26</v>
      </c>
      <c r="J166" s="31" t="s">
        <v>4856</v>
      </c>
      <c r="K166" s="31" t="s">
        <v>4342</v>
      </c>
      <c r="L166" s="31" t="s">
        <v>674</v>
      </c>
      <c r="M166" s="31"/>
    </row>
    <row r="167" spans="1:13">
      <c r="A167" s="30" t="s">
        <v>4846</v>
      </c>
      <c r="B167" s="30" t="s">
        <v>4599</v>
      </c>
      <c r="C167" s="30" t="s">
        <v>4600</v>
      </c>
      <c r="D167" s="31"/>
      <c r="E167" s="31" t="s">
        <v>17</v>
      </c>
      <c r="F167" s="31" t="s">
        <v>4601</v>
      </c>
      <c r="G167" s="31" t="s">
        <v>17</v>
      </c>
      <c r="H167" s="31"/>
      <c r="I167" s="31" t="s">
        <v>17</v>
      </c>
      <c r="J167" s="31" t="s">
        <v>4602</v>
      </c>
      <c r="K167" s="31" t="s">
        <v>4342</v>
      </c>
      <c r="L167" s="31" t="s">
        <v>674</v>
      </c>
      <c r="M167" s="31"/>
    </row>
    <row r="168" spans="1:13" ht="30">
      <c r="A168" s="30" t="s">
        <v>4857</v>
      </c>
      <c r="B168" s="30" t="s">
        <v>4583</v>
      </c>
      <c r="C168" s="30" t="s">
        <v>4584</v>
      </c>
      <c r="D168" s="31"/>
      <c r="E168" s="31" t="s">
        <v>17</v>
      </c>
      <c r="F168" s="31"/>
      <c r="G168" s="31" t="s">
        <v>26</v>
      </c>
      <c r="H168" s="31"/>
      <c r="I168" s="31" t="s">
        <v>26</v>
      </c>
      <c r="J168" s="31" t="s">
        <v>4858</v>
      </c>
      <c r="K168" s="31" t="s">
        <v>4859</v>
      </c>
      <c r="L168" s="31" t="s">
        <v>674</v>
      </c>
      <c r="M168" s="31"/>
    </row>
    <row r="169" spans="1:13" ht="30">
      <c r="A169" s="30" t="s">
        <v>4857</v>
      </c>
      <c r="B169" s="30" t="s">
        <v>4621</v>
      </c>
      <c r="C169" s="30" t="s">
        <v>4584</v>
      </c>
      <c r="D169" s="31"/>
      <c r="E169" s="31" t="s">
        <v>17</v>
      </c>
      <c r="F169" s="31"/>
      <c r="G169" s="31" t="s">
        <v>17</v>
      </c>
      <c r="H169" s="31" t="s">
        <v>4622</v>
      </c>
      <c r="I169" s="31" t="s">
        <v>26</v>
      </c>
      <c r="J169" s="31" t="s">
        <v>4672</v>
      </c>
      <c r="K169" s="31" t="s">
        <v>4859</v>
      </c>
      <c r="L169" s="31" t="s">
        <v>674</v>
      </c>
      <c r="M169" s="31"/>
    </row>
    <row r="170" spans="1:13" ht="30">
      <c r="A170" s="30" t="s">
        <v>4857</v>
      </c>
      <c r="B170" s="30" t="s">
        <v>4668</v>
      </c>
      <c r="C170" s="30" t="s">
        <v>4584</v>
      </c>
      <c r="D170" s="31"/>
      <c r="E170" s="31" t="s">
        <v>17</v>
      </c>
      <c r="F170" s="31"/>
      <c r="G170" s="31" t="s">
        <v>17</v>
      </c>
      <c r="H170" s="31" t="s">
        <v>4669</v>
      </c>
      <c r="I170" s="31" t="s">
        <v>26</v>
      </c>
      <c r="J170" s="31" t="s">
        <v>4670</v>
      </c>
      <c r="K170" s="31" t="s">
        <v>4859</v>
      </c>
      <c r="L170" s="31" t="s">
        <v>674</v>
      </c>
      <c r="M170" s="31"/>
    </row>
    <row r="171" spans="1:13" ht="30">
      <c r="A171" s="30" t="s">
        <v>4857</v>
      </c>
      <c r="B171" s="30" t="s">
        <v>4673</v>
      </c>
      <c r="C171" s="30" t="s">
        <v>4584</v>
      </c>
      <c r="D171" s="31"/>
      <c r="E171" s="31" t="s">
        <v>17</v>
      </c>
      <c r="F171" s="31"/>
      <c r="G171" s="31" t="s">
        <v>17</v>
      </c>
      <c r="H171" s="31" t="s">
        <v>4674</v>
      </c>
      <c r="I171" s="31" t="s">
        <v>26</v>
      </c>
      <c r="J171" s="31" t="s">
        <v>4675</v>
      </c>
      <c r="K171" s="31" t="s">
        <v>4859</v>
      </c>
      <c r="L171" s="31" t="s">
        <v>674</v>
      </c>
      <c r="M171" s="31"/>
    </row>
    <row r="172" spans="1:13" ht="30">
      <c r="A172" s="30" t="s">
        <v>4857</v>
      </c>
      <c r="B172" s="30" t="s">
        <v>4678</v>
      </c>
      <c r="C172" s="30" t="s">
        <v>4600</v>
      </c>
      <c r="D172" s="31"/>
      <c r="E172" s="31" t="s">
        <v>17</v>
      </c>
      <c r="F172" s="31"/>
      <c r="G172" s="31" t="s">
        <v>17</v>
      </c>
      <c r="H172" s="31"/>
      <c r="I172" s="31" t="s">
        <v>26</v>
      </c>
      <c r="J172" s="31" t="s">
        <v>4860</v>
      </c>
      <c r="K172" s="31" t="s">
        <v>4859</v>
      </c>
      <c r="L172" s="31" t="s">
        <v>674</v>
      </c>
      <c r="M172" s="31"/>
    </row>
    <row r="173" spans="1:13" ht="30">
      <c r="A173" s="30" t="s">
        <v>4857</v>
      </c>
      <c r="B173" s="30" t="s">
        <v>4680</v>
      </c>
      <c r="C173" s="30" t="s">
        <v>4600</v>
      </c>
      <c r="D173" s="31"/>
      <c r="E173" s="31" t="s">
        <v>17</v>
      </c>
      <c r="F173" s="31"/>
      <c r="G173" s="31" t="s">
        <v>17</v>
      </c>
      <c r="H173" s="31"/>
      <c r="I173" s="31" t="s">
        <v>26</v>
      </c>
      <c r="J173" s="31" t="s">
        <v>4861</v>
      </c>
      <c r="K173" s="31" t="s">
        <v>4859</v>
      </c>
      <c r="L173" s="31" t="s">
        <v>674</v>
      </c>
      <c r="M173" s="31"/>
    </row>
    <row r="174" spans="1:13" ht="30">
      <c r="A174" s="30" t="s">
        <v>4857</v>
      </c>
      <c r="B174" s="30" t="s">
        <v>4862</v>
      </c>
      <c r="C174" s="30" t="s">
        <v>4637</v>
      </c>
      <c r="D174" s="31"/>
      <c r="E174" s="31" t="s">
        <v>17</v>
      </c>
      <c r="F174" s="31" t="s">
        <v>4638</v>
      </c>
      <c r="G174" s="31" t="s">
        <v>17</v>
      </c>
      <c r="H174" s="31"/>
      <c r="I174" s="31" t="s">
        <v>17</v>
      </c>
      <c r="J174" s="31" t="s">
        <v>4863</v>
      </c>
      <c r="K174" s="31" t="s">
        <v>4859</v>
      </c>
      <c r="L174" s="31" t="s">
        <v>674</v>
      </c>
      <c r="M174" s="31"/>
    </row>
    <row r="175" spans="1:13" ht="30">
      <c r="A175" s="30" t="s">
        <v>4857</v>
      </c>
      <c r="B175" s="30" t="s">
        <v>4864</v>
      </c>
      <c r="C175" s="30" t="s">
        <v>4637</v>
      </c>
      <c r="D175" s="31"/>
      <c r="E175" s="31" t="s">
        <v>17</v>
      </c>
      <c r="F175" s="31" t="s">
        <v>4638</v>
      </c>
      <c r="G175" s="31" t="s">
        <v>17</v>
      </c>
      <c r="H175" s="31"/>
      <c r="I175" s="31" t="s">
        <v>17</v>
      </c>
      <c r="J175" s="31" t="s">
        <v>4865</v>
      </c>
      <c r="K175" s="31" t="s">
        <v>4859</v>
      </c>
      <c r="L175" s="31" t="s">
        <v>674</v>
      </c>
      <c r="M175" s="31"/>
    </row>
    <row r="176" spans="1:13" ht="30">
      <c r="A176" s="30" t="s">
        <v>4857</v>
      </c>
      <c r="B176" s="30" t="s">
        <v>4596</v>
      </c>
      <c r="C176" s="30" t="s">
        <v>4593</v>
      </c>
      <c r="D176" s="31"/>
      <c r="E176" s="31" t="s">
        <v>17</v>
      </c>
      <c r="F176" s="31" t="s">
        <v>4597</v>
      </c>
      <c r="G176" s="31" t="s">
        <v>17</v>
      </c>
      <c r="H176" s="31"/>
      <c r="I176" s="31" t="s">
        <v>26</v>
      </c>
      <c r="J176" s="31" t="s">
        <v>4866</v>
      </c>
      <c r="K176" s="31" t="s">
        <v>4859</v>
      </c>
      <c r="L176" s="31" t="s">
        <v>674</v>
      </c>
      <c r="M176" s="31"/>
    </row>
    <row r="177" spans="1:13" ht="30">
      <c r="A177" s="30" t="s">
        <v>4857</v>
      </c>
      <c r="B177" s="30" t="s">
        <v>4599</v>
      </c>
      <c r="C177" s="30" t="s">
        <v>4600</v>
      </c>
      <c r="D177" s="31"/>
      <c r="E177" s="31" t="s">
        <v>17</v>
      </c>
      <c r="F177" s="31" t="s">
        <v>4601</v>
      </c>
      <c r="G177" s="31" t="s">
        <v>17</v>
      </c>
      <c r="H177" s="31"/>
      <c r="I177" s="31" t="s">
        <v>17</v>
      </c>
      <c r="J177" s="31" t="s">
        <v>4602</v>
      </c>
      <c r="K177" s="31" t="s">
        <v>4859</v>
      </c>
      <c r="L177" s="31" t="s">
        <v>674</v>
      </c>
      <c r="M177" s="31"/>
    </row>
    <row r="178" spans="1:13">
      <c r="A178" s="30" t="s">
        <v>4735</v>
      </c>
      <c r="B178" s="30" t="s">
        <v>4583</v>
      </c>
      <c r="C178" s="30" t="s">
        <v>4584</v>
      </c>
      <c r="D178" s="31"/>
      <c r="E178" s="31" t="s">
        <v>17</v>
      </c>
      <c r="F178" s="31"/>
      <c r="G178" s="31" t="s">
        <v>26</v>
      </c>
      <c r="H178" s="31"/>
      <c r="I178" s="31" t="s">
        <v>26</v>
      </c>
      <c r="J178" s="31" t="s">
        <v>4867</v>
      </c>
      <c r="K178" s="31" t="s">
        <v>4868</v>
      </c>
      <c r="L178" s="31" t="s">
        <v>674</v>
      </c>
      <c r="M178" s="31"/>
    </row>
    <row r="179" spans="1:13">
      <c r="A179" s="30" t="s">
        <v>4735</v>
      </c>
      <c r="B179" s="30" t="s">
        <v>4621</v>
      </c>
      <c r="C179" s="30" t="s">
        <v>4584</v>
      </c>
      <c r="D179" s="31"/>
      <c r="E179" s="31" t="s">
        <v>17</v>
      </c>
      <c r="F179" s="31"/>
      <c r="G179" s="31" t="s">
        <v>17</v>
      </c>
      <c r="H179" s="31" t="s">
        <v>4622</v>
      </c>
      <c r="I179" s="31" t="s">
        <v>26</v>
      </c>
      <c r="J179" s="31" t="s">
        <v>4672</v>
      </c>
      <c r="K179" s="31" t="s">
        <v>4868</v>
      </c>
      <c r="L179" s="31" t="s">
        <v>674</v>
      </c>
      <c r="M179" s="31"/>
    </row>
    <row r="180" spans="1:13">
      <c r="A180" s="30" t="s">
        <v>4735</v>
      </c>
      <c r="B180" s="30" t="s">
        <v>4668</v>
      </c>
      <c r="C180" s="30" t="s">
        <v>4584</v>
      </c>
      <c r="D180" s="31"/>
      <c r="E180" s="31" t="s">
        <v>17</v>
      </c>
      <c r="F180" s="31"/>
      <c r="G180" s="31" t="s">
        <v>17</v>
      </c>
      <c r="H180" s="31" t="s">
        <v>4669</v>
      </c>
      <c r="I180" s="31" t="s">
        <v>26</v>
      </c>
      <c r="J180" s="31" t="s">
        <v>4670</v>
      </c>
      <c r="K180" s="31" t="s">
        <v>4868</v>
      </c>
      <c r="L180" s="31" t="s">
        <v>674</v>
      </c>
      <c r="M180" s="31"/>
    </row>
    <row r="181" spans="1:13">
      <c r="A181" s="30" t="s">
        <v>4735</v>
      </c>
      <c r="B181" s="30" t="s">
        <v>4676</v>
      </c>
      <c r="C181" s="30" t="s">
        <v>4593</v>
      </c>
      <c r="D181" s="31"/>
      <c r="E181" s="31" t="s">
        <v>17</v>
      </c>
      <c r="F181" s="31"/>
      <c r="G181" s="31" t="s">
        <v>17</v>
      </c>
      <c r="H181" s="31"/>
      <c r="I181" s="31" t="s">
        <v>26</v>
      </c>
      <c r="J181" s="31" t="s">
        <v>4869</v>
      </c>
      <c r="K181" s="31" t="s">
        <v>4868</v>
      </c>
      <c r="L181" s="31" t="s">
        <v>674</v>
      </c>
      <c r="M181" s="31"/>
    </row>
    <row r="182" spans="1:13">
      <c r="A182" s="30" t="s">
        <v>4735</v>
      </c>
      <c r="B182" s="30" t="s">
        <v>4870</v>
      </c>
      <c r="C182" s="30" t="s">
        <v>4637</v>
      </c>
      <c r="D182" s="31"/>
      <c r="E182" s="31" t="s">
        <v>17</v>
      </c>
      <c r="F182" s="31" t="s">
        <v>4638</v>
      </c>
      <c r="G182" s="31" t="s">
        <v>17</v>
      </c>
      <c r="H182" s="31"/>
      <c r="I182" s="31" t="s">
        <v>17</v>
      </c>
      <c r="J182" s="31" t="s">
        <v>4871</v>
      </c>
      <c r="K182" s="31" t="s">
        <v>4868</v>
      </c>
      <c r="L182" s="31" t="s">
        <v>674</v>
      </c>
      <c r="M182" s="31"/>
    </row>
    <row r="183" spans="1:13">
      <c r="A183" s="30" t="s">
        <v>4735</v>
      </c>
      <c r="B183" s="30" t="s">
        <v>4872</v>
      </c>
      <c r="C183" s="30" t="s">
        <v>4637</v>
      </c>
      <c r="D183" s="31"/>
      <c r="E183" s="31" t="s">
        <v>17</v>
      </c>
      <c r="F183" s="31" t="s">
        <v>4638</v>
      </c>
      <c r="G183" s="31" t="s">
        <v>17</v>
      </c>
      <c r="H183" s="31"/>
      <c r="I183" s="31" t="s">
        <v>17</v>
      </c>
      <c r="J183" s="31" t="s">
        <v>4873</v>
      </c>
      <c r="K183" s="31" t="s">
        <v>4868</v>
      </c>
      <c r="L183" s="31" t="s">
        <v>674</v>
      </c>
      <c r="M183" s="31"/>
    </row>
    <row r="184" spans="1:13">
      <c r="A184" s="30" t="s">
        <v>4735</v>
      </c>
      <c r="B184" s="30" t="s">
        <v>4874</v>
      </c>
      <c r="C184" s="30" t="s">
        <v>4587</v>
      </c>
      <c r="D184" s="31">
        <v>200</v>
      </c>
      <c r="E184" s="31" t="s">
        <v>26</v>
      </c>
      <c r="F184" s="31"/>
      <c r="G184" s="31" t="s">
        <v>17</v>
      </c>
      <c r="H184" s="31"/>
      <c r="I184" s="31" t="s">
        <v>17</v>
      </c>
      <c r="J184" s="31" t="s">
        <v>4875</v>
      </c>
      <c r="K184" s="31" t="s">
        <v>4868</v>
      </c>
      <c r="L184" s="31" t="s">
        <v>674</v>
      </c>
      <c r="M184" s="31"/>
    </row>
    <row r="185" spans="1:13">
      <c r="A185" s="30" t="s">
        <v>4735</v>
      </c>
      <c r="B185" s="30" t="s">
        <v>4599</v>
      </c>
      <c r="C185" s="30" t="s">
        <v>4600</v>
      </c>
      <c r="D185" s="31"/>
      <c r="E185" s="31" t="s">
        <v>17</v>
      </c>
      <c r="F185" s="31" t="s">
        <v>4601</v>
      </c>
      <c r="G185" s="31" t="s">
        <v>17</v>
      </c>
      <c r="H185" s="31"/>
      <c r="I185" s="31" t="s">
        <v>17</v>
      </c>
      <c r="J185" s="31" t="s">
        <v>4602</v>
      </c>
      <c r="K185" s="31" t="s">
        <v>4868</v>
      </c>
      <c r="L185" s="31" t="s">
        <v>674</v>
      </c>
      <c r="M185" s="31"/>
    </row>
    <row r="186" spans="1:13" ht="30">
      <c r="A186" s="30" t="s">
        <v>4876</v>
      </c>
      <c r="B186" s="30" t="s">
        <v>4583</v>
      </c>
      <c r="C186" s="30" t="s">
        <v>4584</v>
      </c>
      <c r="D186" s="31"/>
      <c r="E186" s="31" t="s">
        <v>17</v>
      </c>
      <c r="F186" s="31" t="s">
        <v>4877</v>
      </c>
      <c r="G186" s="31" t="s">
        <v>26</v>
      </c>
      <c r="H186" s="31"/>
      <c r="I186" s="31" t="s">
        <v>26</v>
      </c>
      <c r="J186" s="31" t="s">
        <v>4878</v>
      </c>
      <c r="K186" s="31"/>
      <c r="L186" s="31" t="s">
        <v>674</v>
      </c>
      <c r="M186" s="31"/>
    </row>
    <row r="187" spans="1:13">
      <c r="A187" s="30" t="s">
        <v>4876</v>
      </c>
      <c r="B187" s="30" t="s">
        <v>4668</v>
      </c>
      <c r="C187" s="30" t="s">
        <v>4584</v>
      </c>
      <c r="D187" s="31"/>
      <c r="E187" s="31" t="s">
        <v>17</v>
      </c>
      <c r="F187" s="31"/>
      <c r="G187" s="31" t="s">
        <v>17</v>
      </c>
      <c r="H187" s="31" t="s">
        <v>4879</v>
      </c>
      <c r="I187" s="31" t="s">
        <v>26</v>
      </c>
      <c r="J187" s="31" t="s">
        <v>4880</v>
      </c>
      <c r="K187" s="31"/>
      <c r="L187" s="31" t="s">
        <v>674</v>
      </c>
      <c r="M187" s="31"/>
    </row>
    <row r="188" spans="1:13">
      <c r="A188" s="30" t="s">
        <v>4876</v>
      </c>
      <c r="B188" s="30" t="s">
        <v>4790</v>
      </c>
      <c r="C188" s="30" t="s">
        <v>4600</v>
      </c>
      <c r="D188" s="31"/>
      <c r="E188" s="31" t="s">
        <v>17</v>
      </c>
      <c r="F188" s="31" t="s">
        <v>4601</v>
      </c>
      <c r="G188" s="31" t="s">
        <v>17</v>
      </c>
      <c r="H188" s="31"/>
      <c r="I188" s="31" t="s">
        <v>17</v>
      </c>
      <c r="J188" s="31" t="s">
        <v>4881</v>
      </c>
      <c r="K188" s="31"/>
      <c r="L188" s="31" t="s">
        <v>674</v>
      </c>
      <c r="M188" s="31"/>
    </row>
    <row r="189" spans="1:13">
      <c r="A189" s="30" t="s">
        <v>4876</v>
      </c>
      <c r="B189" s="30" t="s">
        <v>4882</v>
      </c>
      <c r="C189" s="30" t="s">
        <v>4883</v>
      </c>
      <c r="D189" s="31"/>
      <c r="E189" s="31" t="s">
        <v>26</v>
      </c>
      <c r="F189" s="31"/>
      <c r="G189" s="31" t="s">
        <v>17</v>
      </c>
      <c r="H189" s="31"/>
      <c r="I189" s="31" t="s">
        <v>17</v>
      </c>
      <c r="J189" s="31" t="s">
        <v>4884</v>
      </c>
      <c r="K189" s="31"/>
      <c r="L189" s="31" t="s">
        <v>674</v>
      </c>
      <c r="M189" s="31"/>
    </row>
    <row r="190" spans="1:13">
      <c r="A190" s="30" t="s">
        <v>4876</v>
      </c>
      <c r="B190" s="30" t="s">
        <v>4885</v>
      </c>
      <c r="C190" s="30" t="s">
        <v>4883</v>
      </c>
      <c r="D190" s="31"/>
      <c r="E190" s="31" t="s">
        <v>26</v>
      </c>
      <c r="F190" s="31"/>
      <c r="G190" s="31" t="s">
        <v>17</v>
      </c>
      <c r="H190" s="31"/>
      <c r="I190" s="31" t="s">
        <v>17</v>
      </c>
      <c r="J190" s="31" t="s">
        <v>4886</v>
      </c>
      <c r="K190" s="31"/>
      <c r="L190" s="31" t="s">
        <v>674</v>
      </c>
      <c r="M190" s="31"/>
    </row>
    <row r="191" spans="1:13">
      <c r="A191" s="30" t="s">
        <v>4876</v>
      </c>
      <c r="B191" s="30" t="s">
        <v>4887</v>
      </c>
      <c r="C191" s="30" t="s">
        <v>4883</v>
      </c>
      <c r="D191" s="31"/>
      <c r="E191" s="31" t="s">
        <v>26</v>
      </c>
      <c r="F191" s="31"/>
      <c r="G191" s="31" t="s">
        <v>17</v>
      </c>
      <c r="H191" s="31"/>
      <c r="I191" s="31" t="s">
        <v>17</v>
      </c>
      <c r="J191" s="31" t="s">
        <v>4888</v>
      </c>
      <c r="K191" s="31"/>
      <c r="L191" s="31" t="s">
        <v>674</v>
      </c>
      <c r="M191" s="31"/>
    </row>
    <row r="192" spans="1:13">
      <c r="A192" s="30" t="s">
        <v>4876</v>
      </c>
      <c r="B192" s="30" t="s">
        <v>4889</v>
      </c>
      <c r="C192" s="30" t="s">
        <v>4883</v>
      </c>
      <c r="D192" s="31"/>
      <c r="E192" s="31" t="s">
        <v>26</v>
      </c>
      <c r="F192" s="31"/>
      <c r="G192" s="31" t="s">
        <v>17</v>
      </c>
      <c r="H192" s="31"/>
      <c r="I192" s="31" t="s">
        <v>17</v>
      </c>
      <c r="J192" s="31" t="s">
        <v>4890</v>
      </c>
      <c r="K192" s="31"/>
      <c r="L192" s="31" t="s">
        <v>674</v>
      </c>
      <c r="M192" s="31"/>
    </row>
    <row r="193" spans="1:13">
      <c r="A193" s="30" t="s">
        <v>4876</v>
      </c>
      <c r="B193" s="30" t="s">
        <v>4891</v>
      </c>
      <c r="C193" s="30" t="s">
        <v>4883</v>
      </c>
      <c r="D193" s="31"/>
      <c r="E193" s="31" t="s">
        <v>26</v>
      </c>
      <c r="F193" s="31"/>
      <c r="G193" s="31" t="s">
        <v>17</v>
      </c>
      <c r="H193" s="31"/>
      <c r="I193" s="31" t="s">
        <v>17</v>
      </c>
      <c r="J193" s="31" t="s">
        <v>4892</v>
      </c>
      <c r="K193" s="31"/>
      <c r="L193" s="31" t="s">
        <v>674</v>
      </c>
      <c r="M193" s="31"/>
    </row>
    <row r="194" spans="1:13">
      <c r="A194" s="30" t="s">
        <v>4876</v>
      </c>
      <c r="B194" s="30" t="s">
        <v>4661</v>
      </c>
      <c r="C194" s="30" t="s">
        <v>4662</v>
      </c>
      <c r="D194" s="31"/>
      <c r="E194" s="31" t="s">
        <v>26</v>
      </c>
      <c r="F194" s="31"/>
      <c r="G194" s="31" t="s">
        <v>17</v>
      </c>
      <c r="H194" s="31"/>
      <c r="I194" s="31" t="s">
        <v>17</v>
      </c>
      <c r="J194" s="31" t="s">
        <v>4748</v>
      </c>
      <c r="K194" s="31"/>
      <c r="L194" s="31" t="s">
        <v>674</v>
      </c>
      <c r="M194" s="31"/>
    </row>
    <row r="195" spans="1:13">
      <c r="A195" s="30" t="s">
        <v>4876</v>
      </c>
      <c r="B195" s="30" t="s">
        <v>4599</v>
      </c>
      <c r="C195" s="30" t="s">
        <v>4600</v>
      </c>
      <c r="D195" s="31"/>
      <c r="E195" s="31" t="s">
        <v>17</v>
      </c>
      <c r="F195" s="31" t="s">
        <v>4601</v>
      </c>
      <c r="G195" s="31" t="s">
        <v>17</v>
      </c>
      <c r="H195" s="31"/>
      <c r="I195" s="31" t="s">
        <v>17</v>
      </c>
      <c r="J195" s="31" t="s">
        <v>4602</v>
      </c>
      <c r="K195" s="31"/>
      <c r="L195" s="31" t="s">
        <v>674</v>
      </c>
      <c r="M195" s="31"/>
    </row>
    <row r="196" spans="1:13" ht="30">
      <c r="A196" s="30" t="s">
        <v>4893</v>
      </c>
      <c r="B196" s="30" t="s">
        <v>4583</v>
      </c>
      <c r="C196" s="30" t="s">
        <v>4584</v>
      </c>
      <c r="D196" s="31"/>
      <c r="E196" s="31" t="s">
        <v>17</v>
      </c>
      <c r="F196" s="31" t="s">
        <v>4877</v>
      </c>
      <c r="G196" s="31" t="s">
        <v>26</v>
      </c>
      <c r="H196" s="31"/>
      <c r="I196" s="31" t="s">
        <v>26</v>
      </c>
      <c r="J196" s="31" t="s">
        <v>4894</v>
      </c>
      <c r="K196" s="31"/>
      <c r="L196" s="31" t="s">
        <v>674</v>
      </c>
      <c r="M196" s="31"/>
    </row>
    <row r="197" spans="1:13">
      <c r="A197" s="30" t="s">
        <v>4893</v>
      </c>
      <c r="B197" s="30" t="s">
        <v>4668</v>
      </c>
      <c r="C197" s="30" t="s">
        <v>4584</v>
      </c>
      <c r="D197" s="31"/>
      <c r="E197" s="31" t="s">
        <v>17</v>
      </c>
      <c r="F197" s="31"/>
      <c r="G197" s="31" t="s">
        <v>17</v>
      </c>
      <c r="H197" s="31" t="s">
        <v>4879</v>
      </c>
      <c r="I197" s="31" t="s">
        <v>26</v>
      </c>
      <c r="J197" s="31" t="s">
        <v>4880</v>
      </c>
      <c r="K197" s="31"/>
      <c r="L197" s="31" t="s">
        <v>674</v>
      </c>
      <c r="M197" s="31"/>
    </row>
    <row r="198" spans="1:13">
      <c r="A198" s="30" t="s">
        <v>4893</v>
      </c>
      <c r="B198" s="30" t="s">
        <v>4838</v>
      </c>
      <c r="C198" s="30" t="s">
        <v>4662</v>
      </c>
      <c r="D198" s="31"/>
      <c r="E198" s="31" t="s">
        <v>17</v>
      </c>
      <c r="F198" s="31"/>
      <c r="G198" s="31" t="s">
        <v>17</v>
      </c>
      <c r="H198" s="31"/>
      <c r="I198" s="31" t="s">
        <v>17</v>
      </c>
      <c r="J198" s="31" t="s">
        <v>4895</v>
      </c>
      <c r="K198" s="31"/>
      <c r="L198" s="31" t="s">
        <v>674</v>
      </c>
      <c r="M198" s="31"/>
    </row>
    <row r="199" spans="1:13">
      <c r="A199" s="30" t="s">
        <v>4893</v>
      </c>
      <c r="B199" s="30" t="s">
        <v>4692</v>
      </c>
      <c r="C199" s="30" t="s">
        <v>4587</v>
      </c>
      <c r="D199" s="31">
        <v>20</v>
      </c>
      <c r="E199" s="31" t="s">
        <v>26</v>
      </c>
      <c r="F199" s="31"/>
      <c r="G199" s="31" t="s">
        <v>17</v>
      </c>
      <c r="H199" s="31"/>
      <c r="I199" s="31" t="s">
        <v>17</v>
      </c>
      <c r="J199" s="31" t="s">
        <v>4896</v>
      </c>
      <c r="K199" s="31"/>
      <c r="L199" s="31" t="s">
        <v>674</v>
      </c>
      <c r="M199" s="31"/>
    </row>
    <row r="200" spans="1:13">
      <c r="A200" s="30" t="s">
        <v>4893</v>
      </c>
      <c r="B200" s="30" t="s">
        <v>4897</v>
      </c>
      <c r="C200" s="30" t="s">
        <v>4587</v>
      </c>
      <c r="D200" s="31">
        <v>50</v>
      </c>
      <c r="E200" s="31" t="s">
        <v>26</v>
      </c>
      <c r="F200" s="31"/>
      <c r="G200" s="31" t="s">
        <v>17</v>
      </c>
      <c r="H200" s="31"/>
      <c r="I200" s="31" t="s">
        <v>17</v>
      </c>
      <c r="J200" s="31" t="s">
        <v>4898</v>
      </c>
      <c r="K200" s="31"/>
      <c r="L200" s="31" t="s">
        <v>674</v>
      </c>
      <c r="M200" s="31"/>
    </row>
    <row r="201" spans="1:13">
      <c r="A201" s="30" t="s">
        <v>4893</v>
      </c>
      <c r="B201" s="30" t="s">
        <v>4599</v>
      </c>
      <c r="C201" s="30" t="s">
        <v>4600</v>
      </c>
      <c r="D201" s="31"/>
      <c r="E201" s="31" t="s">
        <v>17</v>
      </c>
      <c r="F201" s="31" t="s">
        <v>4601</v>
      </c>
      <c r="G201" s="31" t="s">
        <v>17</v>
      </c>
      <c r="H201" s="31"/>
      <c r="I201" s="31" t="s">
        <v>17</v>
      </c>
      <c r="J201" s="31" t="s">
        <v>4602</v>
      </c>
      <c r="K201" s="31"/>
      <c r="L201" s="31" t="s">
        <v>674</v>
      </c>
      <c r="M201" s="31"/>
    </row>
    <row r="202" spans="1:13">
      <c r="A202" s="30" t="s">
        <v>4893</v>
      </c>
      <c r="B202" s="30" t="s">
        <v>4603</v>
      </c>
      <c r="C202" s="30" t="s">
        <v>4600</v>
      </c>
      <c r="D202" s="31"/>
      <c r="E202" s="31" t="s">
        <v>17</v>
      </c>
      <c r="F202" s="31" t="s">
        <v>4601</v>
      </c>
      <c r="G202" s="31" t="s">
        <v>17</v>
      </c>
      <c r="H202" s="31"/>
      <c r="I202" s="31" t="s">
        <v>17</v>
      </c>
      <c r="J202" s="31" t="s">
        <v>4605</v>
      </c>
      <c r="K202" s="31"/>
      <c r="L202" s="31" t="s">
        <v>674</v>
      </c>
      <c r="M202" s="31"/>
    </row>
    <row r="203" spans="1:13" ht="30">
      <c r="A203" s="30" t="s">
        <v>4899</v>
      </c>
      <c r="B203" s="30" t="s">
        <v>4583</v>
      </c>
      <c r="C203" s="30" t="s">
        <v>4584</v>
      </c>
      <c r="D203" s="31"/>
      <c r="E203" s="31" t="s">
        <v>17</v>
      </c>
      <c r="F203" s="31" t="s">
        <v>4877</v>
      </c>
      <c r="G203" s="31" t="s">
        <v>26</v>
      </c>
      <c r="H203" s="31"/>
      <c r="I203" s="31" t="s">
        <v>26</v>
      </c>
      <c r="J203" s="31" t="s">
        <v>4900</v>
      </c>
      <c r="K203" s="31"/>
      <c r="L203" s="31" t="s">
        <v>674</v>
      </c>
      <c r="M203" s="31"/>
    </row>
    <row r="204" spans="1:13">
      <c r="A204" s="30" t="s">
        <v>4899</v>
      </c>
      <c r="B204" s="30" t="s">
        <v>4668</v>
      </c>
      <c r="C204" s="30" t="s">
        <v>4584</v>
      </c>
      <c r="D204" s="31"/>
      <c r="E204" s="31" t="s">
        <v>17</v>
      </c>
      <c r="F204" s="31"/>
      <c r="G204" s="31" t="s">
        <v>17</v>
      </c>
      <c r="H204" s="31" t="s">
        <v>4879</v>
      </c>
      <c r="I204" s="31" t="s">
        <v>4590</v>
      </c>
      <c r="J204" s="31" t="s">
        <v>4901</v>
      </c>
      <c r="K204" s="31"/>
      <c r="L204" s="31" t="s">
        <v>674</v>
      </c>
      <c r="M204" s="31"/>
    </row>
    <row r="205" spans="1:13">
      <c r="A205" s="30" t="s">
        <v>4899</v>
      </c>
      <c r="B205" s="30" t="s">
        <v>4902</v>
      </c>
      <c r="C205" s="30" t="s">
        <v>4883</v>
      </c>
      <c r="D205" s="31"/>
      <c r="E205" s="31" t="s">
        <v>26</v>
      </c>
      <c r="F205" s="31"/>
      <c r="G205" s="31" t="s">
        <v>17</v>
      </c>
      <c r="H205" s="31"/>
      <c r="I205" s="31" t="s">
        <v>17</v>
      </c>
      <c r="J205" s="31" t="s">
        <v>4903</v>
      </c>
      <c r="K205" s="31"/>
      <c r="L205" s="31" t="s">
        <v>674</v>
      </c>
      <c r="M205" s="31"/>
    </row>
    <row r="206" spans="1:13">
      <c r="A206" s="30" t="s">
        <v>4899</v>
      </c>
      <c r="B206" s="30" t="s">
        <v>4904</v>
      </c>
      <c r="C206" s="30" t="s">
        <v>4883</v>
      </c>
      <c r="D206" s="31"/>
      <c r="E206" s="31" t="s">
        <v>26</v>
      </c>
      <c r="F206" s="31"/>
      <c r="G206" s="31" t="s">
        <v>17</v>
      </c>
      <c r="H206" s="31"/>
      <c r="I206" s="31" t="s">
        <v>17</v>
      </c>
      <c r="J206" s="31" t="s">
        <v>4905</v>
      </c>
      <c r="K206" s="31"/>
      <c r="L206" s="31" t="s">
        <v>674</v>
      </c>
      <c r="M206" s="31"/>
    </row>
    <row r="207" spans="1:13">
      <c r="A207" s="30" t="s">
        <v>4899</v>
      </c>
      <c r="B207" s="30" t="s">
        <v>4599</v>
      </c>
      <c r="C207" s="30" t="s">
        <v>4600</v>
      </c>
      <c r="D207" s="31"/>
      <c r="E207" s="31" t="s">
        <v>17</v>
      </c>
      <c r="F207" s="31" t="s">
        <v>4601</v>
      </c>
      <c r="G207" s="31" t="s">
        <v>17</v>
      </c>
      <c r="H207" s="31"/>
      <c r="I207" s="31" t="s">
        <v>17</v>
      </c>
      <c r="J207" s="31" t="s">
        <v>4602</v>
      </c>
      <c r="K207" s="31"/>
      <c r="L207" s="31" t="s">
        <v>674</v>
      </c>
      <c r="M207" s="31"/>
    </row>
    <row r="208" spans="1:13">
      <c r="A208" s="30" t="s">
        <v>4899</v>
      </c>
      <c r="B208" s="30" t="s">
        <v>4603</v>
      </c>
      <c r="C208" s="30" t="s">
        <v>4600</v>
      </c>
      <c r="D208" s="31"/>
      <c r="E208" s="31" t="s">
        <v>17</v>
      </c>
      <c r="F208" s="31" t="s">
        <v>4601</v>
      </c>
      <c r="G208" s="31" t="s">
        <v>17</v>
      </c>
      <c r="H208" s="31"/>
      <c r="I208" s="31" t="s">
        <v>17</v>
      </c>
      <c r="J208" s="31" t="s">
        <v>4605</v>
      </c>
      <c r="K208" s="31"/>
      <c r="L208" s="31" t="s">
        <v>674</v>
      </c>
      <c r="M208" s="31"/>
    </row>
    <row r="209" spans="1:13" ht="30">
      <c r="A209" s="30" t="s">
        <v>4906</v>
      </c>
      <c r="B209" s="30" t="s">
        <v>4583</v>
      </c>
      <c r="C209" s="30" t="s">
        <v>4584</v>
      </c>
      <c r="D209" s="31"/>
      <c r="E209" s="31" t="s">
        <v>17</v>
      </c>
      <c r="F209" s="31" t="s">
        <v>4877</v>
      </c>
      <c r="G209" s="31" t="s">
        <v>26</v>
      </c>
      <c r="H209" s="31"/>
      <c r="I209" s="31" t="s">
        <v>26</v>
      </c>
      <c r="J209" s="31" t="s">
        <v>4907</v>
      </c>
      <c r="K209" s="31"/>
      <c r="L209" s="31" t="s">
        <v>674</v>
      </c>
      <c r="M209" s="31"/>
    </row>
    <row r="210" spans="1:13">
      <c r="A210" s="30" t="s">
        <v>4906</v>
      </c>
      <c r="B210" s="30" t="s">
        <v>4836</v>
      </c>
      <c r="C210" s="30" t="s">
        <v>4587</v>
      </c>
      <c r="D210" s="31">
        <v>100</v>
      </c>
      <c r="E210" s="31" t="s">
        <v>17</v>
      </c>
      <c r="F210" s="31"/>
      <c r="G210" s="31" t="s">
        <v>17</v>
      </c>
      <c r="H210" s="31"/>
      <c r="I210" s="31" t="s">
        <v>17</v>
      </c>
      <c r="J210" s="31" t="s">
        <v>4908</v>
      </c>
      <c r="K210" s="31"/>
      <c r="L210" s="31" t="s">
        <v>674</v>
      </c>
      <c r="M210" s="31"/>
    </row>
    <row r="211" spans="1:13">
      <c r="A211" s="30" t="s">
        <v>4906</v>
      </c>
      <c r="B211" s="30" t="s">
        <v>4676</v>
      </c>
      <c r="C211" s="30" t="s">
        <v>4587</v>
      </c>
      <c r="D211" s="31">
        <v>20</v>
      </c>
      <c r="E211" s="31" t="s">
        <v>17</v>
      </c>
      <c r="F211" s="31"/>
      <c r="G211" s="31" t="s">
        <v>17</v>
      </c>
      <c r="H211" s="31"/>
      <c r="I211" s="31" t="s">
        <v>17</v>
      </c>
      <c r="J211" s="31" t="s">
        <v>4909</v>
      </c>
      <c r="K211" s="31"/>
      <c r="L211" s="31" t="s">
        <v>674</v>
      </c>
      <c r="M211" s="31"/>
    </row>
    <row r="212" spans="1:13">
      <c r="A212" s="30" t="s">
        <v>4906</v>
      </c>
      <c r="B212" s="30" t="s">
        <v>4787</v>
      </c>
      <c r="C212" s="30" t="s">
        <v>4584</v>
      </c>
      <c r="D212" s="31"/>
      <c r="E212" s="31" t="s">
        <v>17</v>
      </c>
      <c r="F212" s="31"/>
      <c r="G212" s="31" t="s">
        <v>17</v>
      </c>
      <c r="H212" s="31" t="s">
        <v>4910</v>
      </c>
      <c r="I212" s="31" t="s">
        <v>26</v>
      </c>
      <c r="J212" s="31" t="s">
        <v>4911</v>
      </c>
      <c r="K212" s="31"/>
      <c r="L212" s="31" t="s">
        <v>674</v>
      </c>
      <c r="M212" s="31"/>
    </row>
    <row r="213" spans="1:13">
      <c r="A213" s="30" t="s">
        <v>4906</v>
      </c>
      <c r="B213" s="30" t="s">
        <v>4912</v>
      </c>
      <c r="C213" s="30" t="s">
        <v>4587</v>
      </c>
      <c r="D213" s="31">
        <v>50</v>
      </c>
      <c r="E213" s="31" t="s">
        <v>17</v>
      </c>
      <c r="F213" s="31"/>
      <c r="G213" s="31" t="s">
        <v>17</v>
      </c>
      <c r="H213" s="31"/>
      <c r="I213" s="31" t="s">
        <v>17</v>
      </c>
      <c r="J213" s="31" t="s">
        <v>4913</v>
      </c>
      <c r="K213" s="31"/>
      <c r="L213" s="31" t="s">
        <v>674</v>
      </c>
      <c r="M213" s="31"/>
    </row>
    <row r="214" spans="1:13">
      <c r="A214" s="30" t="s">
        <v>4906</v>
      </c>
      <c r="B214" s="30" t="s">
        <v>4914</v>
      </c>
      <c r="C214" s="30" t="s">
        <v>4587</v>
      </c>
      <c r="D214" s="31">
        <v>50</v>
      </c>
      <c r="E214" s="31"/>
      <c r="F214" s="31" t="s">
        <v>26</v>
      </c>
      <c r="G214" s="31"/>
      <c r="H214" s="31" t="s">
        <v>17</v>
      </c>
      <c r="I214" s="31"/>
      <c r="J214" s="31" t="s">
        <v>17</v>
      </c>
      <c r="K214" s="31"/>
      <c r="L214" s="31" t="s">
        <v>674</v>
      </c>
      <c r="M214" s="31"/>
    </row>
    <row r="215" spans="1:13">
      <c r="A215" s="30" t="s">
        <v>4906</v>
      </c>
      <c r="B215" s="30" t="s">
        <v>4915</v>
      </c>
      <c r="C215" s="30" t="s">
        <v>4600</v>
      </c>
      <c r="D215" s="31"/>
      <c r="E215" s="31" t="s">
        <v>17</v>
      </c>
      <c r="F215" s="31"/>
      <c r="G215" s="31" t="s">
        <v>17</v>
      </c>
      <c r="H215" s="31"/>
      <c r="I215" s="31" t="s">
        <v>17</v>
      </c>
      <c r="J215" s="31" t="s">
        <v>4916</v>
      </c>
      <c r="K215" s="31"/>
      <c r="L215" s="31" t="s">
        <v>674</v>
      </c>
      <c r="M215" s="31"/>
    </row>
    <row r="216" spans="1:13">
      <c r="A216" s="30" t="s">
        <v>4906</v>
      </c>
      <c r="B216" s="30" t="s">
        <v>4917</v>
      </c>
      <c r="C216" s="30" t="s">
        <v>4600</v>
      </c>
      <c r="D216" s="31"/>
      <c r="E216" s="31" t="s">
        <v>17</v>
      </c>
      <c r="F216" s="31"/>
      <c r="G216" s="31" t="s">
        <v>17</v>
      </c>
      <c r="H216" s="31"/>
      <c r="I216" s="31" t="s">
        <v>17</v>
      </c>
      <c r="J216" s="31" t="s">
        <v>4918</v>
      </c>
      <c r="K216" s="31"/>
      <c r="L216" s="31" t="s">
        <v>674</v>
      </c>
      <c r="M216" s="31"/>
    </row>
    <row r="217" spans="1:13">
      <c r="A217" s="30" t="s">
        <v>4906</v>
      </c>
      <c r="B217" s="30" t="s">
        <v>4919</v>
      </c>
      <c r="C217" s="30" t="s">
        <v>4637</v>
      </c>
      <c r="D217" s="31"/>
      <c r="E217" s="31" t="s">
        <v>17</v>
      </c>
      <c r="F217" s="31" t="s">
        <v>4920</v>
      </c>
      <c r="G217" s="31" t="s">
        <v>17</v>
      </c>
      <c r="H217" s="31"/>
      <c r="I217" s="31" t="s">
        <v>17</v>
      </c>
      <c r="J217" s="31" t="s">
        <v>4921</v>
      </c>
      <c r="K217" s="31"/>
      <c r="L217" s="31" t="s">
        <v>674</v>
      </c>
      <c r="M217" s="31"/>
    </row>
    <row r="218" spans="1:13">
      <c r="A218" s="30" t="s">
        <v>4906</v>
      </c>
      <c r="B218" s="30" t="s">
        <v>4922</v>
      </c>
      <c r="C218" s="30" t="s">
        <v>4637</v>
      </c>
      <c r="D218" s="31"/>
      <c r="E218" s="31" t="s">
        <v>17</v>
      </c>
      <c r="F218" s="31" t="s">
        <v>4638</v>
      </c>
      <c r="G218" s="31" t="s">
        <v>17</v>
      </c>
      <c r="H218" s="31"/>
      <c r="I218" s="31" t="s">
        <v>17</v>
      </c>
      <c r="J218" s="31" t="s">
        <v>4923</v>
      </c>
      <c r="K218" s="31"/>
      <c r="L218" s="31" t="s">
        <v>674</v>
      </c>
      <c r="M218" s="31"/>
    </row>
    <row r="219" spans="1:13">
      <c r="A219" s="30" t="s">
        <v>4906</v>
      </c>
      <c r="B219" s="30" t="s">
        <v>4924</v>
      </c>
      <c r="C219" s="30" t="s">
        <v>4705</v>
      </c>
      <c r="D219" s="31"/>
      <c r="E219" s="31" t="s">
        <v>17</v>
      </c>
      <c r="F219" s="31" t="s">
        <v>4706</v>
      </c>
      <c r="G219" s="31" t="s">
        <v>17</v>
      </c>
      <c r="H219" s="31"/>
      <c r="I219" s="31" t="s">
        <v>17</v>
      </c>
      <c r="J219" s="31" t="s">
        <v>4925</v>
      </c>
      <c r="K219" s="31"/>
      <c r="L219" s="31" t="s">
        <v>674</v>
      </c>
      <c r="M219" s="31"/>
    </row>
    <row r="220" spans="1:13">
      <c r="A220" s="30" t="s">
        <v>4906</v>
      </c>
      <c r="B220" s="30" t="s">
        <v>4621</v>
      </c>
      <c r="C220" s="30" t="s">
        <v>4584</v>
      </c>
      <c r="D220" s="31"/>
      <c r="E220" s="31" t="s">
        <v>17</v>
      </c>
      <c r="F220" s="31"/>
      <c r="G220" s="31" t="s">
        <v>17</v>
      </c>
      <c r="H220" s="31" t="s">
        <v>4926</v>
      </c>
      <c r="I220" s="31" t="s">
        <v>26</v>
      </c>
      <c r="J220" s="31" t="s">
        <v>4927</v>
      </c>
      <c r="K220" s="31"/>
      <c r="L220" s="31" t="s">
        <v>674</v>
      </c>
      <c r="M220" s="31"/>
    </row>
    <row r="221" spans="1:13">
      <c r="A221" s="30" t="s">
        <v>4906</v>
      </c>
      <c r="B221" s="30" t="s">
        <v>4599</v>
      </c>
      <c r="C221" s="30" t="s">
        <v>4600</v>
      </c>
      <c r="D221" s="31"/>
      <c r="E221" s="31" t="s">
        <v>17</v>
      </c>
      <c r="F221" s="31" t="s">
        <v>4601</v>
      </c>
      <c r="G221" s="31" t="s">
        <v>17</v>
      </c>
      <c r="H221" s="31"/>
      <c r="I221" s="31" t="s">
        <v>17</v>
      </c>
      <c r="J221" s="31" t="s">
        <v>4602</v>
      </c>
      <c r="K221" s="31"/>
      <c r="L221" s="31" t="s">
        <v>674</v>
      </c>
      <c r="M221" s="31"/>
    </row>
    <row r="222" spans="1:13">
      <c r="A222" s="30" t="s">
        <v>4906</v>
      </c>
      <c r="B222" s="30" t="s">
        <v>4603</v>
      </c>
      <c r="C222" s="30" t="s">
        <v>4600</v>
      </c>
      <c r="D222" s="31"/>
      <c r="E222" s="31" t="s">
        <v>17</v>
      </c>
      <c r="F222" s="31" t="s">
        <v>4601</v>
      </c>
      <c r="G222" s="31" t="s">
        <v>17</v>
      </c>
      <c r="H222" s="31"/>
      <c r="I222" s="31" t="s">
        <v>17</v>
      </c>
      <c r="J222" s="31" t="s">
        <v>4605</v>
      </c>
      <c r="K222" s="31"/>
      <c r="L222" s="31" t="s">
        <v>674</v>
      </c>
      <c r="M222" s="31"/>
    </row>
    <row r="223" spans="1:13" ht="30">
      <c r="A223" s="30" t="s">
        <v>4928</v>
      </c>
      <c r="B223" s="30" t="s">
        <v>4583</v>
      </c>
      <c r="C223" s="30" t="s">
        <v>4584</v>
      </c>
      <c r="D223" s="31"/>
      <c r="E223" s="31" t="s">
        <v>17</v>
      </c>
      <c r="F223" s="31" t="s">
        <v>4877</v>
      </c>
      <c r="G223" s="31" t="s">
        <v>26</v>
      </c>
      <c r="H223" s="31"/>
      <c r="I223" s="31" t="s">
        <v>26</v>
      </c>
      <c r="J223" s="31" t="s">
        <v>4929</v>
      </c>
      <c r="K223" s="31"/>
      <c r="L223" s="31" t="s">
        <v>674</v>
      </c>
      <c r="M223" s="31"/>
    </row>
    <row r="224" spans="1:13">
      <c r="A224" s="30" t="s">
        <v>4928</v>
      </c>
      <c r="B224" s="30" t="s">
        <v>4621</v>
      </c>
      <c r="C224" s="30" t="s">
        <v>4584</v>
      </c>
      <c r="D224" s="31"/>
      <c r="E224" s="31" t="s">
        <v>17</v>
      </c>
      <c r="F224" s="31"/>
      <c r="G224" s="31" t="s">
        <v>17</v>
      </c>
      <c r="H224" s="31" t="s">
        <v>4926</v>
      </c>
      <c r="I224" s="31" t="s">
        <v>4590</v>
      </c>
      <c r="J224" s="31" t="s">
        <v>4930</v>
      </c>
      <c r="K224" s="31"/>
      <c r="L224" s="31" t="s">
        <v>674</v>
      </c>
      <c r="M224" s="31"/>
    </row>
    <row r="225" spans="1:13">
      <c r="A225" s="30" t="s">
        <v>4928</v>
      </c>
      <c r="B225" s="30" t="s">
        <v>4931</v>
      </c>
      <c r="C225" s="30" t="s">
        <v>4587</v>
      </c>
      <c r="D225" s="31">
        <v>100</v>
      </c>
      <c r="E225" s="31" t="s">
        <v>26</v>
      </c>
      <c r="F225" s="31"/>
      <c r="G225" s="31" t="s">
        <v>17</v>
      </c>
      <c r="H225" s="31"/>
      <c r="I225" s="31" t="s">
        <v>17</v>
      </c>
      <c r="J225" s="31" t="s">
        <v>4932</v>
      </c>
      <c r="K225" s="31"/>
      <c r="L225" s="31" t="s">
        <v>674</v>
      </c>
      <c r="M225" s="31"/>
    </row>
    <row r="226" spans="1:13">
      <c r="A226" s="30" t="s">
        <v>4928</v>
      </c>
      <c r="B226" s="30" t="s">
        <v>4933</v>
      </c>
      <c r="C226" s="30" t="s">
        <v>4587</v>
      </c>
      <c r="D226" s="31">
        <v>10</v>
      </c>
      <c r="E226" s="31" t="s">
        <v>26</v>
      </c>
      <c r="F226" s="31" t="s">
        <v>4934</v>
      </c>
      <c r="G226" s="31" t="s">
        <v>17</v>
      </c>
      <c r="H226" s="31"/>
      <c r="I226" s="31" t="s">
        <v>17</v>
      </c>
      <c r="J226" s="31" t="s">
        <v>4935</v>
      </c>
      <c r="K226" s="31"/>
      <c r="L226" s="31" t="s">
        <v>674</v>
      </c>
      <c r="M226" s="31"/>
    </row>
    <row r="227" spans="1:13">
      <c r="A227" s="30" t="s">
        <v>4928</v>
      </c>
      <c r="B227" s="30" t="s">
        <v>4936</v>
      </c>
      <c r="C227" s="30" t="s">
        <v>4587</v>
      </c>
      <c r="D227" s="31">
        <v>10</v>
      </c>
      <c r="E227" s="31" t="s">
        <v>26</v>
      </c>
      <c r="F227" s="31" t="s">
        <v>4937</v>
      </c>
      <c r="G227" s="31" t="s">
        <v>17</v>
      </c>
      <c r="H227" s="31"/>
      <c r="I227" s="31" t="s">
        <v>17</v>
      </c>
      <c r="J227" s="31" t="s">
        <v>4938</v>
      </c>
      <c r="K227" s="31"/>
      <c r="L227" s="31" t="s">
        <v>674</v>
      </c>
      <c r="M227" s="31"/>
    </row>
    <row r="228" spans="1:13">
      <c r="A228" s="30" t="s">
        <v>4928</v>
      </c>
      <c r="B228" s="30" t="s">
        <v>4939</v>
      </c>
      <c r="C228" s="30" t="s">
        <v>4841</v>
      </c>
      <c r="D228" s="31"/>
      <c r="E228" s="31" t="s">
        <v>26</v>
      </c>
      <c r="F228" s="31"/>
      <c r="G228" s="31" t="s">
        <v>17</v>
      </c>
      <c r="H228" s="31"/>
      <c r="I228" s="31" t="s">
        <v>17</v>
      </c>
      <c r="J228" s="31" t="s">
        <v>4940</v>
      </c>
      <c r="K228" s="31"/>
      <c r="L228" s="31" t="s">
        <v>674</v>
      </c>
      <c r="M228" s="31"/>
    </row>
    <row r="229" spans="1:13">
      <c r="A229" s="30" t="s">
        <v>4928</v>
      </c>
      <c r="B229" s="30" t="s">
        <v>4941</v>
      </c>
      <c r="C229" s="30" t="s">
        <v>4705</v>
      </c>
      <c r="D229" s="31"/>
      <c r="E229" s="31" t="s">
        <v>17</v>
      </c>
      <c r="F229" s="31" t="s">
        <v>4764</v>
      </c>
      <c r="G229" s="31" t="s">
        <v>17</v>
      </c>
      <c r="H229" s="31"/>
      <c r="I229" s="31" t="s">
        <v>17</v>
      </c>
      <c r="J229" s="31" t="s">
        <v>4942</v>
      </c>
      <c r="K229" s="31"/>
      <c r="L229" s="31" t="s">
        <v>674</v>
      </c>
      <c r="M229" s="31"/>
    </row>
    <row r="230" spans="1:13">
      <c r="A230" s="30" t="s">
        <v>4928</v>
      </c>
      <c r="B230" s="30" t="s">
        <v>4943</v>
      </c>
      <c r="C230" s="30" t="s">
        <v>4705</v>
      </c>
      <c r="D230" s="31"/>
      <c r="E230" s="31" t="s">
        <v>17</v>
      </c>
      <c r="F230" s="31" t="s">
        <v>4706</v>
      </c>
      <c r="G230" s="31" t="s">
        <v>17</v>
      </c>
      <c r="H230" s="31"/>
      <c r="I230" s="31" t="s">
        <v>17</v>
      </c>
      <c r="J230" s="31" t="s">
        <v>4944</v>
      </c>
      <c r="K230" s="31"/>
      <c r="L230" s="31" t="s">
        <v>674</v>
      </c>
      <c r="M230" s="31"/>
    </row>
    <row r="231" spans="1:13">
      <c r="A231" s="30" t="s">
        <v>4928</v>
      </c>
      <c r="B231" s="30" t="s">
        <v>4945</v>
      </c>
      <c r="C231" s="30" t="s">
        <v>4705</v>
      </c>
      <c r="D231" s="31"/>
      <c r="E231" s="31" t="s">
        <v>17</v>
      </c>
      <c r="F231" s="31" t="s">
        <v>4764</v>
      </c>
      <c r="G231" s="31" t="s">
        <v>17</v>
      </c>
      <c r="H231" s="31"/>
      <c r="I231" s="31" t="s">
        <v>17</v>
      </c>
      <c r="J231" s="31" t="s">
        <v>4946</v>
      </c>
      <c r="K231" s="31"/>
      <c r="L231" s="31" t="s">
        <v>674</v>
      </c>
      <c r="M231" s="31"/>
    </row>
    <row r="232" spans="1:13">
      <c r="A232" s="30" t="s">
        <v>4928</v>
      </c>
      <c r="B232" s="30" t="s">
        <v>4947</v>
      </c>
      <c r="C232" s="30" t="s">
        <v>4705</v>
      </c>
      <c r="D232" s="31"/>
      <c r="E232" s="31" t="s">
        <v>17</v>
      </c>
      <c r="F232" s="31" t="s">
        <v>4764</v>
      </c>
      <c r="G232" s="31" t="s">
        <v>17</v>
      </c>
      <c r="H232" s="31"/>
      <c r="I232" s="31" t="s">
        <v>17</v>
      </c>
      <c r="J232" s="31" t="s">
        <v>4948</v>
      </c>
      <c r="K232" s="31"/>
      <c r="L232" s="31" t="s">
        <v>674</v>
      </c>
      <c r="M232" s="31"/>
    </row>
    <row r="233" spans="1:13">
      <c r="A233" s="30" t="s">
        <v>4928</v>
      </c>
      <c r="B233" s="30" t="s">
        <v>4949</v>
      </c>
      <c r="C233" s="30" t="s">
        <v>4637</v>
      </c>
      <c r="D233" s="31"/>
      <c r="E233" s="31" t="s">
        <v>17</v>
      </c>
      <c r="F233" s="31" t="s">
        <v>4950</v>
      </c>
      <c r="G233" s="31" t="s">
        <v>17</v>
      </c>
      <c r="H233" s="31"/>
      <c r="I233" s="31" t="s">
        <v>17</v>
      </c>
      <c r="J233" s="31" t="s">
        <v>4951</v>
      </c>
      <c r="K233" s="31"/>
      <c r="L233" s="31" t="s">
        <v>674</v>
      </c>
      <c r="M233" s="31"/>
    </row>
    <row r="234" spans="1:13">
      <c r="A234" s="30" t="s">
        <v>4928</v>
      </c>
      <c r="B234" s="30" t="s">
        <v>4952</v>
      </c>
      <c r="C234" s="30" t="s">
        <v>4587</v>
      </c>
      <c r="D234" s="31">
        <v>20</v>
      </c>
      <c r="E234" s="31" t="s">
        <v>17</v>
      </c>
      <c r="F234" s="31" t="s">
        <v>4953</v>
      </c>
      <c r="G234" s="31" t="s">
        <v>17</v>
      </c>
      <c r="H234" s="31"/>
      <c r="I234" s="31" t="s">
        <v>17</v>
      </c>
      <c r="J234" s="31" t="s">
        <v>4954</v>
      </c>
      <c r="K234" s="31"/>
      <c r="L234" s="31" t="s">
        <v>674</v>
      </c>
      <c r="M234" s="31"/>
    </row>
    <row r="235" spans="1:13">
      <c r="A235" s="30" t="s">
        <v>4928</v>
      </c>
      <c r="B235" s="30" t="s">
        <v>4599</v>
      </c>
      <c r="C235" s="30" t="s">
        <v>4600</v>
      </c>
      <c r="D235" s="31"/>
      <c r="E235" s="31" t="s">
        <v>17</v>
      </c>
      <c r="F235" s="31" t="s">
        <v>4601</v>
      </c>
      <c r="G235" s="31" t="s">
        <v>17</v>
      </c>
      <c r="H235" s="31"/>
      <c r="I235" s="31" t="s">
        <v>17</v>
      </c>
      <c r="J235" s="31" t="s">
        <v>4602</v>
      </c>
      <c r="K235" s="31"/>
      <c r="L235" s="31" t="s">
        <v>674</v>
      </c>
      <c r="M235" s="31"/>
    </row>
    <row r="236" spans="1:13">
      <c r="A236" s="30" t="s">
        <v>4928</v>
      </c>
      <c r="B236" s="30" t="s">
        <v>4603</v>
      </c>
      <c r="C236" s="30" t="s">
        <v>4600</v>
      </c>
      <c r="D236" s="31"/>
      <c r="E236" s="31" t="s">
        <v>17</v>
      </c>
      <c r="F236" s="31" t="s">
        <v>4601</v>
      </c>
      <c r="G236" s="31" t="s">
        <v>17</v>
      </c>
      <c r="H236" s="31"/>
      <c r="I236" s="31" t="s">
        <v>17</v>
      </c>
      <c r="J236" s="31" t="s">
        <v>4605</v>
      </c>
      <c r="K236" s="31"/>
      <c r="L236" s="31" t="s">
        <v>674</v>
      </c>
      <c r="M236" s="31"/>
    </row>
    <row r="237" spans="1:13">
      <c r="A237" s="30" t="s">
        <v>4619</v>
      </c>
      <c r="B237" s="30" t="s">
        <v>4608</v>
      </c>
      <c r="C237" s="30" t="s">
        <v>4584</v>
      </c>
      <c r="D237" s="30"/>
      <c r="E237" s="30" t="s">
        <v>17</v>
      </c>
      <c r="F237" s="31"/>
      <c r="G237" s="31" t="s">
        <v>17</v>
      </c>
      <c r="H237" s="31" t="s">
        <v>4609</v>
      </c>
      <c r="I237" s="31" t="s">
        <v>26</v>
      </c>
      <c r="J237" s="31" t="s">
        <v>4610</v>
      </c>
      <c r="K237" s="31"/>
      <c r="L237" s="31"/>
      <c r="M237" s="31"/>
    </row>
    <row r="238" spans="1:13" ht="30">
      <c r="A238" s="30" t="s">
        <v>4619</v>
      </c>
      <c r="B238" s="30" t="s">
        <v>4955</v>
      </c>
      <c r="C238" s="30" t="s">
        <v>4705</v>
      </c>
      <c r="D238" s="30"/>
      <c r="E238" s="30" t="s">
        <v>17</v>
      </c>
      <c r="F238" s="31" t="s">
        <v>4706</v>
      </c>
      <c r="G238" s="31" t="s">
        <v>17</v>
      </c>
      <c r="H238" s="31"/>
      <c r="I238" s="31"/>
      <c r="J238" s="31" t="s">
        <v>4956</v>
      </c>
      <c r="K238" s="31"/>
      <c r="L238" s="31"/>
      <c r="M238" s="31"/>
    </row>
    <row r="239" spans="1:13" ht="30">
      <c r="A239" s="30" t="s">
        <v>4619</v>
      </c>
      <c r="B239" s="30" t="s">
        <v>4957</v>
      </c>
      <c r="C239" s="30" t="s">
        <v>4584</v>
      </c>
      <c r="D239" s="30"/>
      <c r="E239" s="30" t="s">
        <v>26</v>
      </c>
      <c r="F239" s="31" t="s">
        <v>4634</v>
      </c>
      <c r="G239" s="31" t="s">
        <v>17</v>
      </c>
      <c r="H239" s="31" t="s">
        <v>4622</v>
      </c>
      <c r="I239" s="31"/>
      <c r="J239" s="31" t="s">
        <v>4958</v>
      </c>
      <c r="K239" s="31"/>
      <c r="L239" s="31"/>
      <c r="M239" s="31"/>
    </row>
    <row r="240" spans="1:13">
      <c r="A240" s="30" t="s">
        <v>4619</v>
      </c>
      <c r="B240" s="30" t="s">
        <v>4959</v>
      </c>
      <c r="C240" s="30" t="s">
        <v>4600</v>
      </c>
      <c r="D240" s="30"/>
      <c r="E240" s="30" t="s">
        <v>26</v>
      </c>
      <c r="F240" s="31" t="s">
        <v>4634</v>
      </c>
      <c r="G240" s="31" t="s">
        <v>17</v>
      </c>
      <c r="H240" s="31"/>
      <c r="I240" s="31"/>
      <c r="J240" s="31" t="s">
        <v>4960</v>
      </c>
      <c r="K240" s="31"/>
      <c r="L240" s="31"/>
      <c r="M240" s="31"/>
    </row>
    <row r="241" spans="1:13">
      <c r="A241" s="30" t="s">
        <v>4619</v>
      </c>
      <c r="B241" s="30" t="s">
        <v>4961</v>
      </c>
      <c r="C241" s="30" t="s">
        <v>4705</v>
      </c>
      <c r="D241" s="30"/>
      <c r="E241" s="30" t="s">
        <v>17</v>
      </c>
      <c r="F241" s="31" t="s">
        <v>4764</v>
      </c>
      <c r="G241" s="31" t="s">
        <v>17</v>
      </c>
      <c r="H241" s="31"/>
      <c r="I241" s="31"/>
      <c r="J241" s="31" t="s">
        <v>4962</v>
      </c>
      <c r="K241" s="31"/>
      <c r="L241" s="31"/>
      <c r="M241" s="31"/>
    </row>
    <row r="242" spans="1:13">
      <c r="A242" s="30" t="s">
        <v>4963</v>
      </c>
      <c r="B242" s="30" t="s">
        <v>4583</v>
      </c>
      <c r="C242" s="30" t="s">
        <v>4584</v>
      </c>
      <c r="D242" s="30"/>
      <c r="E242" s="30" t="s">
        <v>17</v>
      </c>
      <c r="F242" s="31"/>
      <c r="G242" s="31" t="s">
        <v>26</v>
      </c>
      <c r="H242" s="31"/>
      <c r="I242" s="31"/>
      <c r="J242" s="31" t="s">
        <v>4964</v>
      </c>
      <c r="K242" s="31"/>
      <c r="L242" s="31"/>
      <c r="M242" s="31"/>
    </row>
    <row r="243" spans="1:13">
      <c r="A243" s="30" t="s">
        <v>4963</v>
      </c>
      <c r="B243" s="30" t="s">
        <v>4608</v>
      </c>
      <c r="C243" s="30" t="s">
        <v>4584</v>
      </c>
      <c r="D243" s="30"/>
      <c r="E243" s="30" t="s">
        <v>17</v>
      </c>
      <c r="F243" s="31"/>
      <c r="G243" s="31" t="s">
        <v>17</v>
      </c>
      <c r="H243" s="31" t="s">
        <v>4609</v>
      </c>
      <c r="I243" s="31" t="s">
        <v>26</v>
      </c>
      <c r="J243" s="31" t="s">
        <v>4965</v>
      </c>
      <c r="K243" s="31"/>
      <c r="L243" s="31"/>
      <c r="M243" s="31"/>
    </row>
    <row r="244" spans="1:13">
      <c r="A244" s="30" t="s">
        <v>4963</v>
      </c>
      <c r="B244" s="30" t="s">
        <v>4966</v>
      </c>
      <c r="C244" s="30" t="s">
        <v>4584</v>
      </c>
      <c r="D244" s="30"/>
      <c r="E244" s="30" t="s">
        <v>17</v>
      </c>
      <c r="F244" s="31"/>
      <c r="G244" s="31" t="s">
        <v>17</v>
      </c>
      <c r="H244" s="31" t="s">
        <v>4655</v>
      </c>
      <c r="I244" s="31" t="s">
        <v>26</v>
      </c>
      <c r="J244" s="31" t="s">
        <v>4967</v>
      </c>
      <c r="K244" s="31"/>
      <c r="L244" s="31"/>
      <c r="M244" s="31"/>
    </row>
    <row r="245" spans="1:13" ht="45">
      <c r="A245" s="30" t="s">
        <v>4963</v>
      </c>
      <c r="B245" s="30" t="s">
        <v>4968</v>
      </c>
      <c r="C245" s="30" t="s">
        <v>4587</v>
      </c>
      <c r="D245" s="30" t="s">
        <v>4969</v>
      </c>
      <c r="E245" s="30" t="s">
        <v>17</v>
      </c>
      <c r="F245" s="31"/>
      <c r="G245" s="31" t="s">
        <v>17</v>
      </c>
      <c r="H245" s="31"/>
      <c r="I245" s="31" t="s">
        <v>26</v>
      </c>
      <c r="J245" s="31" t="s">
        <v>4970</v>
      </c>
      <c r="K245" s="31"/>
      <c r="L245" s="31"/>
      <c r="M245" s="31"/>
    </row>
    <row r="246" spans="1:13">
      <c r="A246" s="30" t="s">
        <v>4963</v>
      </c>
      <c r="B246" s="30" t="s">
        <v>4971</v>
      </c>
      <c r="C246" s="30" t="s">
        <v>4587</v>
      </c>
      <c r="D246" s="30" t="s">
        <v>4969</v>
      </c>
      <c r="E246" s="30" t="s">
        <v>26</v>
      </c>
      <c r="F246" s="31"/>
      <c r="G246" s="31" t="s">
        <v>17</v>
      </c>
      <c r="H246" s="31"/>
      <c r="I246" s="31"/>
      <c r="J246" s="31" t="s">
        <v>4972</v>
      </c>
      <c r="K246" s="31"/>
      <c r="L246" s="31"/>
      <c r="M246" s="31"/>
    </row>
    <row r="247" spans="1:13">
      <c r="A247" s="30" t="s">
        <v>4963</v>
      </c>
      <c r="B247" s="30" t="s">
        <v>4973</v>
      </c>
      <c r="C247" s="30" t="s">
        <v>4584</v>
      </c>
      <c r="D247" s="30"/>
      <c r="E247" s="30" t="s">
        <v>26</v>
      </c>
      <c r="F247" s="31"/>
      <c r="G247" s="31" t="s">
        <v>17</v>
      </c>
      <c r="H247" s="31"/>
      <c r="I247" s="31"/>
      <c r="J247" s="31" t="s">
        <v>4974</v>
      </c>
      <c r="K247" s="31"/>
      <c r="L247" s="31"/>
      <c r="M247" s="31"/>
    </row>
    <row r="248" spans="1:13">
      <c r="A248" s="30" t="s">
        <v>4963</v>
      </c>
      <c r="B248" s="30" t="s">
        <v>4975</v>
      </c>
      <c r="C248" s="30" t="s">
        <v>4584</v>
      </c>
      <c r="D248" s="30"/>
      <c r="E248" s="30" t="s">
        <v>26</v>
      </c>
      <c r="F248" s="31"/>
      <c r="G248" s="31" t="s">
        <v>17</v>
      </c>
      <c r="H248" s="31"/>
      <c r="I248" s="31"/>
      <c r="J248" s="31" t="s">
        <v>4976</v>
      </c>
      <c r="K248" s="31"/>
      <c r="L248" s="31"/>
      <c r="M248" s="31"/>
    </row>
    <row r="249" spans="1:13">
      <c r="A249" s="30" t="s">
        <v>4963</v>
      </c>
      <c r="B249" s="30" t="s">
        <v>4977</v>
      </c>
      <c r="C249" s="30" t="s">
        <v>4584</v>
      </c>
      <c r="D249" s="30"/>
      <c r="E249" s="30" t="s">
        <v>26</v>
      </c>
      <c r="F249" s="31"/>
      <c r="G249" s="31" t="s">
        <v>17</v>
      </c>
      <c r="H249" s="31"/>
      <c r="I249" s="31"/>
      <c r="J249" s="31" t="s">
        <v>4978</v>
      </c>
      <c r="K249" s="31"/>
      <c r="L249" s="31"/>
      <c r="M249" s="31"/>
    </row>
    <row r="250" spans="1:13">
      <c r="A250" s="30" t="s">
        <v>4963</v>
      </c>
      <c r="B250" s="30" t="s">
        <v>4979</v>
      </c>
      <c r="C250" s="30" t="s">
        <v>4841</v>
      </c>
      <c r="D250" s="30"/>
      <c r="E250" s="30" t="s">
        <v>26</v>
      </c>
      <c r="F250" s="31"/>
      <c r="G250" s="31" t="s">
        <v>17</v>
      </c>
      <c r="H250" s="31"/>
      <c r="I250" s="31"/>
      <c r="J250" s="31" t="s">
        <v>4980</v>
      </c>
      <c r="K250" s="31"/>
      <c r="L250" s="31"/>
      <c r="M250" s="31"/>
    </row>
    <row r="251" spans="1:13">
      <c r="A251" s="30" t="s">
        <v>4963</v>
      </c>
      <c r="B251" s="30" t="s">
        <v>4981</v>
      </c>
      <c r="C251" s="30" t="s">
        <v>4587</v>
      </c>
      <c r="D251" s="30" t="s">
        <v>4982</v>
      </c>
      <c r="E251" s="30" t="s">
        <v>26</v>
      </c>
      <c r="F251" s="31"/>
      <c r="G251" s="31" t="s">
        <v>17</v>
      </c>
      <c r="H251" s="31"/>
      <c r="I251" s="31"/>
      <c r="J251" s="31" t="s">
        <v>4983</v>
      </c>
      <c r="K251" s="31"/>
      <c r="L251" s="31"/>
      <c r="M251" s="31"/>
    </row>
    <row r="252" spans="1:13">
      <c r="A252" s="30" t="s">
        <v>4963</v>
      </c>
      <c r="B252" s="30" t="s">
        <v>4599</v>
      </c>
      <c r="C252" s="30" t="s">
        <v>4600</v>
      </c>
      <c r="D252" s="30"/>
      <c r="E252" s="30" t="s">
        <v>17</v>
      </c>
      <c r="F252" s="31" t="s">
        <v>4601</v>
      </c>
      <c r="G252" s="31" t="s">
        <v>17</v>
      </c>
      <c r="H252" s="31"/>
      <c r="I252" s="31" t="s">
        <v>26</v>
      </c>
      <c r="J252" s="31" t="s">
        <v>4984</v>
      </c>
      <c r="K252" s="31"/>
      <c r="L252" s="31"/>
      <c r="M252" s="31"/>
    </row>
    <row r="253" spans="1:13">
      <c r="A253" s="30" t="s">
        <v>4606</v>
      </c>
      <c r="B253" s="30" t="s">
        <v>4985</v>
      </c>
      <c r="C253" s="30" t="s">
        <v>4705</v>
      </c>
      <c r="D253" s="30"/>
      <c r="E253" s="30" t="s">
        <v>17</v>
      </c>
      <c r="F253" s="31" t="s">
        <v>4706</v>
      </c>
      <c r="G253" s="31" t="s">
        <v>17</v>
      </c>
      <c r="H253" s="31"/>
      <c r="I253" s="31"/>
      <c r="J253" s="31" t="s">
        <v>4986</v>
      </c>
      <c r="K253" s="31"/>
      <c r="L253" s="31"/>
      <c r="M253" s="31"/>
    </row>
    <row r="254" spans="1:13">
      <c r="A254" s="30" t="s">
        <v>4606</v>
      </c>
      <c r="B254" s="30" t="s">
        <v>4987</v>
      </c>
      <c r="C254" s="30" t="s">
        <v>4637</v>
      </c>
      <c r="D254" s="30"/>
      <c r="E254" s="30" t="s">
        <v>26</v>
      </c>
      <c r="F254" s="31" t="s">
        <v>4634</v>
      </c>
      <c r="G254" s="31" t="s">
        <v>17</v>
      </c>
      <c r="H254" s="31"/>
      <c r="I254" s="31"/>
      <c r="J254" s="31" t="s">
        <v>4988</v>
      </c>
      <c r="K254" s="31"/>
      <c r="L254" s="31"/>
      <c r="M254" s="31"/>
    </row>
    <row r="255" spans="1:13" ht="30">
      <c r="A255" s="30" t="s">
        <v>4582</v>
      </c>
      <c r="B255" s="30" t="s">
        <v>4989</v>
      </c>
      <c r="C255" s="30" t="s">
        <v>4637</v>
      </c>
      <c r="D255" s="30"/>
      <c r="E255" s="30" t="s">
        <v>17</v>
      </c>
      <c r="F255" s="31" t="s">
        <v>2091</v>
      </c>
      <c r="G255" s="31" t="s">
        <v>17</v>
      </c>
      <c r="H255" s="31"/>
      <c r="I255" s="31"/>
      <c r="J255" s="31" t="s">
        <v>4990</v>
      </c>
      <c r="K255" s="31"/>
      <c r="L255" s="31"/>
      <c r="M255" s="31"/>
    </row>
    <row r="256" spans="1:13">
      <c r="A256" s="30" t="s">
        <v>4582</v>
      </c>
      <c r="B256" s="30" t="s">
        <v>4991</v>
      </c>
      <c r="C256" s="30" t="s">
        <v>4584</v>
      </c>
      <c r="D256" s="30"/>
      <c r="E256" s="30" t="s">
        <v>26</v>
      </c>
      <c r="F256" s="31" t="s">
        <v>4634</v>
      </c>
      <c r="G256" s="31" t="s">
        <v>17</v>
      </c>
      <c r="H256" s="31" t="s">
        <v>4655</v>
      </c>
      <c r="I256" s="31"/>
      <c r="J256" s="31" t="s">
        <v>4992</v>
      </c>
      <c r="K256" s="31"/>
      <c r="L256" s="31"/>
      <c r="M256" s="31"/>
    </row>
    <row r="257" spans="1:13" ht="45">
      <c r="A257" s="72" t="s">
        <v>4766</v>
      </c>
      <c r="B257" s="72" t="s">
        <v>4596</v>
      </c>
      <c r="C257" s="72" t="s">
        <v>4587</v>
      </c>
      <c r="D257" s="72" t="s">
        <v>4993</v>
      </c>
      <c r="E257" s="72" t="s">
        <v>17</v>
      </c>
      <c r="F257" s="72" t="s">
        <v>4994</v>
      </c>
      <c r="G257" s="72"/>
      <c r="H257" s="72"/>
      <c r="I257" s="72" t="s">
        <v>26</v>
      </c>
      <c r="J257" s="72" t="s">
        <v>4995</v>
      </c>
      <c r="K257" s="72"/>
      <c r="L257" s="72" t="s">
        <v>216</v>
      </c>
      <c r="M257" s="72" t="s">
        <v>4996</v>
      </c>
    </row>
    <row r="258" spans="1:13">
      <c r="A258" s="72" t="s">
        <v>4766</v>
      </c>
      <c r="B258" s="72" t="s">
        <v>4997</v>
      </c>
      <c r="C258" s="72" t="s">
        <v>4600</v>
      </c>
      <c r="D258" s="72"/>
      <c r="E258" s="72" t="s">
        <v>26</v>
      </c>
      <c r="F258" s="72" t="s">
        <v>4634</v>
      </c>
      <c r="G258" s="72"/>
      <c r="H258" s="72"/>
      <c r="I258" s="72" t="s">
        <v>26</v>
      </c>
      <c r="J258" s="72" t="s">
        <v>4998</v>
      </c>
      <c r="K258" s="72"/>
      <c r="L258" s="72" t="s">
        <v>216</v>
      </c>
      <c r="M258" s="72" t="s">
        <v>4996</v>
      </c>
    </row>
    <row r="259" spans="1:13">
      <c r="A259" s="72" t="s">
        <v>4766</v>
      </c>
      <c r="B259" s="72" t="s">
        <v>4999</v>
      </c>
      <c r="C259" s="72" t="s">
        <v>4587</v>
      </c>
      <c r="D259" s="72" t="s">
        <v>5000</v>
      </c>
      <c r="E259" s="72" t="s">
        <v>26</v>
      </c>
      <c r="F259" s="72" t="s">
        <v>4634</v>
      </c>
      <c r="G259" s="72"/>
      <c r="H259" s="72"/>
      <c r="I259" s="72"/>
      <c r="J259" s="72" t="s">
        <v>5001</v>
      </c>
      <c r="K259" s="72"/>
      <c r="L259" s="72" t="s">
        <v>216</v>
      </c>
      <c r="M259" s="72" t="s">
        <v>5002</v>
      </c>
    </row>
    <row r="260" spans="1:13">
      <c r="A260" s="72" t="s">
        <v>4766</v>
      </c>
      <c r="B260" s="72" t="s">
        <v>5003</v>
      </c>
      <c r="C260" s="72" t="s">
        <v>5004</v>
      </c>
      <c r="D260" s="72"/>
      <c r="E260" s="72" t="s">
        <v>26</v>
      </c>
      <c r="F260" s="72" t="s">
        <v>4634</v>
      </c>
      <c r="G260" s="72"/>
      <c r="H260" s="72"/>
      <c r="I260" s="72"/>
      <c r="J260" s="72" t="s">
        <v>5005</v>
      </c>
      <c r="K260" s="72"/>
      <c r="L260" s="72" t="s">
        <v>216</v>
      </c>
      <c r="M260" s="72" t="s">
        <v>4996</v>
      </c>
    </row>
    <row r="261" spans="1:13">
      <c r="A261" s="72" t="s">
        <v>4766</v>
      </c>
      <c r="B261" s="72" t="s">
        <v>5006</v>
      </c>
      <c r="C261" s="72" t="s">
        <v>4584</v>
      </c>
      <c r="D261" s="72"/>
      <c r="E261" s="72" t="s">
        <v>26</v>
      </c>
      <c r="F261" s="72" t="s">
        <v>4634</v>
      </c>
      <c r="G261" s="72"/>
      <c r="H261" s="72" t="s">
        <v>5007</v>
      </c>
      <c r="I261" s="72"/>
      <c r="J261" s="72" t="s">
        <v>5008</v>
      </c>
      <c r="K261" s="72"/>
      <c r="L261" s="72" t="s">
        <v>216</v>
      </c>
      <c r="M261" s="72" t="s">
        <v>5009</v>
      </c>
    </row>
    <row r="262" spans="1:13">
      <c r="A262" s="72" t="s">
        <v>4766</v>
      </c>
      <c r="B262" s="72" t="s">
        <v>5010</v>
      </c>
      <c r="C262" s="72" t="s">
        <v>5004</v>
      </c>
      <c r="D262" s="72"/>
      <c r="E262" s="72" t="s">
        <v>26</v>
      </c>
      <c r="F262" s="72" t="s">
        <v>4634</v>
      </c>
      <c r="G262" s="72"/>
      <c r="H262" s="72"/>
      <c r="I262" s="72"/>
      <c r="J262" s="72" t="s">
        <v>5011</v>
      </c>
      <c r="K262" s="72"/>
      <c r="L262" s="72" t="s">
        <v>216</v>
      </c>
      <c r="M262" s="72" t="s">
        <v>3917</v>
      </c>
    </row>
    <row r="263" spans="1:13">
      <c r="A263" s="72" t="s">
        <v>4766</v>
      </c>
      <c r="B263" s="72" t="s">
        <v>5012</v>
      </c>
      <c r="C263" s="72" t="s">
        <v>5004</v>
      </c>
      <c r="D263" s="72"/>
      <c r="E263" s="72" t="s">
        <v>26</v>
      </c>
      <c r="F263" s="72" t="s">
        <v>4634</v>
      </c>
      <c r="G263" s="72"/>
      <c r="H263" s="72"/>
      <c r="I263" s="72"/>
      <c r="J263" s="72" t="s">
        <v>5013</v>
      </c>
      <c r="K263" s="72"/>
      <c r="L263" s="72" t="s">
        <v>216</v>
      </c>
      <c r="M263" s="72" t="s">
        <v>3917</v>
      </c>
    </row>
    <row r="264" spans="1:13" ht="30">
      <c r="A264" s="72" t="s">
        <v>4766</v>
      </c>
      <c r="B264" s="72" t="s">
        <v>5014</v>
      </c>
      <c r="C264" s="72" t="s">
        <v>4587</v>
      </c>
      <c r="D264" s="72" t="s">
        <v>5015</v>
      </c>
      <c r="E264" s="72" t="s">
        <v>26</v>
      </c>
      <c r="F264" s="72" t="s">
        <v>4634</v>
      </c>
      <c r="G264" s="72"/>
      <c r="H264" s="72"/>
      <c r="I264" s="72"/>
      <c r="J264" s="72" t="s">
        <v>5016</v>
      </c>
      <c r="K264" s="72"/>
      <c r="L264" s="72" t="s">
        <v>216</v>
      </c>
      <c r="M264" s="72" t="s">
        <v>3917</v>
      </c>
    </row>
    <row r="265" spans="1:13">
      <c r="A265" s="72" t="s">
        <v>4766</v>
      </c>
      <c r="B265" s="72" t="s">
        <v>4636</v>
      </c>
      <c r="C265" s="72" t="s">
        <v>4637</v>
      </c>
      <c r="D265" s="72"/>
      <c r="E265" s="72" t="s">
        <v>17</v>
      </c>
      <c r="F265" s="72" t="s">
        <v>4638</v>
      </c>
      <c r="G265" s="72"/>
      <c r="H265" s="72"/>
      <c r="I265" s="72"/>
      <c r="J265" s="72" t="s">
        <v>4639</v>
      </c>
      <c r="K265" s="72"/>
      <c r="L265" s="72" t="s">
        <v>216</v>
      </c>
      <c r="M265" s="72" t="s">
        <v>5017</v>
      </c>
    </row>
    <row r="266" spans="1:13">
      <c r="A266" s="72" t="s">
        <v>4766</v>
      </c>
      <c r="B266" s="72" t="s">
        <v>5018</v>
      </c>
      <c r="C266" s="72" t="s">
        <v>4600</v>
      </c>
      <c r="D266" s="72"/>
      <c r="E266" s="72" t="s">
        <v>26</v>
      </c>
      <c r="F266" s="72" t="s">
        <v>4634</v>
      </c>
      <c r="G266" s="72"/>
      <c r="H266" s="72"/>
      <c r="I266" s="72"/>
      <c r="J266" s="72" t="s">
        <v>5019</v>
      </c>
      <c r="K266" s="72"/>
      <c r="L266" s="72" t="s">
        <v>216</v>
      </c>
      <c r="M266" s="72" t="s">
        <v>5017</v>
      </c>
    </row>
    <row r="267" spans="1:13">
      <c r="A267" s="72" t="s">
        <v>4766</v>
      </c>
      <c r="B267" s="72" t="s">
        <v>5020</v>
      </c>
      <c r="C267" s="72" t="s">
        <v>4600</v>
      </c>
      <c r="D267" s="72"/>
      <c r="E267" s="72" t="s">
        <v>26</v>
      </c>
      <c r="F267" s="72" t="s">
        <v>4634</v>
      </c>
      <c r="G267" s="72"/>
      <c r="H267" s="72"/>
      <c r="I267" s="72"/>
      <c r="J267" s="72" t="s">
        <v>5021</v>
      </c>
      <c r="K267" s="72"/>
      <c r="L267" s="72" t="s">
        <v>216</v>
      </c>
      <c r="M267" s="72" t="s">
        <v>5017</v>
      </c>
    </row>
    <row r="268" spans="1:13" ht="30">
      <c r="A268" s="72" t="s">
        <v>4766</v>
      </c>
      <c r="B268" s="72" t="s">
        <v>5022</v>
      </c>
      <c r="C268" s="72" t="s">
        <v>4584</v>
      </c>
      <c r="D268" s="72"/>
      <c r="E268" s="72" t="s">
        <v>26</v>
      </c>
      <c r="F268" s="72" t="s">
        <v>4634</v>
      </c>
      <c r="G268" s="72"/>
      <c r="H268" s="72" t="s">
        <v>5023</v>
      </c>
      <c r="I268" s="72"/>
      <c r="J268" s="72" t="s">
        <v>5024</v>
      </c>
      <c r="K268" s="72"/>
      <c r="L268" s="72" t="s">
        <v>216</v>
      </c>
      <c r="M268" s="72" t="s">
        <v>3911</v>
      </c>
    </row>
    <row r="269" spans="1:13">
      <c r="A269" s="72" t="s">
        <v>4766</v>
      </c>
      <c r="B269" s="72" t="s">
        <v>5025</v>
      </c>
      <c r="C269" s="72" t="s">
        <v>5004</v>
      </c>
      <c r="D269" s="72"/>
      <c r="E269" s="72" t="s">
        <v>26</v>
      </c>
      <c r="F269" s="72" t="s">
        <v>4634</v>
      </c>
      <c r="G269" s="72"/>
      <c r="H269" s="72"/>
      <c r="I269" s="72"/>
      <c r="J269" s="72" t="s">
        <v>5026</v>
      </c>
      <c r="K269" s="72"/>
      <c r="L269" s="72" t="s">
        <v>216</v>
      </c>
      <c r="M269" s="72" t="s">
        <v>3911</v>
      </c>
    </row>
    <row r="270" spans="1:13" ht="45">
      <c r="A270" s="73" t="s">
        <v>4640</v>
      </c>
      <c r="B270" s="73" t="s">
        <v>4596</v>
      </c>
      <c r="C270" s="73" t="s">
        <v>4587</v>
      </c>
      <c r="D270" s="73" t="s">
        <v>4993</v>
      </c>
      <c r="E270" s="73" t="s">
        <v>17</v>
      </c>
      <c r="F270" s="73" t="s">
        <v>4994</v>
      </c>
      <c r="G270" s="73"/>
      <c r="H270" s="73"/>
      <c r="I270" s="73" t="s">
        <v>26</v>
      </c>
      <c r="J270" s="73" t="s">
        <v>5027</v>
      </c>
      <c r="K270" s="73"/>
      <c r="L270" s="73" t="s">
        <v>216</v>
      </c>
      <c r="M270" s="73" t="s">
        <v>5028</v>
      </c>
    </row>
    <row r="271" spans="1:13">
      <c r="A271" s="73" t="s">
        <v>4640</v>
      </c>
      <c r="B271" s="73" t="s">
        <v>5029</v>
      </c>
      <c r="C271" s="73" t="s">
        <v>4584</v>
      </c>
      <c r="D271" s="73"/>
      <c r="E271" s="73" t="s">
        <v>17</v>
      </c>
      <c r="F271" s="73"/>
      <c r="G271" s="73"/>
      <c r="H271" s="73" t="s">
        <v>5023</v>
      </c>
      <c r="I271" s="73" t="s">
        <v>26</v>
      </c>
      <c r="J271" s="73" t="s">
        <v>5030</v>
      </c>
      <c r="K271" s="73"/>
      <c r="L271" s="73" t="s">
        <v>216</v>
      </c>
      <c r="M271" s="73" t="s">
        <v>5031</v>
      </c>
    </row>
    <row r="272" spans="1:13">
      <c r="A272" s="73" t="s">
        <v>4640</v>
      </c>
      <c r="B272" s="73" t="s">
        <v>5032</v>
      </c>
      <c r="C272" s="73" t="s">
        <v>4600</v>
      </c>
      <c r="D272" s="73"/>
      <c r="E272" s="73" t="s">
        <v>26</v>
      </c>
      <c r="F272" s="73" t="s">
        <v>4634</v>
      </c>
      <c r="G272" s="73"/>
      <c r="H272" s="73"/>
      <c r="I272" s="73"/>
      <c r="J272" s="73" t="s">
        <v>5033</v>
      </c>
      <c r="K272" s="73"/>
      <c r="L272" s="73" t="s">
        <v>216</v>
      </c>
      <c r="M272" s="73" t="s">
        <v>5028</v>
      </c>
    </row>
    <row r="273" spans="1:13">
      <c r="A273" s="73" t="s">
        <v>4640</v>
      </c>
      <c r="B273" s="73" t="s">
        <v>5034</v>
      </c>
      <c r="C273" s="73" t="s">
        <v>4587</v>
      </c>
      <c r="D273" s="73" t="s">
        <v>5000</v>
      </c>
      <c r="E273" s="73" t="s">
        <v>26</v>
      </c>
      <c r="F273" s="73" t="s">
        <v>4634</v>
      </c>
      <c r="G273" s="73"/>
      <c r="H273" s="73"/>
      <c r="I273" s="73"/>
      <c r="J273" s="73" t="s">
        <v>5035</v>
      </c>
      <c r="K273" s="73"/>
      <c r="L273" s="73" t="s">
        <v>216</v>
      </c>
      <c r="M273" s="73" t="s">
        <v>5028</v>
      </c>
    </row>
    <row r="274" spans="1:13">
      <c r="A274" s="73" t="s">
        <v>4640</v>
      </c>
      <c r="B274" s="73" t="s">
        <v>5036</v>
      </c>
      <c r="C274" s="73" t="s">
        <v>4600</v>
      </c>
      <c r="D274" s="73"/>
      <c r="E274" s="73" t="s">
        <v>26</v>
      </c>
      <c r="F274" s="73" t="s">
        <v>4634</v>
      </c>
      <c r="G274" s="73"/>
      <c r="H274" s="73"/>
      <c r="I274" s="73"/>
      <c r="J274" s="73" t="s">
        <v>5037</v>
      </c>
      <c r="K274" s="73"/>
      <c r="L274" s="73" t="s">
        <v>216</v>
      </c>
      <c r="M274" s="73" t="s">
        <v>5038</v>
      </c>
    </row>
    <row r="275" spans="1:13">
      <c r="A275" s="73" t="s">
        <v>4640</v>
      </c>
      <c r="B275" s="73" t="s">
        <v>5039</v>
      </c>
      <c r="C275" s="73" t="s">
        <v>4584</v>
      </c>
      <c r="D275" s="73"/>
      <c r="E275" s="73" t="s">
        <v>26</v>
      </c>
      <c r="F275" s="73" t="s">
        <v>4634</v>
      </c>
      <c r="G275" s="73"/>
      <c r="H275" s="73" t="s">
        <v>5040</v>
      </c>
      <c r="I275" s="73"/>
      <c r="J275" s="73" t="s">
        <v>5041</v>
      </c>
      <c r="K275" s="73"/>
      <c r="L275" s="73" t="s">
        <v>216</v>
      </c>
      <c r="M275" s="73" t="s">
        <v>5042</v>
      </c>
    </row>
    <row r="276" spans="1:13">
      <c r="A276" s="74" t="s">
        <v>5043</v>
      </c>
      <c r="B276" s="74" t="s">
        <v>4583</v>
      </c>
      <c r="C276" s="74" t="s">
        <v>4584</v>
      </c>
      <c r="D276" s="74"/>
      <c r="E276" s="74" t="s">
        <v>17</v>
      </c>
      <c r="F276" s="74"/>
      <c r="G276" s="74" t="s">
        <v>4579</v>
      </c>
      <c r="H276" s="74"/>
      <c r="I276" s="74"/>
      <c r="J276" s="74" t="s">
        <v>5044</v>
      </c>
      <c r="K276" s="74"/>
      <c r="L276" s="74" t="s">
        <v>216</v>
      </c>
      <c r="M276" s="74" t="s">
        <v>5045</v>
      </c>
    </row>
    <row r="277" spans="1:13">
      <c r="A277" s="74" t="s">
        <v>5043</v>
      </c>
      <c r="B277" s="74" t="s">
        <v>4608</v>
      </c>
      <c r="C277" s="74" t="s">
        <v>4584</v>
      </c>
      <c r="D277" s="74"/>
      <c r="E277" s="74" t="s">
        <v>17</v>
      </c>
      <c r="F277" s="74"/>
      <c r="G277" s="74"/>
      <c r="H277" s="74" t="s">
        <v>5046</v>
      </c>
      <c r="I277" s="74" t="s">
        <v>26</v>
      </c>
      <c r="J277" s="74" t="s">
        <v>5047</v>
      </c>
      <c r="K277" s="74"/>
      <c r="L277" s="74" t="s">
        <v>216</v>
      </c>
      <c r="M277" s="74"/>
    </row>
    <row r="278" spans="1:13">
      <c r="A278" s="74" t="s">
        <v>5043</v>
      </c>
      <c r="B278" s="74" t="s">
        <v>4668</v>
      </c>
      <c r="C278" s="74" t="s">
        <v>4584</v>
      </c>
      <c r="D278" s="74"/>
      <c r="E278" s="74" t="s">
        <v>17</v>
      </c>
      <c r="F278" s="74"/>
      <c r="G278" s="74"/>
      <c r="H278" s="74" t="s">
        <v>5040</v>
      </c>
      <c r="I278" s="74" t="s">
        <v>26</v>
      </c>
      <c r="J278" s="74" t="s">
        <v>5048</v>
      </c>
      <c r="K278" s="74"/>
      <c r="L278" s="74" t="s">
        <v>216</v>
      </c>
      <c r="M278" s="74"/>
    </row>
    <row r="279" spans="1:13">
      <c r="A279" s="74" t="s">
        <v>5043</v>
      </c>
      <c r="B279" s="74" t="s">
        <v>4975</v>
      </c>
      <c r="C279" s="74" t="s">
        <v>4584</v>
      </c>
      <c r="D279" s="74"/>
      <c r="E279" s="74" t="s">
        <v>17</v>
      </c>
      <c r="F279" s="74"/>
      <c r="G279" s="74"/>
      <c r="H279" s="74" t="s">
        <v>5023</v>
      </c>
      <c r="I279" s="74"/>
      <c r="J279" s="74" t="s">
        <v>5049</v>
      </c>
      <c r="K279" s="74"/>
      <c r="L279" s="74" t="s">
        <v>216</v>
      </c>
      <c r="M279" s="74"/>
    </row>
    <row r="280" spans="1:13">
      <c r="A280" s="74" t="s">
        <v>5043</v>
      </c>
      <c r="B280" s="74" t="s">
        <v>4977</v>
      </c>
      <c r="C280" s="74" t="s">
        <v>4584</v>
      </c>
      <c r="D280" s="74"/>
      <c r="E280" s="74" t="s">
        <v>17</v>
      </c>
      <c r="F280" s="74"/>
      <c r="G280" s="74"/>
      <c r="H280" s="74" t="s">
        <v>5023</v>
      </c>
      <c r="I280" s="74"/>
      <c r="J280" s="74" t="s">
        <v>5050</v>
      </c>
      <c r="K280" s="74"/>
      <c r="L280" s="74" t="s">
        <v>216</v>
      </c>
      <c r="M280" s="74"/>
    </row>
    <row r="281" spans="1:13" ht="30">
      <c r="A281" s="74" t="s">
        <v>5043</v>
      </c>
      <c r="B281" s="74" t="s">
        <v>5051</v>
      </c>
      <c r="C281" s="74" t="s">
        <v>4587</v>
      </c>
      <c r="D281" s="74" t="s">
        <v>4993</v>
      </c>
      <c r="E281" s="74" t="s">
        <v>17</v>
      </c>
      <c r="F281" s="74"/>
      <c r="G281" s="74"/>
      <c r="H281" s="74"/>
      <c r="I281" s="74"/>
      <c r="J281" s="74" t="s">
        <v>5052</v>
      </c>
      <c r="K281" s="74"/>
      <c r="L281" s="74" t="s">
        <v>216</v>
      </c>
      <c r="M281" s="74" t="s">
        <v>5053</v>
      </c>
    </row>
    <row r="282" spans="1:13">
      <c r="A282" s="74" t="s">
        <v>5043</v>
      </c>
      <c r="B282" s="74" t="s">
        <v>5054</v>
      </c>
      <c r="C282" s="74" t="s">
        <v>4584</v>
      </c>
      <c r="D282" s="74"/>
      <c r="E282" s="74" t="s">
        <v>17</v>
      </c>
      <c r="F282" s="74"/>
      <c r="G282" s="74"/>
      <c r="H282" s="74" t="s">
        <v>5055</v>
      </c>
      <c r="I282" s="74"/>
      <c r="J282" s="74" t="s">
        <v>5056</v>
      </c>
      <c r="K282" s="74"/>
      <c r="L282" s="74" t="s">
        <v>216</v>
      </c>
      <c r="M282" s="74"/>
    </row>
    <row r="283" spans="1:13">
      <c r="A283" s="74" t="s">
        <v>5043</v>
      </c>
      <c r="B283" s="74" t="s">
        <v>5057</v>
      </c>
      <c r="C283" s="74" t="s">
        <v>4587</v>
      </c>
      <c r="D283" s="74" t="s">
        <v>5000</v>
      </c>
      <c r="E283" s="74" t="s">
        <v>26</v>
      </c>
      <c r="F283" s="74" t="s">
        <v>4634</v>
      </c>
      <c r="G283" s="74"/>
      <c r="H283" s="74"/>
      <c r="I283" s="74"/>
      <c r="J283" s="74" t="s">
        <v>5058</v>
      </c>
      <c r="K283" s="74"/>
      <c r="L283" s="74" t="s">
        <v>216</v>
      </c>
      <c r="M283" s="74"/>
    </row>
    <row r="284" spans="1:13">
      <c r="A284" s="74" t="s">
        <v>5043</v>
      </c>
      <c r="B284" s="74" t="s">
        <v>4599</v>
      </c>
      <c r="C284" s="74" t="s">
        <v>4600</v>
      </c>
      <c r="D284" s="74"/>
      <c r="E284" s="74" t="s">
        <v>17</v>
      </c>
      <c r="F284" s="74" t="s">
        <v>4601</v>
      </c>
      <c r="G284" s="74"/>
      <c r="H284" s="74"/>
      <c r="I284" s="74"/>
      <c r="J284" s="74" t="s">
        <v>5059</v>
      </c>
      <c r="K284" s="74"/>
      <c r="L284" s="74" t="s">
        <v>216</v>
      </c>
      <c r="M284" s="74"/>
    </row>
    <row r="285" spans="1:13">
      <c r="A285" s="74" t="s">
        <v>5060</v>
      </c>
      <c r="B285" s="74" t="s">
        <v>4583</v>
      </c>
      <c r="C285" s="74" t="s">
        <v>4584</v>
      </c>
      <c r="D285" s="74"/>
      <c r="E285" s="74" t="s">
        <v>17</v>
      </c>
      <c r="F285" s="74"/>
      <c r="G285" s="74" t="s">
        <v>4579</v>
      </c>
      <c r="H285" s="74"/>
      <c r="I285" s="74"/>
      <c r="J285" s="74" t="s">
        <v>5061</v>
      </c>
      <c r="K285" s="74"/>
      <c r="L285" s="74" t="s">
        <v>216</v>
      </c>
      <c r="M285" s="74" t="s">
        <v>3911</v>
      </c>
    </row>
    <row r="286" spans="1:13">
      <c r="A286" s="74" t="s">
        <v>5060</v>
      </c>
      <c r="B286" s="74" t="s">
        <v>4608</v>
      </c>
      <c r="C286" s="74" t="s">
        <v>4584</v>
      </c>
      <c r="D286" s="74"/>
      <c r="E286" s="74" t="s">
        <v>17</v>
      </c>
      <c r="F286" s="74"/>
      <c r="G286" s="74"/>
      <c r="H286" s="74" t="s">
        <v>5046</v>
      </c>
      <c r="I286" s="74" t="s">
        <v>26</v>
      </c>
      <c r="J286" s="74" t="s">
        <v>5047</v>
      </c>
      <c r="K286" s="74"/>
      <c r="L286" s="74" t="s">
        <v>216</v>
      </c>
      <c r="M286" s="74"/>
    </row>
    <row r="287" spans="1:13">
      <c r="A287" s="74" t="s">
        <v>5060</v>
      </c>
      <c r="B287" s="74" t="s">
        <v>4787</v>
      </c>
      <c r="C287" s="74" t="s">
        <v>4584</v>
      </c>
      <c r="D287" s="74"/>
      <c r="E287" s="74" t="s">
        <v>17</v>
      </c>
      <c r="F287" s="74"/>
      <c r="G287" s="74"/>
      <c r="H287" s="74" t="s">
        <v>5007</v>
      </c>
      <c r="I287" s="74" t="s">
        <v>26</v>
      </c>
      <c r="J287" s="74" t="s">
        <v>5062</v>
      </c>
      <c r="K287" s="74"/>
      <c r="L287" s="74" t="s">
        <v>216</v>
      </c>
      <c r="M287" s="74"/>
    </row>
    <row r="288" spans="1:13">
      <c r="A288" s="74" t="s">
        <v>5060</v>
      </c>
      <c r="B288" s="74" t="s">
        <v>4975</v>
      </c>
      <c r="C288" s="74" t="s">
        <v>4584</v>
      </c>
      <c r="D288" s="74"/>
      <c r="E288" s="74" t="s">
        <v>17</v>
      </c>
      <c r="F288" s="74"/>
      <c r="G288" s="74"/>
      <c r="H288" s="74" t="s">
        <v>5023</v>
      </c>
      <c r="I288" s="74"/>
      <c r="J288" s="74" t="s">
        <v>5063</v>
      </c>
      <c r="K288" s="74"/>
      <c r="L288" s="74" t="s">
        <v>216</v>
      </c>
      <c r="M288" s="74"/>
    </row>
    <row r="289" spans="1:13">
      <c r="A289" s="74" t="s">
        <v>5060</v>
      </c>
      <c r="B289" s="74" t="s">
        <v>4977</v>
      </c>
      <c r="C289" s="74" t="s">
        <v>4584</v>
      </c>
      <c r="D289" s="74"/>
      <c r="E289" s="74" t="s">
        <v>17</v>
      </c>
      <c r="F289" s="74"/>
      <c r="G289" s="74"/>
      <c r="H289" s="74" t="s">
        <v>5023</v>
      </c>
      <c r="I289" s="74"/>
      <c r="J289" s="74" t="s">
        <v>5064</v>
      </c>
      <c r="K289" s="74"/>
      <c r="L289" s="74" t="s">
        <v>216</v>
      </c>
      <c r="M289" s="74"/>
    </row>
    <row r="290" spans="1:13">
      <c r="A290" s="74" t="s">
        <v>5060</v>
      </c>
      <c r="B290" s="74" t="s">
        <v>5065</v>
      </c>
      <c r="C290" s="74" t="s">
        <v>4587</v>
      </c>
      <c r="D290" s="74" t="s">
        <v>4993</v>
      </c>
      <c r="E290" s="74" t="s">
        <v>17</v>
      </c>
      <c r="F290" s="74"/>
      <c r="G290" s="74"/>
      <c r="H290" s="74"/>
      <c r="I290" s="74"/>
      <c r="J290" s="74" t="s">
        <v>5066</v>
      </c>
      <c r="K290" s="74"/>
      <c r="L290" s="74" t="s">
        <v>216</v>
      </c>
      <c r="M290" s="74"/>
    </row>
    <row r="291" spans="1:13">
      <c r="A291" s="74" t="s">
        <v>5060</v>
      </c>
      <c r="B291" s="74" t="s">
        <v>5067</v>
      </c>
      <c r="C291" s="74" t="s">
        <v>4587</v>
      </c>
      <c r="D291" s="74" t="s">
        <v>4993</v>
      </c>
      <c r="E291" s="74" t="s">
        <v>17</v>
      </c>
      <c r="F291" s="74"/>
      <c r="G291" s="74"/>
      <c r="H291" s="74"/>
      <c r="I291" s="74"/>
      <c r="J291" s="74" t="s">
        <v>5068</v>
      </c>
      <c r="K291" s="74"/>
      <c r="L291" s="74" t="s">
        <v>216</v>
      </c>
      <c r="M291" s="74"/>
    </row>
    <row r="292" spans="1:13">
      <c r="A292" s="74" t="s">
        <v>5060</v>
      </c>
      <c r="B292" s="74" t="s">
        <v>5054</v>
      </c>
      <c r="C292" s="74" t="s">
        <v>4584</v>
      </c>
      <c r="D292" s="74"/>
      <c r="E292" s="74" t="s">
        <v>17</v>
      </c>
      <c r="F292" s="74"/>
      <c r="G292" s="74"/>
      <c r="H292" s="74" t="s">
        <v>5055</v>
      </c>
      <c r="I292" s="74"/>
      <c r="J292" s="74" t="s">
        <v>5069</v>
      </c>
      <c r="K292" s="74"/>
      <c r="L292" s="74" t="s">
        <v>216</v>
      </c>
      <c r="M292" s="74"/>
    </row>
    <row r="293" spans="1:13">
      <c r="A293" s="74" t="s">
        <v>5060</v>
      </c>
      <c r="B293" s="74" t="s">
        <v>5070</v>
      </c>
      <c r="C293" s="74" t="s">
        <v>5004</v>
      </c>
      <c r="D293" s="74"/>
      <c r="E293" s="74" t="s">
        <v>17</v>
      </c>
      <c r="F293" s="74"/>
      <c r="G293" s="74"/>
      <c r="H293" s="74"/>
      <c r="I293" s="74"/>
      <c r="J293" s="74" t="s">
        <v>5071</v>
      </c>
      <c r="K293" s="74"/>
      <c r="L293" s="74" t="s">
        <v>216</v>
      </c>
      <c r="M293" s="74"/>
    </row>
    <row r="294" spans="1:13">
      <c r="A294" s="74" t="s">
        <v>5060</v>
      </c>
      <c r="B294" s="74" t="s">
        <v>4599</v>
      </c>
      <c r="C294" s="74" t="s">
        <v>4600</v>
      </c>
      <c r="D294" s="74"/>
      <c r="E294" s="74" t="s">
        <v>17</v>
      </c>
      <c r="F294" s="74" t="s">
        <v>4601</v>
      </c>
      <c r="G294" s="74"/>
      <c r="H294" s="74"/>
      <c r="I294" s="74"/>
      <c r="J294" s="74" t="s">
        <v>5072</v>
      </c>
      <c r="K294" s="74"/>
      <c r="L294" s="74" t="s">
        <v>216</v>
      </c>
      <c r="M294" s="74"/>
    </row>
    <row r="295" spans="1:13">
      <c r="A295" s="74" t="s">
        <v>5073</v>
      </c>
      <c r="B295" s="74" t="s">
        <v>4583</v>
      </c>
      <c r="C295" s="74" t="s">
        <v>4584</v>
      </c>
      <c r="D295" s="74"/>
      <c r="E295" s="74" t="s">
        <v>17</v>
      </c>
      <c r="F295" s="74"/>
      <c r="G295" s="74" t="s">
        <v>4579</v>
      </c>
      <c r="H295" s="74"/>
      <c r="I295" s="74"/>
      <c r="J295" s="74" t="s">
        <v>5074</v>
      </c>
      <c r="K295" s="74"/>
      <c r="L295" s="74" t="s">
        <v>216</v>
      </c>
      <c r="M295" s="74" t="s">
        <v>3905</v>
      </c>
    </row>
    <row r="296" spans="1:13">
      <c r="A296" s="74" t="s">
        <v>5073</v>
      </c>
      <c r="B296" s="74" t="s">
        <v>4608</v>
      </c>
      <c r="C296" s="74" t="s">
        <v>4584</v>
      </c>
      <c r="D296" s="74"/>
      <c r="E296" s="74" t="s">
        <v>17</v>
      </c>
      <c r="F296" s="74"/>
      <c r="G296" s="74"/>
      <c r="H296" s="74" t="s">
        <v>5046</v>
      </c>
      <c r="I296" s="74" t="s">
        <v>26</v>
      </c>
      <c r="J296" s="74" t="s">
        <v>5047</v>
      </c>
      <c r="K296" s="74"/>
      <c r="L296" s="74" t="s">
        <v>216</v>
      </c>
      <c r="M296" s="74"/>
    </row>
    <row r="297" spans="1:13">
      <c r="A297" s="74" t="s">
        <v>5073</v>
      </c>
      <c r="B297" s="74" t="s">
        <v>4787</v>
      </c>
      <c r="C297" s="74" t="s">
        <v>4584</v>
      </c>
      <c r="D297" s="74"/>
      <c r="E297" s="74" t="s">
        <v>17</v>
      </c>
      <c r="F297" s="74"/>
      <c r="G297" s="74"/>
      <c r="H297" s="74" t="s">
        <v>5007</v>
      </c>
      <c r="I297" s="74" t="s">
        <v>26</v>
      </c>
      <c r="J297" s="74" t="s">
        <v>5062</v>
      </c>
      <c r="K297" s="74"/>
      <c r="L297" s="74" t="s">
        <v>216</v>
      </c>
      <c r="M297" s="74"/>
    </row>
    <row r="298" spans="1:13">
      <c r="A298" s="74" t="s">
        <v>5073</v>
      </c>
      <c r="B298" s="74" t="s">
        <v>4621</v>
      </c>
      <c r="C298" s="74" t="s">
        <v>4584</v>
      </c>
      <c r="D298" s="74"/>
      <c r="E298" s="74" t="s">
        <v>17</v>
      </c>
      <c r="F298" s="74"/>
      <c r="G298" s="74"/>
      <c r="H298" s="74" t="s">
        <v>5023</v>
      </c>
      <c r="I298" s="74"/>
      <c r="J298" s="74" t="s">
        <v>5075</v>
      </c>
      <c r="K298" s="74"/>
      <c r="L298" s="74" t="s">
        <v>216</v>
      </c>
      <c r="M298" s="74"/>
    </row>
    <row r="299" spans="1:13">
      <c r="A299" s="74" t="s">
        <v>5073</v>
      </c>
      <c r="B299" s="74" t="s">
        <v>5076</v>
      </c>
      <c r="C299" s="74" t="s">
        <v>5077</v>
      </c>
      <c r="D299" s="74" t="s">
        <v>5078</v>
      </c>
      <c r="E299" s="74" t="s">
        <v>17</v>
      </c>
      <c r="F299" s="74" t="s">
        <v>4638</v>
      </c>
      <c r="G299" s="74"/>
      <c r="H299" s="74"/>
      <c r="I299" s="74"/>
      <c r="J299" s="74" t="s">
        <v>5079</v>
      </c>
      <c r="K299" s="74"/>
      <c r="L299" s="74" t="s">
        <v>216</v>
      </c>
      <c r="M299" s="74"/>
    </row>
    <row r="300" spans="1:13">
      <c r="A300" s="74" t="s">
        <v>5073</v>
      </c>
      <c r="B300" s="74" t="s">
        <v>5080</v>
      </c>
      <c r="C300" s="74" t="s">
        <v>5077</v>
      </c>
      <c r="D300" s="74" t="s">
        <v>5078</v>
      </c>
      <c r="E300" s="74" t="s">
        <v>17</v>
      </c>
      <c r="F300" s="74" t="s">
        <v>4638</v>
      </c>
      <c r="G300" s="74"/>
      <c r="H300" s="74"/>
      <c r="I300" s="74"/>
      <c r="J300" s="74" t="s">
        <v>5081</v>
      </c>
      <c r="K300" s="74"/>
      <c r="L300" s="74" t="s">
        <v>216</v>
      </c>
      <c r="M300" s="74"/>
    </row>
    <row r="301" spans="1:13">
      <c r="A301" s="74" t="s">
        <v>5073</v>
      </c>
      <c r="B301" s="74" t="s">
        <v>5082</v>
      </c>
      <c r="C301" s="74" t="s">
        <v>5077</v>
      </c>
      <c r="D301" s="74" t="s">
        <v>5078</v>
      </c>
      <c r="E301" s="74" t="s">
        <v>17</v>
      </c>
      <c r="F301" s="74" t="s">
        <v>4638</v>
      </c>
      <c r="G301" s="74"/>
      <c r="H301" s="74"/>
      <c r="I301" s="74"/>
      <c r="J301" s="74" t="s">
        <v>5083</v>
      </c>
      <c r="K301" s="74"/>
      <c r="L301" s="74" t="s">
        <v>216</v>
      </c>
      <c r="M301" s="74"/>
    </row>
    <row r="302" spans="1:13">
      <c r="A302" s="74" t="s">
        <v>5073</v>
      </c>
      <c r="B302" s="74" t="s">
        <v>5084</v>
      </c>
      <c r="C302" s="74" t="s">
        <v>5077</v>
      </c>
      <c r="D302" s="74" t="s">
        <v>5078</v>
      </c>
      <c r="E302" s="74" t="s">
        <v>17</v>
      </c>
      <c r="F302" s="74" t="s">
        <v>4638</v>
      </c>
      <c r="G302" s="74"/>
      <c r="H302" s="74"/>
      <c r="I302" s="74"/>
      <c r="J302" s="74" t="s">
        <v>5085</v>
      </c>
      <c r="K302" s="74"/>
      <c r="L302" s="74" t="s">
        <v>216</v>
      </c>
      <c r="M302" s="74"/>
    </row>
    <row r="303" spans="1:13">
      <c r="A303" s="74" t="s">
        <v>5073</v>
      </c>
      <c r="B303" s="74" t="s">
        <v>5086</v>
      </c>
      <c r="C303" s="74" t="s">
        <v>5077</v>
      </c>
      <c r="D303" s="74" t="s">
        <v>5078</v>
      </c>
      <c r="E303" s="74" t="s">
        <v>17</v>
      </c>
      <c r="F303" s="74" t="s">
        <v>4638</v>
      </c>
      <c r="G303" s="74"/>
      <c r="H303" s="74"/>
      <c r="I303" s="74"/>
      <c r="J303" s="74" t="s">
        <v>5087</v>
      </c>
      <c r="K303" s="74"/>
      <c r="L303" s="74" t="s">
        <v>216</v>
      </c>
      <c r="M303" s="74"/>
    </row>
    <row r="304" spans="1:13">
      <c r="A304" s="74" t="s">
        <v>5073</v>
      </c>
      <c r="B304" s="74" t="s">
        <v>4862</v>
      </c>
      <c r="C304" s="74" t="s">
        <v>5077</v>
      </c>
      <c r="D304" s="74" t="s">
        <v>5078</v>
      </c>
      <c r="E304" s="74" t="s">
        <v>17</v>
      </c>
      <c r="F304" s="74" t="s">
        <v>4638</v>
      </c>
      <c r="G304" s="74"/>
      <c r="H304" s="74"/>
      <c r="I304" s="74"/>
      <c r="J304" s="74" t="s">
        <v>5088</v>
      </c>
      <c r="K304" s="74"/>
      <c r="L304" s="74" t="s">
        <v>216</v>
      </c>
      <c r="M304" s="74"/>
    </row>
    <row r="305" spans="1:13">
      <c r="A305" s="74" t="s">
        <v>5073</v>
      </c>
      <c r="B305" s="74" t="s">
        <v>4596</v>
      </c>
      <c r="C305" s="74" t="s">
        <v>4587</v>
      </c>
      <c r="D305" s="74" t="s">
        <v>4993</v>
      </c>
      <c r="E305" s="74" t="s">
        <v>17</v>
      </c>
      <c r="F305" s="74" t="s">
        <v>5089</v>
      </c>
      <c r="G305" s="74"/>
      <c r="H305" s="74"/>
      <c r="I305" s="74"/>
      <c r="J305" s="74" t="s">
        <v>5090</v>
      </c>
      <c r="K305" s="74"/>
      <c r="L305" s="74" t="s">
        <v>216</v>
      </c>
      <c r="M305" s="74"/>
    </row>
    <row r="306" spans="1:13">
      <c r="A306" s="74" t="s">
        <v>5073</v>
      </c>
      <c r="B306" s="74" t="s">
        <v>5054</v>
      </c>
      <c r="C306" s="74" t="s">
        <v>4584</v>
      </c>
      <c r="D306" s="74"/>
      <c r="E306" s="74" t="s">
        <v>26</v>
      </c>
      <c r="F306" s="74" t="s">
        <v>4634</v>
      </c>
      <c r="G306" s="74"/>
      <c r="H306" s="74" t="s">
        <v>5055</v>
      </c>
      <c r="I306" s="74"/>
      <c r="J306" s="74" t="s">
        <v>5091</v>
      </c>
      <c r="K306" s="74"/>
      <c r="L306" s="74" t="s">
        <v>216</v>
      </c>
      <c r="M306" s="74"/>
    </row>
    <row r="307" spans="1:13">
      <c r="A307" s="74" t="s">
        <v>5073</v>
      </c>
      <c r="B307" s="74" t="s">
        <v>4599</v>
      </c>
      <c r="C307" s="74" t="s">
        <v>4600</v>
      </c>
      <c r="D307" s="74"/>
      <c r="E307" s="74" t="s">
        <v>17</v>
      </c>
      <c r="F307" s="74" t="s">
        <v>4601</v>
      </c>
      <c r="G307" s="74"/>
      <c r="H307" s="74"/>
      <c r="I307" s="74"/>
      <c r="J307" s="74" t="s">
        <v>4602</v>
      </c>
      <c r="K307" s="74"/>
      <c r="L307" s="74" t="s">
        <v>216</v>
      </c>
      <c r="M307" s="74"/>
    </row>
    <row r="308" spans="1:13">
      <c r="A308" s="74" t="s">
        <v>5092</v>
      </c>
      <c r="B308" s="74" t="s">
        <v>4583</v>
      </c>
      <c r="C308" s="74" t="s">
        <v>4584</v>
      </c>
      <c r="D308" s="74"/>
      <c r="E308" s="74" t="s">
        <v>17</v>
      </c>
      <c r="F308" s="74"/>
      <c r="G308" s="74" t="s">
        <v>4579</v>
      </c>
      <c r="H308" s="74"/>
      <c r="I308" s="74"/>
      <c r="J308" s="74" t="s">
        <v>5093</v>
      </c>
      <c r="K308" s="74"/>
      <c r="L308" s="74" t="s">
        <v>216</v>
      </c>
      <c r="M308" s="74" t="s">
        <v>5094</v>
      </c>
    </row>
    <row r="309" spans="1:13">
      <c r="A309" s="74" t="s">
        <v>5092</v>
      </c>
      <c r="B309" s="74" t="s">
        <v>4608</v>
      </c>
      <c r="C309" s="74" t="s">
        <v>4584</v>
      </c>
      <c r="D309" s="74"/>
      <c r="E309" s="74" t="s">
        <v>17</v>
      </c>
      <c r="F309" s="74"/>
      <c r="G309" s="74"/>
      <c r="H309" s="74" t="s">
        <v>5046</v>
      </c>
      <c r="I309" s="74" t="s">
        <v>26</v>
      </c>
      <c r="J309" s="74" t="s">
        <v>5047</v>
      </c>
      <c r="K309" s="74"/>
      <c r="L309" s="74" t="s">
        <v>216</v>
      </c>
      <c r="M309" s="74"/>
    </row>
    <row r="310" spans="1:13">
      <c r="A310" s="74" t="s">
        <v>5092</v>
      </c>
      <c r="B310" s="74" t="s">
        <v>4621</v>
      </c>
      <c r="C310" s="74" t="s">
        <v>4584</v>
      </c>
      <c r="D310" s="74"/>
      <c r="E310" s="74" t="s">
        <v>17</v>
      </c>
      <c r="F310" s="74"/>
      <c r="G310" s="74"/>
      <c r="H310" s="74" t="s">
        <v>5023</v>
      </c>
      <c r="I310" s="74" t="s">
        <v>26</v>
      </c>
      <c r="J310" s="74" t="s">
        <v>5095</v>
      </c>
      <c r="K310" s="74"/>
      <c r="L310" s="74" t="s">
        <v>216</v>
      </c>
      <c r="M310" s="74"/>
    </row>
    <row r="311" spans="1:13">
      <c r="A311" s="74" t="s">
        <v>5092</v>
      </c>
      <c r="B311" s="74" t="s">
        <v>5096</v>
      </c>
      <c r="C311" s="74" t="s">
        <v>5004</v>
      </c>
      <c r="D311" s="74"/>
      <c r="E311" s="74" t="s">
        <v>17</v>
      </c>
      <c r="F311" s="74"/>
      <c r="G311" s="74"/>
      <c r="H311" s="74"/>
      <c r="I311" s="74"/>
      <c r="J311" s="74" t="s">
        <v>5097</v>
      </c>
      <c r="K311" s="74"/>
      <c r="L311" s="74" t="s">
        <v>216</v>
      </c>
      <c r="M311" s="74"/>
    </row>
    <row r="312" spans="1:13">
      <c r="A312" s="74" t="s">
        <v>5092</v>
      </c>
      <c r="B312" s="74" t="s">
        <v>5098</v>
      </c>
      <c r="C312" s="74" t="s">
        <v>5004</v>
      </c>
      <c r="D312" s="74"/>
      <c r="E312" s="74" t="s">
        <v>17</v>
      </c>
      <c r="F312" s="74"/>
      <c r="G312" s="74"/>
      <c r="H312" s="74"/>
      <c r="I312" s="74"/>
      <c r="J312" s="74" t="s">
        <v>5099</v>
      </c>
      <c r="K312" s="74"/>
      <c r="L312" s="74" t="s">
        <v>216</v>
      </c>
      <c r="M312" s="74"/>
    </row>
    <row r="313" spans="1:13">
      <c r="A313" s="74" t="s">
        <v>5092</v>
      </c>
      <c r="B313" s="74" t="s">
        <v>5100</v>
      </c>
      <c r="C313" s="74" t="s">
        <v>4637</v>
      </c>
      <c r="D313" s="74"/>
      <c r="E313" s="74" t="s">
        <v>17</v>
      </c>
      <c r="F313" s="74" t="s">
        <v>4638</v>
      </c>
      <c r="G313" s="74"/>
      <c r="H313" s="74"/>
      <c r="I313" s="74"/>
      <c r="J313" s="74" t="s">
        <v>5101</v>
      </c>
      <c r="K313" s="74"/>
      <c r="L313" s="74" t="s">
        <v>216</v>
      </c>
      <c r="M313" s="74"/>
    </row>
    <row r="314" spans="1:13">
      <c r="A314" s="74" t="s">
        <v>5092</v>
      </c>
      <c r="B314" s="74" t="s">
        <v>5102</v>
      </c>
      <c r="C314" s="74" t="s">
        <v>4637</v>
      </c>
      <c r="D314" s="74"/>
      <c r="E314" s="74" t="s">
        <v>17</v>
      </c>
      <c r="F314" s="74" t="s">
        <v>4638</v>
      </c>
      <c r="G314" s="74"/>
      <c r="H314" s="74"/>
      <c r="I314" s="74"/>
      <c r="J314" s="74" t="s">
        <v>5103</v>
      </c>
      <c r="K314" s="74"/>
      <c r="L314" s="74" t="s">
        <v>216</v>
      </c>
      <c r="M314" s="74"/>
    </row>
    <row r="315" spans="1:13">
      <c r="A315" s="74" t="s">
        <v>5092</v>
      </c>
      <c r="B315" s="74" t="s">
        <v>5104</v>
      </c>
      <c r="C315" s="74" t="s">
        <v>4637</v>
      </c>
      <c r="D315" s="74"/>
      <c r="E315" s="74" t="s">
        <v>17</v>
      </c>
      <c r="F315" s="74" t="s">
        <v>4638</v>
      </c>
      <c r="G315" s="74"/>
      <c r="H315" s="74"/>
      <c r="I315" s="74"/>
      <c r="J315" s="74" t="s">
        <v>5105</v>
      </c>
      <c r="K315" s="74"/>
      <c r="L315" s="74" t="s">
        <v>216</v>
      </c>
      <c r="M315" s="74"/>
    </row>
    <row r="316" spans="1:13">
      <c r="A316" s="74" t="s">
        <v>5092</v>
      </c>
      <c r="B316" s="74" t="s">
        <v>5106</v>
      </c>
      <c r="C316" s="74" t="s">
        <v>4637</v>
      </c>
      <c r="D316" s="74"/>
      <c r="E316" s="74" t="s">
        <v>17</v>
      </c>
      <c r="F316" s="74" t="s">
        <v>4638</v>
      </c>
      <c r="G316" s="74"/>
      <c r="H316" s="74"/>
      <c r="I316" s="74"/>
      <c r="J316" s="74" t="s">
        <v>5107</v>
      </c>
      <c r="K316" s="74"/>
      <c r="L316" s="74" t="s">
        <v>216</v>
      </c>
      <c r="M316" s="74"/>
    </row>
    <row r="317" spans="1:13">
      <c r="A317" s="74" t="s">
        <v>5092</v>
      </c>
      <c r="B317" s="74" t="s">
        <v>4596</v>
      </c>
      <c r="C317" s="74" t="s">
        <v>4587</v>
      </c>
      <c r="D317" s="74" t="s">
        <v>4993</v>
      </c>
      <c r="E317" s="74" t="s">
        <v>17</v>
      </c>
      <c r="F317" s="74" t="s">
        <v>5108</v>
      </c>
      <c r="G317" s="74"/>
      <c r="H317" s="74"/>
      <c r="I317" s="74"/>
      <c r="J317" s="74" t="s">
        <v>5109</v>
      </c>
      <c r="K317" s="74"/>
      <c r="L317" s="74" t="s">
        <v>216</v>
      </c>
      <c r="M317" s="74"/>
    </row>
    <row r="318" spans="1:13">
      <c r="A318" s="74" t="s">
        <v>5092</v>
      </c>
      <c r="B318" s="74" t="s">
        <v>5110</v>
      </c>
      <c r="C318" s="74" t="s">
        <v>4584</v>
      </c>
      <c r="D318" s="74"/>
      <c r="E318" s="74" t="s">
        <v>17</v>
      </c>
      <c r="F318" s="74"/>
      <c r="G318" s="74"/>
      <c r="H318" s="74" t="s">
        <v>5055</v>
      </c>
      <c r="I318" s="74"/>
      <c r="J318" s="74" t="s">
        <v>5111</v>
      </c>
      <c r="K318" s="74"/>
      <c r="L318" s="74" t="s">
        <v>216</v>
      </c>
      <c r="M318" s="74"/>
    </row>
    <row r="319" spans="1:13" ht="30">
      <c r="A319" s="75" t="s">
        <v>4606</v>
      </c>
      <c r="B319" s="75" t="s">
        <v>4596</v>
      </c>
      <c r="C319" s="75" t="s">
        <v>4587</v>
      </c>
      <c r="D319" s="75" t="s">
        <v>4993</v>
      </c>
      <c r="E319" s="75" t="s">
        <v>17</v>
      </c>
      <c r="F319" s="75" t="s">
        <v>4994</v>
      </c>
      <c r="G319" s="75"/>
      <c r="H319" s="75"/>
      <c r="I319" s="75" t="s">
        <v>26</v>
      </c>
      <c r="J319" s="75" t="s">
        <v>5112</v>
      </c>
      <c r="K319" s="75"/>
      <c r="L319" s="75" t="s">
        <v>216</v>
      </c>
      <c r="M319" s="75" t="s">
        <v>5094</v>
      </c>
    </row>
    <row r="320" spans="1:13">
      <c r="A320" s="75" t="s">
        <v>4606</v>
      </c>
      <c r="B320" s="75" t="s">
        <v>5113</v>
      </c>
      <c r="C320" s="75" t="s">
        <v>4637</v>
      </c>
      <c r="D320" s="75"/>
      <c r="E320" s="75" t="s">
        <v>26</v>
      </c>
      <c r="F320" s="75" t="s">
        <v>4634</v>
      </c>
      <c r="G320" s="75"/>
      <c r="H320" s="75"/>
      <c r="I320" s="75"/>
      <c r="J320" s="75" t="s">
        <v>5114</v>
      </c>
      <c r="K320" s="75"/>
      <c r="L320" s="75" t="s">
        <v>216</v>
      </c>
      <c r="M320" s="75" t="s">
        <v>3960</v>
      </c>
    </row>
    <row r="321" spans="1:13">
      <c r="A321" s="75" t="s">
        <v>4606</v>
      </c>
      <c r="B321" s="75" t="s">
        <v>5115</v>
      </c>
      <c r="C321" s="75" t="s">
        <v>4637</v>
      </c>
      <c r="D321" s="75"/>
      <c r="E321" s="75" t="s">
        <v>26</v>
      </c>
      <c r="F321" s="75" t="s">
        <v>4634</v>
      </c>
      <c r="G321" s="75"/>
      <c r="H321" s="75"/>
      <c r="I321" s="75"/>
      <c r="J321" s="75" t="s">
        <v>5116</v>
      </c>
      <c r="K321" s="75"/>
      <c r="L321" s="75" t="s">
        <v>216</v>
      </c>
      <c r="M321" s="75" t="s">
        <v>3960</v>
      </c>
    </row>
    <row r="322" spans="1:13">
      <c r="A322" s="75" t="s">
        <v>4606</v>
      </c>
      <c r="B322" s="75" t="s">
        <v>5117</v>
      </c>
      <c r="C322" s="75" t="s">
        <v>5004</v>
      </c>
      <c r="D322" s="75"/>
      <c r="E322" s="75" t="s">
        <v>26</v>
      </c>
      <c r="F322" s="75" t="s">
        <v>4634</v>
      </c>
      <c r="G322" s="75"/>
      <c r="H322" s="75"/>
      <c r="I322" s="75"/>
      <c r="J322" s="75" t="s">
        <v>5118</v>
      </c>
      <c r="K322" s="75"/>
      <c r="L322" s="75" t="s">
        <v>216</v>
      </c>
      <c r="M322" s="75" t="s">
        <v>3954</v>
      </c>
    </row>
    <row r="323" spans="1:13">
      <c r="A323" s="75" t="s">
        <v>4606</v>
      </c>
      <c r="B323" s="75" t="s">
        <v>5119</v>
      </c>
      <c r="C323" s="75" t="s">
        <v>5004</v>
      </c>
      <c r="D323" s="75"/>
      <c r="E323" s="75" t="s">
        <v>26</v>
      </c>
      <c r="F323" s="75" t="s">
        <v>4634</v>
      </c>
      <c r="G323" s="75"/>
      <c r="H323" s="75"/>
      <c r="I323" s="75"/>
      <c r="J323" s="75" t="s">
        <v>5120</v>
      </c>
      <c r="K323" s="75"/>
      <c r="L323" s="75" t="s">
        <v>216</v>
      </c>
      <c r="M323" s="75" t="s">
        <v>3954</v>
      </c>
    </row>
    <row r="324" spans="1:13">
      <c r="A324" s="75" t="s">
        <v>4606</v>
      </c>
      <c r="B324" s="75" t="s">
        <v>5121</v>
      </c>
      <c r="C324" s="75" t="s">
        <v>4587</v>
      </c>
      <c r="D324" s="75" t="s">
        <v>5122</v>
      </c>
      <c r="E324" s="75" t="s">
        <v>17</v>
      </c>
      <c r="F324" s="75"/>
      <c r="G324" s="75"/>
      <c r="H324" s="75"/>
      <c r="I324" s="75" t="s">
        <v>26</v>
      </c>
      <c r="J324" s="75" t="s">
        <v>5123</v>
      </c>
      <c r="K324" s="75"/>
      <c r="L324" s="75" t="s">
        <v>216</v>
      </c>
      <c r="M324" s="75" t="s">
        <v>3872</v>
      </c>
    </row>
    <row r="325" spans="1:13">
      <c r="A325" s="76" t="s">
        <v>4582</v>
      </c>
      <c r="B325" s="76" t="s">
        <v>4592</v>
      </c>
      <c r="C325" s="76" t="s">
        <v>4587</v>
      </c>
      <c r="D325" s="76" t="s">
        <v>4993</v>
      </c>
      <c r="E325" s="76" t="s">
        <v>17</v>
      </c>
      <c r="F325" s="76" t="s">
        <v>5124</v>
      </c>
      <c r="G325" s="76"/>
      <c r="H325" s="76"/>
      <c r="I325" s="76"/>
      <c r="J325" s="76" t="s">
        <v>5125</v>
      </c>
      <c r="K325" s="76"/>
      <c r="L325" s="76" t="s">
        <v>216</v>
      </c>
      <c r="M325" s="76" t="s">
        <v>3992</v>
      </c>
    </row>
    <row r="326" spans="1:13">
      <c r="A326" s="76" t="s">
        <v>4582</v>
      </c>
      <c r="B326" s="76" t="s">
        <v>5126</v>
      </c>
      <c r="C326" s="76" t="s">
        <v>5004</v>
      </c>
      <c r="D326" s="76"/>
      <c r="E326" s="76" t="s">
        <v>26</v>
      </c>
      <c r="F326" s="76" t="s">
        <v>4634</v>
      </c>
      <c r="G326" s="76"/>
      <c r="H326" s="76"/>
      <c r="I326" s="76"/>
      <c r="J326" s="76" t="s">
        <v>5127</v>
      </c>
      <c r="K326" s="76"/>
      <c r="L326" s="76" t="s">
        <v>216</v>
      </c>
      <c r="M326" s="76" t="s">
        <v>3992</v>
      </c>
    </row>
    <row r="327" spans="1:13">
      <c r="A327" s="76" t="s">
        <v>4582</v>
      </c>
      <c r="B327" s="76" t="s">
        <v>4729</v>
      </c>
      <c r="C327" s="76" t="s">
        <v>4587</v>
      </c>
      <c r="D327" s="76" t="s">
        <v>4993</v>
      </c>
      <c r="E327" s="76" t="s">
        <v>26</v>
      </c>
      <c r="F327" s="76" t="s">
        <v>4634</v>
      </c>
      <c r="G327" s="76"/>
      <c r="H327" s="76"/>
      <c r="I327" s="76"/>
      <c r="J327" s="76" t="s">
        <v>5128</v>
      </c>
      <c r="K327" s="76"/>
      <c r="L327" s="76" t="s">
        <v>216</v>
      </c>
      <c r="M327" s="76" t="s">
        <v>3992</v>
      </c>
    </row>
    <row r="328" spans="1:13">
      <c r="A328" s="76" t="s">
        <v>4582</v>
      </c>
      <c r="B328" s="76" t="s">
        <v>5129</v>
      </c>
      <c r="C328" s="76" t="s">
        <v>4637</v>
      </c>
      <c r="D328" s="76"/>
      <c r="E328" s="76" t="s">
        <v>17</v>
      </c>
      <c r="F328" s="76" t="s">
        <v>4638</v>
      </c>
      <c r="G328" s="76"/>
      <c r="H328" s="76"/>
      <c r="I328" s="76"/>
      <c r="J328" s="76" t="s">
        <v>5130</v>
      </c>
      <c r="K328" s="76"/>
      <c r="L328" s="76" t="s">
        <v>216</v>
      </c>
      <c r="M328" s="76" t="s">
        <v>3992</v>
      </c>
    </row>
    <row r="329" spans="1:13" ht="30">
      <c r="A329" s="76" t="s">
        <v>4582</v>
      </c>
      <c r="B329" s="76" t="s">
        <v>5131</v>
      </c>
      <c r="C329" s="76" t="s">
        <v>4587</v>
      </c>
      <c r="D329" s="76" t="s">
        <v>4993</v>
      </c>
      <c r="E329" s="76" t="s">
        <v>17</v>
      </c>
      <c r="F329" s="76" t="s">
        <v>5132</v>
      </c>
      <c r="G329" s="76"/>
      <c r="H329" s="76"/>
      <c r="I329" s="76"/>
      <c r="J329" s="76" t="s">
        <v>5133</v>
      </c>
      <c r="K329" s="76"/>
      <c r="L329" s="76" t="s">
        <v>216</v>
      </c>
      <c r="M329" s="76" t="s">
        <v>5134</v>
      </c>
    </row>
    <row r="330" spans="1:13">
      <c r="A330" s="77" t="s">
        <v>4708</v>
      </c>
      <c r="B330" s="77" t="s">
        <v>5135</v>
      </c>
      <c r="C330" s="77" t="s">
        <v>4584</v>
      </c>
      <c r="D330" s="77"/>
      <c r="E330" s="77" t="s">
        <v>26</v>
      </c>
      <c r="F330" s="77" t="s">
        <v>4634</v>
      </c>
      <c r="G330" s="77"/>
      <c r="H330" s="77" t="s">
        <v>5007</v>
      </c>
      <c r="I330" s="77"/>
      <c r="J330" s="77" t="s">
        <v>5136</v>
      </c>
      <c r="K330" s="77"/>
      <c r="L330" s="77" t="s">
        <v>216</v>
      </c>
      <c r="M330" s="77" t="s">
        <v>5137</v>
      </c>
    </row>
    <row r="331" spans="1:13">
      <c r="A331" s="74" t="s">
        <v>5138</v>
      </c>
      <c r="B331" s="74" t="s">
        <v>4583</v>
      </c>
      <c r="C331" s="74" t="s">
        <v>4584</v>
      </c>
      <c r="D331" s="74"/>
      <c r="E331" s="74" t="s">
        <v>17</v>
      </c>
      <c r="F331" s="74"/>
      <c r="G331" s="74" t="s">
        <v>4579</v>
      </c>
      <c r="H331" s="74"/>
      <c r="I331" s="74"/>
      <c r="J331" s="74" t="s">
        <v>5139</v>
      </c>
      <c r="K331" s="74"/>
      <c r="L331" s="74" t="s">
        <v>216</v>
      </c>
      <c r="M331" s="74" t="s">
        <v>3992</v>
      </c>
    </row>
    <row r="332" spans="1:13">
      <c r="A332" s="74" t="s">
        <v>5138</v>
      </c>
      <c r="B332" s="74" t="s">
        <v>4608</v>
      </c>
      <c r="C332" s="74" t="s">
        <v>4584</v>
      </c>
      <c r="D332" s="74"/>
      <c r="E332" s="74" t="s">
        <v>17</v>
      </c>
      <c r="F332" s="74"/>
      <c r="G332" s="74"/>
      <c r="H332" s="74" t="s">
        <v>5046</v>
      </c>
      <c r="I332" s="74" t="s">
        <v>26</v>
      </c>
      <c r="J332" s="74" t="s">
        <v>5047</v>
      </c>
      <c r="K332" s="74"/>
      <c r="L332" s="74" t="s">
        <v>216</v>
      </c>
      <c r="M332" s="74"/>
    </row>
    <row r="333" spans="1:13">
      <c r="A333" s="74" t="s">
        <v>5138</v>
      </c>
      <c r="B333" s="74" t="s">
        <v>4592</v>
      </c>
      <c r="C333" s="74" t="s">
        <v>4587</v>
      </c>
      <c r="D333" s="74" t="s">
        <v>4993</v>
      </c>
      <c r="E333" s="74" t="s">
        <v>17</v>
      </c>
      <c r="F333" s="74"/>
      <c r="G333" s="74"/>
      <c r="H333" s="74"/>
      <c r="I333" s="74"/>
      <c r="J333" s="74" t="s">
        <v>5140</v>
      </c>
      <c r="K333" s="74"/>
      <c r="L333" s="74" t="s">
        <v>216</v>
      </c>
      <c r="M333" s="74"/>
    </row>
    <row r="334" spans="1:13">
      <c r="A334" s="74" t="s">
        <v>5138</v>
      </c>
      <c r="B334" s="74" t="s">
        <v>4870</v>
      </c>
      <c r="C334" s="74" t="s">
        <v>5077</v>
      </c>
      <c r="D334" s="74" t="s">
        <v>5141</v>
      </c>
      <c r="E334" s="74" t="s">
        <v>17</v>
      </c>
      <c r="F334" s="74"/>
      <c r="G334" s="74"/>
      <c r="H334" s="74"/>
      <c r="I334" s="74"/>
      <c r="J334" s="74" t="s">
        <v>5142</v>
      </c>
      <c r="K334" s="74"/>
      <c r="L334" s="74" t="s">
        <v>216</v>
      </c>
      <c r="M334" s="74"/>
    </row>
    <row r="335" spans="1:13">
      <c r="A335" s="74" t="s">
        <v>5138</v>
      </c>
      <c r="B335" s="74" t="s">
        <v>5143</v>
      </c>
      <c r="C335" s="74" t="s">
        <v>5004</v>
      </c>
      <c r="D335" s="74"/>
      <c r="E335" s="74" t="s">
        <v>17</v>
      </c>
      <c r="F335" s="74"/>
      <c r="G335" s="74"/>
      <c r="H335" s="74"/>
      <c r="I335" s="74"/>
      <c r="J335" s="74" t="s">
        <v>5144</v>
      </c>
      <c r="K335" s="74"/>
      <c r="L335" s="74" t="s">
        <v>216</v>
      </c>
      <c r="M335" s="74"/>
    </row>
    <row r="336" spans="1:13" ht="30">
      <c r="A336" s="74" t="s">
        <v>5138</v>
      </c>
      <c r="B336" s="74" t="s">
        <v>4596</v>
      </c>
      <c r="C336" s="74" t="s">
        <v>4587</v>
      </c>
      <c r="D336" s="74" t="s">
        <v>4993</v>
      </c>
      <c r="E336" s="74" t="s">
        <v>17</v>
      </c>
      <c r="F336" s="74" t="s">
        <v>4994</v>
      </c>
      <c r="G336" s="74"/>
      <c r="H336" s="74"/>
      <c r="I336" s="74"/>
      <c r="J336" s="74" t="s">
        <v>5145</v>
      </c>
      <c r="K336" s="74"/>
      <c r="L336" s="74" t="s">
        <v>216</v>
      </c>
      <c r="M336" s="74"/>
    </row>
    <row r="337" spans="1:13">
      <c r="A337" s="74" t="s">
        <v>5138</v>
      </c>
      <c r="B337" s="74" t="s">
        <v>4599</v>
      </c>
      <c r="C337" s="74" t="s">
        <v>4600</v>
      </c>
      <c r="D337" s="74"/>
      <c r="E337" s="74" t="s">
        <v>17</v>
      </c>
      <c r="F337" s="74" t="s">
        <v>4601</v>
      </c>
      <c r="G337" s="74"/>
      <c r="H337" s="74"/>
      <c r="I337" s="74"/>
      <c r="J337" s="74" t="s">
        <v>4602</v>
      </c>
      <c r="K337" s="74"/>
      <c r="L337" s="74" t="s">
        <v>216</v>
      </c>
      <c r="M337" s="74"/>
    </row>
    <row r="338" spans="1:13">
      <c r="A338" t="s">
        <v>5146</v>
      </c>
      <c r="B338" t="s">
        <v>4583</v>
      </c>
      <c r="C338" t="s">
        <v>5147</v>
      </c>
      <c r="E338" t="s">
        <v>17</v>
      </c>
      <c r="F338" t="s">
        <v>5148</v>
      </c>
      <c r="G338" t="s">
        <v>26</v>
      </c>
      <c r="J338" t="s">
        <v>5149</v>
      </c>
      <c r="K338" t="s">
        <v>5150</v>
      </c>
      <c r="L338" t="s">
        <v>2084</v>
      </c>
      <c r="M338" t="s">
        <v>5151</v>
      </c>
    </row>
    <row r="339" spans="1:13">
      <c r="A339" t="s">
        <v>5146</v>
      </c>
      <c r="B339" t="s">
        <v>5152</v>
      </c>
      <c r="C339" t="s">
        <v>4587</v>
      </c>
      <c r="D339">
        <v>50</v>
      </c>
      <c r="E339" t="s">
        <v>17</v>
      </c>
      <c r="I339" t="s">
        <v>5153</v>
      </c>
      <c r="J339" t="s">
        <v>5154</v>
      </c>
      <c r="L339" t="s">
        <v>2084</v>
      </c>
    </row>
    <row r="340" spans="1:13">
      <c r="A340" t="s">
        <v>5146</v>
      </c>
      <c r="B340" t="s">
        <v>4668</v>
      </c>
      <c r="C340" t="s">
        <v>4637</v>
      </c>
      <c r="E340" t="s">
        <v>26</v>
      </c>
      <c r="H340" t="s">
        <v>4879</v>
      </c>
      <c r="I340" t="s">
        <v>5155</v>
      </c>
      <c r="J340" t="s">
        <v>5156</v>
      </c>
      <c r="L340" t="s">
        <v>2084</v>
      </c>
    </row>
    <row r="341" spans="1:13">
      <c r="A341" t="s">
        <v>5146</v>
      </c>
      <c r="B341" t="s">
        <v>5157</v>
      </c>
      <c r="C341" t="s">
        <v>4587</v>
      </c>
      <c r="D341">
        <v>100</v>
      </c>
      <c r="E341" t="s">
        <v>26</v>
      </c>
      <c r="J341" t="s">
        <v>5158</v>
      </c>
      <c r="L341" t="s">
        <v>2084</v>
      </c>
    </row>
    <row r="342" spans="1:13">
      <c r="A342" t="s">
        <v>5146</v>
      </c>
      <c r="B342" t="s">
        <v>4596</v>
      </c>
      <c r="C342" t="s">
        <v>4587</v>
      </c>
      <c r="D342">
        <v>20</v>
      </c>
      <c r="E342" t="s">
        <v>17</v>
      </c>
      <c r="F342" t="s">
        <v>5159</v>
      </c>
      <c r="I342" t="s">
        <v>5155</v>
      </c>
      <c r="J342" t="s">
        <v>5160</v>
      </c>
      <c r="L342" t="s">
        <v>2084</v>
      </c>
    </row>
    <row r="343" spans="1:13">
      <c r="A343" t="s">
        <v>5146</v>
      </c>
      <c r="B343" t="s">
        <v>5161</v>
      </c>
      <c r="C343" t="s">
        <v>4587</v>
      </c>
      <c r="D343">
        <v>20</v>
      </c>
      <c r="E343" t="s">
        <v>26</v>
      </c>
      <c r="J343" t="s">
        <v>5162</v>
      </c>
      <c r="L343" t="s">
        <v>2084</v>
      </c>
    </row>
    <row r="344" spans="1:13">
      <c r="A344" t="s">
        <v>5146</v>
      </c>
      <c r="B344" t="s">
        <v>5163</v>
      </c>
      <c r="C344" t="s">
        <v>4587</v>
      </c>
      <c r="D344">
        <v>20</v>
      </c>
      <c r="E344" t="s">
        <v>26</v>
      </c>
      <c r="J344" t="s">
        <v>5164</v>
      </c>
      <c r="L344" t="s">
        <v>2084</v>
      </c>
    </row>
    <row r="345" spans="1:13">
      <c r="A345" t="s">
        <v>5146</v>
      </c>
      <c r="B345" t="s">
        <v>5165</v>
      </c>
      <c r="C345" t="s">
        <v>5166</v>
      </c>
      <c r="E345" t="s">
        <v>26</v>
      </c>
      <c r="J345" t="s">
        <v>5167</v>
      </c>
      <c r="L345" t="s">
        <v>2084</v>
      </c>
    </row>
    <row r="346" spans="1:13">
      <c r="A346" t="s">
        <v>5146</v>
      </c>
      <c r="B346" t="s">
        <v>4621</v>
      </c>
      <c r="C346" t="s">
        <v>4637</v>
      </c>
      <c r="E346" t="s">
        <v>17</v>
      </c>
      <c r="H346" t="s">
        <v>4926</v>
      </c>
      <c r="I346" t="s">
        <v>5155</v>
      </c>
      <c r="J346" t="s">
        <v>5168</v>
      </c>
      <c r="L346" t="s">
        <v>2084</v>
      </c>
    </row>
    <row r="347" spans="1:13">
      <c r="A347" t="s">
        <v>5146</v>
      </c>
      <c r="B347" t="s">
        <v>4599</v>
      </c>
      <c r="C347" t="s">
        <v>5166</v>
      </c>
      <c r="E347" t="s">
        <v>17</v>
      </c>
      <c r="F347" t="s">
        <v>5169</v>
      </c>
      <c r="J347" t="s">
        <v>5170</v>
      </c>
      <c r="L347" t="s">
        <v>2084</v>
      </c>
    </row>
    <row r="348" spans="1:13">
      <c r="A348" t="s">
        <v>5146</v>
      </c>
      <c r="B348" t="s">
        <v>4603</v>
      </c>
      <c r="C348" t="s">
        <v>5166</v>
      </c>
      <c r="E348" t="s">
        <v>17</v>
      </c>
      <c r="F348" t="s">
        <v>5169</v>
      </c>
      <c r="J348" t="s">
        <v>5171</v>
      </c>
      <c r="L348" t="s">
        <v>2084</v>
      </c>
    </row>
    <row r="349" spans="1:13">
      <c r="A349" t="s">
        <v>5172</v>
      </c>
      <c r="B349" t="s">
        <v>4583</v>
      </c>
      <c r="C349" t="s">
        <v>5147</v>
      </c>
      <c r="E349" t="s">
        <v>17</v>
      </c>
      <c r="F349" t="s">
        <v>5148</v>
      </c>
      <c r="G349" t="s">
        <v>26</v>
      </c>
      <c r="J349" t="s">
        <v>5173</v>
      </c>
      <c r="K349" t="s">
        <v>4035</v>
      </c>
      <c r="L349" t="s">
        <v>2084</v>
      </c>
      <c r="M349" t="s">
        <v>5151</v>
      </c>
    </row>
    <row r="350" spans="1:13">
      <c r="A350" t="s">
        <v>5172</v>
      </c>
      <c r="B350" t="s">
        <v>4586</v>
      </c>
      <c r="C350" t="s">
        <v>4587</v>
      </c>
      <c r="D350">
        <v>100</v>
      </c>
      <c r="E350" t="s">
        <v>17</v>
      </c>
      <c r="J350" t="s">
        <v>5174</v>
      </c>
      <c r="L350" t="s">
        <v>2084</v>
      </c>
    </row>
    <row r="351" spans="1:13">
      <c r="A351" t="s">
        <v>5172</v>
      </c>
      <c r="B351" t="s">
        <v>4676</v>
      </c>
      <c r="C351" t="s">
        <v>4587</v>
      </c>
      <c r="D351">
        <v>30</v>
      </c>
      <c r="E351" t="s">
        <v>17</v>
      </c>
      <c r="I351" t="s">
        <v>5155</v>
      </c>
      <c r="J351" t="s">
        <v>5175</v>
      </c>
      <c r="L351" t="s">
        <v>2084</v>
      </c>
    </row>
    <row r="352" spans="1:13">
      <c r="A352" t="s">
        <v>5172</v>
      </c>
      <c r="B352" t="s">
        <v>5176</v>
      </c>
      <c r="C352" t="s">
        <v>4587</v>
      </c>
      <c r="D352">
        <v>45</v>
      </c>
      <c r="E352" t="s">
        <v>17</v>
      </c>
      <c r="J352" t="s">
        <v>5177</v>
      </c>
      <c r="L352" t="s">
        <v>2084</v>
      </c>
    </row>
    <row r="353" spans="1:13">
      <c r="A353" t="s">
        <v>5172</v>
      </c>
      <c r="B353" t="s">
        <v>5178</v>
      </c>
      <c r="C353" t="s">
        <v>4637</v>
      </c>
      <c r="E353" t="s">
        <v>17</v>
      </c>
      <c r="F353" t="s">
        <v>5179</v>
      </c>
      <c r="J353" t="s">
        <v>5180</v>
      </c>
      <c r="L353" t="s">
        <v>2084</v>
      </c>
    </row>
    <row r="354" spans="1:13">
      <c r="A354" t="s">
        <v>5172</v>
      </c>
      <c r="B354" t="s">
        <v>5181</v>
      </c>
      <c r="C354" t="s">
        <v>4587</v>
      </c>
      <c r="D354">
        <v>50</v>
      </c>
      <c r="E354" t="s">
        <v>26</v>
      </c>
      <c r="I354" t="s">
        <v>5153</v>
      </c>
      <c r="J354" t="s">
        <v>5182</v>
      </c>
      <c r="L354" t="s">
        <v>2084</v>
      </c>
    </row>
    <row r="355" spans="1:13">
      <c r="A355" t="s">
        <v>5172</v>
      </c>
      <c r="B355" t="s">
        <v>5183</v>
      </c>
      <c r="C355" t="s">
        <v>4587</v>
      </c>
      <c r="D355">
        <v>30</v>
      </c>
      <c r="E355" t="s">
        <v>26</v>
      </c>
      <c r="J355" t="s">
        <v>5184</v>
      </c>
      <c r="L355" t="s">
        <v>2084</v>
      </c>
    </row>
    <row r="356" spans="1:13">
      <c r="A356" t="s">
        <v>5172</v>
      </c>
      <c r="B356" t="s">
        <v>4596</v>
      </c>
      <c r="C356" t="s">
        <v>4587</v>
      </c>
      <c r="D356">
        <v>20</v>
      </c>
      <c r="E356" t="s">
        <v>17</v>
      </c>
      <c r="F356" t="s">
        <v>5185</v>
      </c>
      <c r="I356" t="s">
        <v>5155</v>
      </c>
      <c r="J356" t="s">
        <v>5186</v>
      </c>
      <c r="L356" t="s">
        <v>2084</v>
      </c>
    </row>
    <row r="357" spans="1:13">
      <c r="A357" t="s">
        <v>5172</v>
      </c>
      <c r="B357" t="s">
        <v>5187</v>
      </c>
      <c r="C357" t="s">
        <v>5166</v>
      </c>
      <c r="E357" t="s">
        <v>26</v>
      </c>
      <c r="J357" t="s">
        <v>5188</v>
      </c>
      <c r="L357" t="s">
        <v>2084</v>
      </c>
    </row>
    <row r="358" spans="1:13">
      <c r="A358" t="s">
        <v>5172</v>
      </c>
      <c r="B358" t="s">
        <v>4621</v>
      </c>
      <c r="C358" t="s">
        <v>4637</v>
      </c>
      <c r="E358" t="s">
        <v>17</v>
      </c>
      <c r="H358" t="s">
        <v>4926</v>
      </c>
      <c r="I358" t="s">
        <v>5155</v>
      </c>
      <c r="J358" t="s">
        <v>5168</v>
      </c>
      <c r="L358" t="s">
        <v>2084</v>
      </c>
    </row>
    <row r="359" spans="1:13">
      <c r="A359" t="s">
        <v>5172</v>
      </c>
      <c r="B359" t="s">
        <v>4599</v>
      </c>
      <c r="C359" t="s">
        <v>5166</v>
      </c>
      <c r="E359" t="s">
        <v>17</v>
      </c>
      <c r="F359" t="s">
        <v>5169</v>
      </c>
      <c r="J359" t="s">
        <v>5170</v>
      </c>
      <c r="L359" t="s">
        <v>2084</v>
      </c>
    </row>
    <row r="360" spans="1:13">
      <c r="A360" t="s">
        <v>5172</v>
      </c>
      <c r="B360" t="s">
        <v>4603</v>
      </c>
      <c r="C360" t="s">
        <v>5166</v>
      </c>
      <c r="E360" t="s">
        <v>17</v>
      </c>
      <c r="F360" t="s">
        <v>5169</v>
      </c>
      <c r="J360" t="s">
        <v>5171</v>
      </c>
      <c r="L360" t="s">
        <v>2084</v>
      </c>
    </row>
    <row r="361" spans="1:13">
      <c r="A361" t="s">
        <v>5189</v>
      </c>
      <c r="B361" t="s">
        <v>4583</v>
      </c>
      <c r="C361" t="s">
        <v>5147</v>
      </c>
      <c r="E361" t="s">
        <v>17</v>
      </c>
      <c r="F361" t="s">
        <v>5148</v>
      </c>
      <c r="G361" t="s">
        <v>26</v>
      </c>
      <c r="J361" t="s">
        <v>5190</v>
      </c>
      <c r="K361" t="s">
        <v>4043</v>
      </c>
      <c r="L361" t="s">
        <v>2084</v>
      </c>
      <c r="M361" t="s">
        <v>5151</v>
      </c>
    </row>
    <row r="362" spans="1:13">
      <c r="A362" t="s">
        <v>5189</v>
      </c>
      <c r="B362" t="s">
        <v>4668</v>
      </c>
      <c r="C362" t="s">
        <v>4637</v>
      </c>
      <c r="E362" t="s">
        <v>26</v>
      </c>
      <c r="H362" t="s">
        <v>4879</v>
      </c>
      <c r="I362" t="s">
        <v>5155</v>
      </c>
      <c r="J362" t="s">
        <v>5191</v>
      </c>
      <c r="L362" t="s">
        <v>2084</v>
      </c>
    </row>
    <row r="363" spans="1:13">
      <c r="A363" t="s">
        <v>5189</v>
      </c>
      <c r="B363" t="s">
        <v>5157</v>
      </c>
      <c r="C363" t="s">
        <v>4587</v>
      </c>
      <c r="D363">
        <v>100</v>
      </c>
      <c r="E363" t="s">
        <v>26</v>
      </c>
      <c r="J363" t="s">
        <v>5192</v>
      </c>
      <c r="L363" t="s">
        <v>2084</v>
      </c>
    </row>
    <row r="364" spans="1:13">
      <c r="A364" t="s">
        <v>5189</v>
      </c>
      <c r="B364" t="s">
        <v>5152</v>
      </c>
      <c r="C364" t="s">
        <v>4587</v>
      </c>
      <c r="D364">
        <v>50</v>
      </c>
      <c r="E364" t="s">
        <v>26</v>
      </c>
      <c r="I364" t="s">
        <v>5155</v>
      </c>
      <c r="J364" t="s">
        <v>5193</v>
      </c>
      <c r="L364" t="s">
        <v>2084</v>
      </c>
    </row>
    <row r="365" spans="1:13">
      <c r="A365" t="s">
        <v>5189</v>
      </c>
      <c r="B365" t="s">
        <v>5194</v>
      </c>
      <c r="C365" t="s">
        <v>4587</v>
      </c>
      <c r="D365">
        <v>50</v>
      </c>
      <c r="E365" t="s">
        <v>17</v>
      </c>
      <c r="J365" t="s">
        <v>5195</v>
      </c>
      <c r="L365" t="s">
        <v>2084</v>
      </c>
    </row>
    <row r="366" spans="1:13">
      <c r="A366" t="s">
        <v>5189</v>
      </c>
      <c r="B366" t="s">
        <v>5196</v>
      </c>
      <c r="C366" t="s">
        <v>4587</v>
      </c>
      <c r="D366">
        <v>10</v>
      </c>
      <c r="E366" t="s">
        <v>17</v>
      </c>
      <c r="F366" t="s">
        <v>5197</v>
      </c>
      <c r="J366" t="s">
        <v>5198</v>
      </c>
      <c r="L366" t="s">
        <v>2084</v>
      </c>
    </row>
    <row r="367" spans="1:13">
      <c r="A367" t="s">
        <v>5189</v>
      </c>
      <c r="B367" t="s">
        <v>5199</v>
      </c>
      <c r="C367" t="s">
        <v>5166</v>
      </c>
      <c r="E367" t="s">
        <v>17</v>
      </c>
      <c r="F367" t="s">
        <v>5169</v>
      </c>
      <c r="I367" t="s">
        <v>5155</v>
      </c>
      <c r="J367" t="s">
        <v>5200</v>
      </c>
      <c r="L367" t="s">
        <v>2084</v>
      </c>
    </row>
    <row r="368" spans="1:13">
      <c r="A368" t="s">
        <v>5189</v>
      </c>
      <c r="B368" t="s">
        <v>5201</v>
      </c>
      <c r="C368" t="s">
        <v>4637</v>
      </c>
      <c r="E368" t="s">
        <v>26</v>
      </c>
      <c r="H368" t="s">
        <v>5202</v>
      </c>
      <c r="J368" t="s">
        <v>5203</v>
      </c>
      <c r="L368" t="s">
        <v>2084</v>
      </c>
    </row>
    <row r="369" spans="1:13">
      <c r="A369" t="s">
        <v>5189</v>
      </c>
      <c r="B369" t="s">
        <v>4621</v>
      </c>
      <c r="C369" t="s">
        <v>4637</v>
      </c>
      <c r="E369" t="s">
        <v>17</v>
      </c>
      <c r="H369" t="s">
        <v>4926</v>
      </c>
      <c r="I369" t="s">
        <v>5155</v>
      </c>
      <c r="J369" t="s">
        <v>5168</v>
      </c>
      <c r="L369" t="s">
        <v>2084</v>
      </c>
    </row>
    <row r="370" spans="1:13">
      <c r="A370" t="s">
        <v>5189</v>
      </c>
      <c r="B370" t="s">
        <v>4599</v>
      </c>
      <c r="C370" t="s">
        <v>5166</v>
      </c>
      <c r="E370" t="s">
        <v>17</v>
      </c>
      <c r="F370" t="s">
        <v>5169</v>
      </c>
      <c r="J370" t="s">
        <v>5170</v>
      </c>
      <c r="L370" t="s">
        <v>2084</v>
      </c>
    </row>
    <row r="371" spans="1:13">
      <c r="A371" t="s">
        <v>5204</v>
      </c>
      <c r="B371" t="s">
        <v>4583</v>
      </c>
      <c r="C371" t="s">
        <v>5147</v>
      </c>
      <c r="E371" t="s">
        <v>17</v>
      </c>
      <c r="G371" t="s">
        <v>26</v>
      </c>
      <c r="I371" t="s">
        <v>26</v>
      </c>
      <c r="J371" t="s">
        <v>4579</v>
      </c>
      <c r="K371" t="s">
        <v>4125</v>
      </c>
      <c r="L371" t="s">
        <v>674</v>
      </c>
      <c r="M371" t="s">
        <v>399</v>
      </c>
    </row>
    <row r="372" spans="1:13">
      <c r="A372" t="s">
        <v>5204</v>
      </c>
      <c r="B372" t="s">
        <v>4120</v>
      </c>
      <c r="C372" t="s">
        <v>5205</v>
      </c>
      <c r="E372" t="s">
        <v>17</v>
      </c>
      <c r="H372" t="s">
        <v>4606</v>
      </c>
      <c r="I372" t="s">
        <v>26</v>
      </c>
      <c r="J372" t="s">
        <v>4672</v>
      </c>
      <c r="K372" t="s">
        <v>4125</v>
      </c>
      <c r="L372" t="s">
        <v>674</v>
      </c>
      <c r="M372" t="s">
        <v>399</v>
      </c>
    </row>
    <row r="373" spans="1:13">
      <c r="A373" t="s">
        <v>5204</v>
      </c>
      <c r="B373" t="s">
        <v>5206</v>
      </c>
      <c r="C373" t="s">
        <v>5205</v>
      </c>
      <c r="E373" t="s">
        <v>17</v>
      </c>
      <c r="H373" t="s">
        <v>4619</v>
      </c>
      <c r="I373" t="s">
        <v>26</v>
      </c>
      <c r="J373" t="s">
        <v>5207</v>
      </c>
      <c r="K373" t="s">
        <v>4125</v>
      </c>
      <c r="L373" t="s">
        <v>674</v>
      </c>
      <c r="M373" t="s">
        <v>399</v>
      </c>
    </row>
    <row r="374" spans="1:13">
      <c r="A374" t="s">
        <v>5204</v>
      </c>
      <c r="B374" t="s">
        <v>5208</v>
      </c>
      <c r="C374" t="s">
        <v>4662</v>
      </c>
      <c r="E374" t="s">
        <v>26</v>
      </c>
      <c r="J374" t="s">
        <v>5209</v>
      </c>
      <c r="K374" t="s">
        <v>4125</v>
      </c>
      <c r="L374" t="s">
        <v>674</v>
      </c>
      <c r="M374" t="s">
        <v>399</v>
      </c>
    </row>
    <row r="375" spans="1:13">
      <c r="A375" t="s">
        <v>5204</v>
      </c>
      <c r="B375" t="s">
        <v>4676</v>
      </c>
      <c r="C375" t="s">
        <v>4662</v>
      </c>
      <c r="E375" t="s">
        <v>17</v>
      </c>
      <c r="J375" t="s">
        <v>5210</v>
      </c>
      <c r="K375" t="s">
        <v>4125</v>
      </c>
      <c r="L375" t="s">
        <v>674</v>
      </c>
      <c r="M375" t="s">
        <v>399</v>
      </c>
    </row>
    <row r="376" spans="1:13">
      <c r="A376" t="s">
        <v>5204</v>
      </c>
      <c r="B376" t="s">
        <v>4968</v>
      </c>
      <c r="C376" t="s">
        <v>4662</v>
      </c>
      <c r="E376" t="s">
        <v>17</v>
      </c>
      <c r="J376" t="s">
        <v>5211</v>
      </c>
      <c r="K376" t="s">
        <v>4125</v>
      </c>
      <c r="L376" t="s">
        <v>674</v>
      </c>
      <c r="M376" t="s">
        <v>399</v>
      </c>
    </row>
    <row r="377" spans="1:13">
      <c r="A377" t="s">
        <v>5204</v>
      </c>
      <c r="B377" t="s">
        <v>5212</v>
      </c>
      <c r="C377" t="s">
        <v>4662</v>
      </c>
      <c r="E377" t="s">
        <v>17</v>
      </c>
      <c r="J377" t="s">
        <v>5213</v>
      </c>
      <c r="K377" t="s">
        <v>4125</v>
      </c>
      <c r="L377" t="s">
        <v>674</v>
      </c>
      <c r="M377" t="s">
        <v>399</v>
      </c>
    </row>
    <row r="378" spans="1:13">
      <c r="A378" t="s">
        <v>5204</v>
      </c>
      <c r="B378" t="s">
        <v>5214</v>
      </c>
      <c r="C378" t="s">
        <v>4662</v>
      </c>
      <c r="E378" t="s">
        <v>26</v>
      </c>
      <c r="J378" t="s">
        <v>5215</v>
      </c>
      <c r="K378" t="s">
        <v>4125</v>
      </c>
      <c r="L378" t="s">
        <v>674</v>
      </c>
      <c r="M378" t="s">
        <v>399</v>
      </c>
    </row>
    <row r="379" spans="1:13">
      <c r="A379" t="s">
        <v>5204</v>
      </c>
      <c r="B379" t="s">
        <v>5216</v>
      </c>
      <c r="C379" t="s">
        <v>5205</v>
      </c>
      <c r="E379" t="s">
        <v>26</v>
      </c>
      <c r="J379" t="s">
        <v>4974</v>
      </c>
      <c r="K379" t="s">
        <v>4125</v>
      </c>
      <c r="L379" t="s">
        <v>674</v>
      </c>
      <c r="M379" t="s">
        <v>399</v>
      </c>
    </row>
    <row r="380" spans="1:13">
      <c r="A380" t="s">
        <v>5204</v>
      </c>
      <c r="B380" t="s">
        <v>5217</v>
      </c>
      <c r="C380" t="s">
        <v>4705</v>
      </c>
      <c r="E380" t="s">
        <v>17</v>
      </c>
      <c r="F380" t="s">
        <v>4706</v>
      </c>
      <c r="J380" t="s">
        <v>5218</v>
      </c>
      <c r="K380" t="s">
        <v>4125</v>
      </c>
      <c r="L380" t="s">
        <v>674</v>
      </c>
      <c r="M380" t="s">
        <v>399</v>
      </c>
    </row>
    <row r="381" spans="1:13">
      <c r="A381" t="s">
        <v>5204</v>
      </c>
      <c r="B381" t="s">
        <v>5219</v>
      </c>
      <c r="C381" t="s">
        <v>5220</v>
      </c>
      <c r="E381" t="s">
        <v>17</v>
      </c>
      <c r="F381" t="s">
        <v>5169</v>
      </c>
      <c r="J381" t="s">
        <v>4602</v>
      </c>
      <c r="K381" t="s">
        <v>4125</v>
      </c>
      <c r="L381" t="s">
        <v>674</v>
      </c>
      <c r="M381" t="s">
        <v>399</v>
      </c>
    </row>
    <row r="382" spans="1:13">
      <c r="A382" t="s">
        <v>5221</v>
      </c>
      <c r="B382" t="s">
        <v>4583</v>
      </c>
      <c r="C382" t="s">
        <v>5147</v>
      </c>
      <c r="E382" t="s">
        <v>17</v>
      </c>
      <c r="G382" t="s">
        <v>26</v>
      </c>
      <c r="I382" t="s">
        <v>26</v>
      </c>
      <c r="J382" t="s">
        <v>4579</v>
      </c>
      <c r="K382" t="s">
        <v>4052</v>
      </c>
      <c r="L382" t="s">
        <v>674</v>
      </c>
      <c r="M382" t="s">
        <v>399</v>
      </c>
    </row>
    <row r="383" spans="1:13">
      <c r="A383" t="s">
        <v>5221</v>
      </c>
      <c r="B383" t="s">
        <v>4120</v>
      </c>
      <c r="C383" t="s">
        <v>5205</v>
      </c>
      <c r="E383" t="s">
        <v>17</v>
      </c>
      <c r="H383" t="s">
        <v>4606</v>
      </c>
      <c r="I383" t="s">
        <v>26</v>
      </c>
      <c r="J383" t="s">
        <v>4672</v>
      </c>
      <c r="K383" t="s">
        <v>4052</v>
      </c>
      <c r="L383" t="s">
        <v>674</v>
      </c>
      <c r="M383" t="s">
        <v>399</v>
      </c>
    </row>
    <row r="384" spans="1:13">
      <c r="A384" t="s">
        <v>5221</v>
      </c>
      <c r="B384" t="s">
        <v>4586</v>
      </c>
      <c r="C384" t="s">
        <v>4662</v>
      </c>
      <c r="E384" t="s">
        <v>17</v>
      </c>
      <c r="J384" t="s">
        <v>4908</v>
      </c>
      <c r="K384" t="s">
        <v>4052</v>
      </c>
      <c r="L384" t="s">
        <v>674</v>
      </c>
      <c r="M384" t="s">
        <v>399</v>
      </c>
    </row>
    <row r="385" spans="1:13">
      <c r="A385" t="s">
        <v>5221</v>
      </c>
      <c r="B385" t="s">
        <v>4676</v>
      </c>
      <c r="C385" t="s">
        <v>4662</v>
      </c>
      <c r="E385" t="s">
        <v>17</v>
      </c>
      <c r="J385" t="s">
        <v>5222</v>
      </c>
      <c r="K385" t="s">
        <v>4052</v>
      </c>
      <c r="L385" t="s">
        <v>674</v>
      </c>
      <c r="M385" t="s">
        <v>399</v>
      </c>
    </row>
    <row r="386" spans="1:13">
      <c r="A386" t="s">
        <v>5221</v>
      </c>
      <c r="B386" t="s">
        <v>5223</v>
      </c>
      <c r="C386" t="s">
        <v>5205</v>
      </c>
      <c r="E386" t="s">
        <v>26</v>
      </c>
      <c r="H386" t="s">
        <v>4766</v>
      </c>
      <c r="I386" t="s">
        <v>26</v>
      </c>
      <c r="J386" t="s">
        <v>5224</v>
      </c>
      <c r="K386" t="s">
        <v>4052</v>
      </c>
      <c r="L386" t="s">
        <v>674</v>
      </c>
      <c r="M386" t="s">
        <v>399</v>
      </c>
    </row>
    <row r="387" spans="1:13">
      <c r="A387" t="s">
        <v>5221</v>
      </c>
      <c r="B387" t="s">
        <v>5225</v>
      </c>
      <c r="C387" t="s">
        <v>4662</v>
      </c>
      <c r="E387" t="s">
        <v>26</v>
      </c>
      <c r="J387" t="s">
        <v>5226</v>
      </c>
      <c r="K387" t="s">
        <v>4052</v>
      </c>
      <c r="L387" t="s">
        <v>674</v>
      </c>
      <c r="M387" t="s">
        <v>399</v>
      </c>
    </row>
    <row r="388" spans="1:13">
      <c r="A388" t="s">
        <v>5221</v>
      </c>
      <c r="B388" t="s">
        <v>4919</v>
      </c>
      <c r="C388" t="s">
        <v>5205</v>
      </c>
      <c r="E388" t="s">
        <v>17</v>
      </c>
      <c r="J388" t="s">
        <v>4921</v>
      </c>
      <c r="K388" t="s">
        <v>4052</v>
      </c>
      <c r="L388" t="s">
        <v>674</v>
      </c>
      <c r="M388" t="s">
        <v>399</v>
      </c>
    </row>
    <row r="389" spans="1:13">
      <c r="A389" t="s">
        <v>5221</v>
      </c>
      <c r="B389" t="s">
        <v>5227</v>
      </c>
      <c r="C389" t="s">
        <v>5205</v>
      </c>
      <c r="E389" t="s">
        <v>17</v>
      </c>
      <c r="J389" t="s">
        <v>5228</v>
      </c>
      <c r="K389" t="s">
        <v>4052</v>
      </c>
      <c r="L389" t="s">
        <v>674</v>
      </c>
      <c r="M389" t="s">
        <v>399</v>
      </c>
    </row>
    <row r="390" spans="1:13">
      <c r="A390" t="s">
        <v>5221</v>
      </c>
      <c r="B390" t="s">
        <v>5229</v>
      </c>
      <c r="C390" t="s">
        <v>4662</v>
      </c>
      <c r="E390" t="s">
        <v>26</v>
      </c>
      <c r="J390" t="s">
        <v>5230</v>
      </c>
      <c r="K390" t="s">
        <v>4052</v>
      </c>
      <c r="L390" t="s">
        <v>674</v>
      </c>
      <c r="M390" t="s">
        <v>399</v>
      </c>
    </row>
    <row r="391" spans="1:13">
      <c r="A391" t="s">
        <v>5221</v>
      </c>
      <c r="B391" t="s">
        <v>5231</v>
      </c>
      <c r="C391" t="s">
        <v>4705</v>
      </c>
      <c r="E391" t="s">
        <v>17</v>
      </c>
      <c r="F391" t="s">
        <v>4764</v>
      </c>
      <c r="J391" t="s">
        <v>5232</v>
      </c>
      <c r="K391" t="s">
        <v>4052</v>
      </c>
      <c r="L391" t="s">
        <v>674</v>
      </c>
      <c r="M391" t="s">
        <v>399</v>
      </c>
    </row>
    <row r="392" spans="1:13">
      <c r="A392" t="s">
        <v>5221</v>
      </c>
      <c r="B392" t="s">
        <v>5219</v>
      </c>
      <c r="C392" t="s">
        <v>5220</v>
      </c>
      <c r="E392" t="s">
        <v>17</v>
      </c>
      <c r="F392" t="s">
        <v>5169</v>
      </c>
      <c r="J392" t="s">
        <v>4602</v>
      </c>
      <c r="K392" t="s">
        <v>4052</v>
      </c>
      <c r="L392" t="s">
        <v>674</v>
      </c>
      <c r="M392" t="s">
        <v>399</v>
      </c>
    </row>
    <row r="393" spans="1:13">
      <c r="A393" t="s">
        <v>5221</v>
      </c>
      <c r="B393" t="s">
        <v>5233</v>
      </c>
      <c r="C393" t="s">
        <v>5220</v>
      </c>
      <c r="E393" t="s">
        <v>17</v>
      </c>
      <c r="F393" t="s">
        <v>5169</v>
      </c>
      <c r="J393" t="s">
        <v>4605</v>
      </c>
      <c r="K393" t="s">
        <v>4052</v>
      </c>
      <c r="L393" t="s">
        <v>674</v>
      </c>
      <c r="M393" t="s">
        <v>399</v>
      </c>
    </row>
    <row r="394" spans="1:13">
      <c r="A394" t="s">
        <v>5234</v>
      </c>
      <c r="B394" t="s">
        <v>4583</v>
      </c>
      <c r="C394" t="s">
        <v>5147</v>
      </c>
      <c r="E394" t="s">
        <v>17</v>
      </c>
      <c r="G394" t="s">
        <v>26</v>
      </c>
      <c r="I394" t="s">
        <v>26</v>
      </c>
      <c r="J394" t="s">
        <v>4579</v>
      </c>
      <c r="K394" t="s">
        <v>4061</v>
      </c>
      <c r="L394" t="s">
        <v>674</v>
      </c>
      <c r="M394" t="s">
        <v>399</v>
      </c>
    </row>
    <row r="395" spans="1:13">
      <c r="A395" t="s">
        <v>5234</v>
      </c>
      <c r="B395" t="s">
        <v>5235</v>
      </c>
      <c r="C395" t="s">
        <v>5205</v>
      </c>
      <c r="E395" t="s">
        <v>17</v>
      </c>
      <c r="H395" t="s">
        <v>5221</v>
      </c>
      <c r="I395" t="s">
        <v>26</v>
      </c>
      <c r="J395" t="s">
        <v>5236</v>
      </c>
      <c r="K395" t="s">
        <v>4061</v>
      </c>
      <c r="L395" t="s">
        <v>674</v>
      </c>
      <c r="M395" t="s">
        <v>399</v>
      </c>
    </row>
    <row r="396" spans="1:13">
      <c r="A396" t="s">
        <v>5234</v>
      </c>
      <c r="B396" t="s">
        <v>4120</v>
      </c>
      <c r="C396" t="s">
        <v>5205</v>
      </c>
      <c r="E396" t="s">
        <v>17</v>
      </c>
      <c r="H396" t="s">
        <v>4606</v>
      </c>
      <c r="I396" t="s">
        <v>26</v>
      </c>
      <c r="J396" t="s">
        <v>4672</v>
      </c>
      <c r="K396" t="s">
        <v>4061</v>
      </c>
      <c r="L396" t="s">
        <v>674</v>
      </c>
      <c r="M396" t="s">
        <v>399</v>
      </c>
    </row>
    <row r="397" spans="1:13">
      <c r="A397" t="s">
        <v>5234</v>
      </c>
      <c r="B397" t="s">
        <v>5223</v>
      </c>
      <c r="C397" t="s">
        <v>5205</v>
      </c>
      <c r="E397" t="s">
        <v>26</v>
      </c>
      <c r="H397" t="s">
        <v>4766</v>
      </c>
      <c r="I397" t="s">
        <v>26</v>
      </c>
      <c r="J397" t="s">
        <v>5224</v>
      </c>
      <c r="K397" t="s">
        <v>4061</v>
      </c>
      <c r="L397" t="s">
        <v>674</v>
      </c>
      <c r="M397" t="s">
        <v>399</v>
      </c>
    </row>
    <row r="398" spans="1:13">
      <c r="A398" t="s">
        <v>5234</v>
      </c>
      <c r="B398" t="s">
        <v>5237</v>
      </c>
      <c r="C398" t="s">
        <v>5220</v>
      </c>
      <c r="E398" t="s">
        <v>17</v>
      </c>
      <c r="J398" t="s">
        <v>5238</v>
      </c>
      <c r="K398" t="s">
        <v>4061</v>
      </c>
      <c r="L398" t="s">
        <v>674</v>
      </c>
      <c r="M398" t="s">
        <v>399</v>
      </c>
    </row>
    <row r="399" spans="1:13">
      <c r="A399" t="s">
        <v>5234</v>
      </c>
      <c r="B399" t="s">
        <v>5239</v>
      </c>
      <c r="C399" t="s">
        <v>5220</v>
      </c>
      <c r="E399" t="s">
        <v>17</v>
      </c>
      <c r="J399" t="s">
        <v>5240</v>
      </c>
      <c r="K399" t="s">
        <v>4061</v>
      </c>
      <c r="L399" t="s">
        <v>674</v>
      </c>
      <c r="M399" t="s">
        <v>399</v>
      </c>
    </row>
    <row r="400" spans="1:13">
      <c r="A400" t="s">
        <v>5234</v>
      </c>
      <c r="B400" t="s">
        <v>5241</v>
      </c>
      <c r="C400" t="s">
        <v>5205</v>
      </c>
      <c r="E400" t="s">
        <v>17</v>
      </c>
      <c r="F400" t="s">
        <v>4638</v>
      </c>
      <c r="J400" t="s">
        <v>5242</v>
      </c>
      <c r="K400" t="s">
        <v>4061</v>
      </c>
      <c r="L400" t="s">
        <v>674</v>
      </c>
      <c r="M400" t="s">
        <v>399</v>
      </c>
    </row>
    <row r="401" spans="1:13">
      <c r="A401" t="s">
        <v>5234</v>
      </c>
      <c r="B401" t="s">
        <v>4919</v>
      </c>
      <c r="C401" t="s">
        <v>5205</v>
      </c>
      <c r="E401" t="s">
        <v>17</v>
      </c>
      <c r="J401" t="s">
        <v>4921</v>
      </c>
      <c r="K401" t="s">
        <v>4061</v>
      </c>
      <c r="L401" t="s">
        <v>674</v>
      </c>
      <c r="M401" t="s">
        <v>399</v>
      </c>
    </row>
    <row r="402" spans="1:13">
      <c r="A402" t="s">
        <v>5234</v>
      </c>
      <c r="B402" t="s">
        <v>4596</v>
      </c>
      <c r="C402" t="s">
        <v>4662</v>
      </c>
      <c r="E402" t="s">
        <v>17</v>
      </c>
      <c r="J402" t="s">
        <v>5243</v>
      </c>
      <c r="K402" t="s">
        <v>4061</v>
      </c>
      <c r="L402" t="s">
        <v>674</v>
      </c>
      <c r="M402" t="s">
        <v>399</v>
      </c>
    </row>
    <row r="403" spans="1:13">
      <c r="A403" t="s">
        <v>5234</v>
      </c>
      <c r="B403" t="s">
        <v>4661</v>
      </c>
      <c r="C403" t="s">
        <v>4662</v>
      </c>
      <c r="E403" t="s">
        <v>26</v>
      </c>
      <c r="J403" t="s">
        <v>4748</v>
      </c>
      <c r="K403" t="s">
        <v>4061</v>
      </c>
      <c r="L403" t="s">
        <v>674</v>
      </c>
      <c r="M403" t="s">
        <v>399</v>
      </c>
    </row>
    <row r="404" spans="1:13">
      <c r="A404" t="s">
        <v>5234</v>
      </c>
      <c r="B404" t="s">
        <v>5219</v>
      </c>
      <c r="C404" t="s">
        <v>5220</v>
      </c>
      <c r="E404" t="s">
        <v>17</v>
      </c>
      <c r="F404" t="s">
        <v>5169</v>
      </c>
      <c r="J404" t="s">
        <v>4602</v>
      </c>
      <c r="K404" t="s">
        <v>4061</v>
      </c>
      <c r="L404" t="s">
        <v>674</v>
      </c>
      <c r="M404" t="s">
        <v>399</v>
      </c>
    </row>
    <row r="405" spans="1:13">
      <c r="A405" t="s">
        <v>5244</v>
      </c>
      <c r="B405" t="s">
        <v>4583</v>
      </c>
      <c r="C405" t="s">
        <v>5147</v>
      </c>
      <c r="E405" t="s">
        <v>17</v>
      </c>
      <c r="G405" t="s">
        <v>26</v>
      </c>
      <c r="I405" t="s">
        <v>26</v>
      </c>
      <c r="J405" t="s">
        <v>4579</v>
      </c>
      <c r="K405" t="s">
        <v>4061</v>
      </c>
      <c r="L405" t="s">
        <v>674</v>
      </c>
      <c r="M405" t="s">
        <v>399</v>
      </c>
    </row>
    <row r="406" spans="1:13">
      <c r="A406" t="s">
        <v>5244</v>
      </c>
      <c r="B406" t="s">
        <v>5245</v>
      </c>
      <c r="C406" t="s">
        <v>5205</v>
      </c>
      <c r="E406" t="s">
        <v>17</v>
      </c>
      <c r="H406" t="s">
        <v>5234</v>
      </c>
      <c r="I406" t="s">
        <v>26</v>
      </c>
      <c r="J406" t="s">
        <v>5246</v>
      </c>
      <c r="K406" t="s">
        <v>4061</v>
      </c>
      <c r="L406" t="s">
        <v>674</v>
      </c>
      <c r="M406" t="s">
        <v>399</v>
      </c>
    </row>
    <row r="407" spans="1:13">
      <c r="A407" t="s">
        <v>5244</v>
      </c>
      <c r="B407" t="s">
        <v>5247</v>
      </c>
      <c r="C407" t="s">
        <v>5205</v>
      </c>
      <c r="E407" t="s">
        <v>17</v>
      </c>
      <c r="H407" t="s">
        <v>4640</v>
      </c>
      <c r="I407" t="s">
        <v>26</v>
      </c>
      <c r="J407" t="s">
        <v>4670</v>
      </c>
      <c r="K407" t="s">
        <v>4061</v>
      </c>
      <c r="L407" t="s">
        <v>674</v>
      </c>
      <c r="M407" t="s">
        <v>399</v>
      </c>
    </row>
    <row r="408" spans="1:13">
      <c r="A408" t="s">
        <v>5244</v>
      </c>
      <c r="B408" t="s">
        <v>5248</v>
      </c>
      <c r="C408" t="s">
        <v>4662</v>
      </c>
      <c r="E408" t="s">
        <v>26</v>
      </c>
      <c r="J408" t="s">
        <v>4644</v>
      </c>
      <c r="K408" t="s">
        <v>4061</v>
      </c>
      <c r="L408" t="s">
        <v>674</v>
      </c>
      <c r="M408" t="s">
        <v>399</v>
      </c>
    </row>
    <row r="409" spans="1:13">
      <c r="A409" t="s">
        <v>5244</v>
      </c>
      <c r="B409" t="s">
        <v>4596</v>
      </c>
      <c r="C409" t="s">
        <v>4662</v>
      </c>
      <c r="E409" t="s">
        <v>17</v>
      </c>
      <c r="J409" t="s">
        <v>5249</v>
      </c>
      <c r="K409" t="s">
        <v>4061</v>
      </c>
      <c r="L409" t="s">
        <v>674</v>
      </c>
      <c r="M409" t="s">
        <v>399</v>
      </c>
    </row>
    <row r="410" spans="1:13">
      <c r="A410" t="s">
        <v>5244</v>
      </c>
      <c r="B410" t="s">
        <v>5250</v>
      </c>
      <c r="C410" t="s">
        <v>5220</v>
      </c>
      <c r="E410" t="s">
        <v>17</v>
      </c>
      <c r="F410" t="s">
        <v>5169</v>
      </c>
      <c r="J410" t="s">
        <v>5251</v>
      </c>
      <c r="K410" t="s">
        <v>4061</v>
      </c>
      <c r="L410" t="s">
        <v>674</v>
      </c>
      <c r="M410" t="s">
        <v>399</v>
      </c>
    </row>
    <row r="411" spans="1:13">
      <c r="A411" t="s">
        <v>5244</v>
      </c>
      <c r="B411" t="s">
        <v>5252</v>
      </c>
      <c r="C411" t="s">
        <v>5220</v>
      </c>
      <c r="E411" t="s">
        <v>26</v>
      </c>
      <c r="J411" t="s">
        <v>5253</v>
      </c>
      <c r="K411" t="s">
        <v>4061</v>
      </c>
      <c r="L411" t="s">
        <v>674</v>
      </c>
      <c r="M411" t="s">
        <v>399</v>
      </c>
    </row>
    <row r="412" spans="1:13">
      <c r="A412" t="s">
        <v>5244</v>
      </c>
      <c r="B412" t="s">
        <v>5254</v>
      </c>
      <c r="C412" t="s">
        <v>5220</v>
      </c>
      <c r="E412" t="s">
        <v>26</v>
      </c>
      <c r="J412" t="s">
        <v>5255</v>
      </c>
      <c r="K412" t="s">
        <v>4061</v>
      </c>
      <c r="L412" t="s">
        <v>674</v>
      </c>
      <c r="M412" t="s">
        <v>399</v>
      </c>
    </row>
    <row r="413" spans="1:13">
      <c r="A413" t="s">
        <v>5244</v>
      </c>
      <c r="B413" t="s">
        <v>5256</v>
      </c>
      <c r="C413" t="s">
        <v>4662</v>
      </c>
      <c r="E413" t="s">
        <v>26</v>
      </c>
      <c r="J413" t="s">
        <v>5257</v>
      </c>
      <c r="K413" t="s">
        <v>4061</v>
      </c>
      <c r="L413" t="s">
        <v>674</v>
      </c>
      <c r="M413" t="s">
        <v>399</v>
      </c>
    </row>
    <row r="414" spans="1:13">
      <c r="A414" t="s">
        <v>5258</v>
      </c>
      <c r="B414" t="s">
        <v>4583</v>
      </c>
      <c r="C414" t="s">
        <v>5147</v>
      </c>
      <c r="E414" t="s">
        <v>17</v>
      </c>
      <c r="G414" t="s">
        <v>26</v>
      </c>
      <c r="I414" t="s">
        <v>26</v>
      </c>
      <c r="J414" t="s">
        <v>4579</v>
      </c>
      <c r="K414" t="s">
        <v>4070</v>
      </c>
      <c r="L414" t="s">
        <v>674</v>
      </c>
      <c r="M414" t="s">
        <v>399</v>
      </c>
    </row>
    <row r="415" spans="1:13">
      <c r="A415" t="s">
        <v>5258</v>
      </c>
      <c r="B415" t="s">
        <v>5247</v>
      </c>
      <c r="C415" t="s">
        <v>5205</v>
      </c>
      <c r="E415" t="s">
        <v>17</v>
      </c>
      <c r="H415" t="s">
        <v>4640</v>
      </c>
      <c r="I415" t="s">
        <v>26</v>
      </c>
      <c r="J415" t="s">
        <v>4670</v>
      </c>
      <c r="K415" t="s">
        <v>4070</v>
      </c>
      <c r="L415" t="s">
        <v>674</v>
      </c>
      <c r="M415" t="s">
        <v>399</v>
      </c>
    </row>
    <row r="416" spans="1:13">
      <c r="A416" t="s">
        <v>5258</v>
      </c>
      <c r="B416" t="s">
        <v>5259</v>
      </c>
      <c r="C416" t="s">
        <v>5205</v>
      </c>
      <c r="E416" t="s">
        <v>17</v>
      </c>
      <c r="H416" t="s">
        <v>4749</v>
      </c>
      <c r="I416" t="s">
        <v>26</v>
      </c>
      <c r="J416" t="s">
        <v>4675</v>
      </c>
      <c r="K416" t="s">
        <v>4070</v>
      </c>
      <c r="L416" t="s">
        <v>674</v>
      </c>
      <c r="M416" t="s">
        <v>399</v>
      </c>
    </row>
    <row r="417" spans="1:13">
      <c r="A417" t="s">
        <v>5258</v>
      </c>
      <c r="B417" t="s">
        <v>5260</v>
      </c>
      <c r="C417" t="s">
        <v>4662</v>
      </c>
      <c r="E417" t="s">
        <v>26</v>
      </c>
      <c r="J417" t="s">
        <v>4717</v>
      </c>
      <c r="K417" t="s">
        <v>4070</v>
      </c>
      <c r="L417" t="s">
        <v>674</v>
      </c>
      <c r="M417" t="s">
        <v>399</v>
      </c>
    </row>
    <row r="418" spans="1:13">
      <c r="A418" t="s">
        <v>5258</v>
      </c>
      <c r="B418" t="s">
        <v>5261</v>
      </c>
      <c r="C418" t="s">
        <v>5205</v>
      </c>
      <c r="E418" t="s">
        <v>17</v>
      </c>
      <c r="J418" t="s">
        <v>5262</v>
      </c>
      <c r="K418" t="s">
        <v>4070</v>
      </c>
      <c r="L418" t="s">
        <v>674</v>
      </c>
      <c r="M418" t="s">
        <v>399</v>
      </c>
    </row>
    <row r="419" spans="1:13">
      <c r="A419" t="s">
        <v>5258</v>
      </c>
      <c r="B419" t="s">
        <v>5263</v>
      </c>
      <c r="C419" t="s">
        <v>5205</v>
      </c>
      <c r="E419" t="s">
        <v>17</v>
      </c>
      <c r="F419" t="s">
        <v>4638</v>
      </c>
      <c r="J419" t="s">
        <v>4855</v>
      </c>
      <c r="K419" t="s">
        <v>4070</v>
      </c>
      <c r="L419" t="s">
        <v>674</v>
      </c>
      <c r="M419" t="s">
        <v>399</v>
      </c>
    </row>
    <row r="420" spans="1:13">
      <c r="A420" t="s">
        <v>5258</v>
      </c>
      <c r="B420" t="s">
        <v>5264</v>
      </c>
      <c r="C420" t="s">
        <v>5004</v>
      </c>
      <c r="E420" t="s">
        <v>26</v>
      </c>
      <c r="J420" t="s">
        <v>4679</v>
      </c>
      <c r="K420" t="s">
        <v>4070</v>
      </c>
      <c r="L420" t="s">
        <v>674</v>
      </c>
      <c r="M420" t="s">
        <v>399</v>
      </c>
    </row>
    <row r="421" spans="1:13">
      <c r="A421" t="s">
        <v>5258</v>
      </c>
      <c r="B421" t="s">
        <v>5265</v>
      </c>
      <c r="C421" t="s">
        <v>5004</v>
      </c>
      <c r="E421" t="s">
        <v>26</v>
      </c>
      <c r="J421" t="s">
        <v>4681</v>
      </c>
      <c r="K421" t="s">
        <v>4070</v>
      </c>
      <c r="L421" t="s">
        <v>674</v>
      </c>
      <c r="M421" t="s">
        <v>399</v>
      </c>
    </row>
    <row r="422" spans="1:13">
      <c r="A422" t="s">
        <v>5258</v>
      </c>
      <c r="B422" t="s">
        <v>4596</v>
      </c>
      <c r="C422" t="s">
        <v>4662</v>
      </c>
      <c r="E422" t="s">
        <v>17</v>
      </c>
      <c r="J422" t="s">
        <v>10</v>
      </c>
      <c r="K422" t="s">
        <v>4070</v>
      </c>
      <c r="L422" t="s">
        <v>674</v>
      </c>
      <c r="M422" t="s">
        <v>399</v>
      </c>
    </row>
    <row r="423" spans="1:13">
      <c r="A423" t="s">
        <v>5258</v>
      </c>
      <c r="B423" t="s">
        <v>5219</v>
      </c>
      <c r="C423" t="s">
        <v>5220</v>
      </c>
      <c r="E423" t="s">
        <v>17</v>
      </c>
      <c r="F423" t="s">
        <v>5169</v>
      </c>
      <c r="J423" t="s">
        <v>4602</v>
      </c>
      <c r="K423" t="s">
        <v>4070</v>
      </c>
      <c r="L423" t="s">
        <v>674</v>
      </c>
      <c r="M423" t="s">
        <v>399</v>
      </c>
    </row>
    <row r="424" spans="1:13">
      <c r="A424" t="s">
        <v>5258</v>
      </c>
      <c r="B424" t="s">
        <v>5233</v>
      </c>
      <c r="C424" t="s">
        <v>5220</v>
      </c>
      <c r="E424" t="s">
        <v>17</v>
      </c>
      <c r="F424" t="s">
        <v>5169</v>
      </c>
      <c r="J424" t="s">
        <v>4605</v>
      </c>
      <c r="K424" t="s">
        <v>4070</v>
      </c>
      <c r="L424" t="s">
        <v>674</v>
      </c>
      <c r="M424" t="s">
        <v>399</v>
      </c>
    </row>
    <row r="425" spans="1:13">
      <c r="A425" t="s">
        <v>5266</v>
      </c>
      <c r="B425" t="s">
        <v>4583</v>
      </c>
      <c r="C425" t="s">
        <v>5147</v>
      </c>
      <c r="E425" t="s">
        <v>17</v>
      </c>
      <c r="G425" t="s">
        <v>26</v>
      </c>
      <c r="I425" t="s">
        <v>26</v>
      </c>
      <c r="J425" t="s">
        <v>4579</v>
      </c>
      <c r="K425" t="s">
        <v>4078</v>
      </c>
      <c r="L425" t="s">
        <v>674</v>
      </c>
      <c r="M425" t="s">
        <v>399</v>
      </c>
    </row>
    <row r="426" spans="1:13">
      <c r="A426" t="s">
        <v>5266</v>
      </c>
      <c r="B426" t="s">
        <v>4120</v>
      </c>
      <c r="C426" t="s">
        <v>5205</v>
      </c>
      <c r="E426" t="s">
        <v>17</v>
      </c>
      <c r="H426" t="s">
        <v>4606</v>
      </c>
      <c r="I426" t="s">
        <v>26</v>
      </c>
      <c r="J426" t="s">
        <v>4672</v>
      </c>
      <c r="K426" t="s">
        <v>4078</v>
      </c>
      <c r="L426" t="s">
        <v>674</v>
      </c>
      <c r="M426" t="s">
        <v>399</v>
      </c>
    </row>
    <row r="427" spans="1:13">
      <c r="A427" t="s">
        <v>5266</v>
      </c>
      <c r="B427" t="s">
        <v>5247</v>
      </c>
      <c r="C427" t="s">
        <v>5205</v>
      </c>
      <c r="E427" t="s">
        <v>17</v>
      </c>
      <c r="H427" t="s">
        <v>4640</v>
      </c>
      <c r="I427" t="s">
        <v>26</v>
      </c>
      <c r="J427" t="s">
        <v>4670</v>
      </c>
      <c r="K427" t="s">
        <v>4078</v>
      </c>
      <c r="L427" t="s">
        <v>674</v>
      </c>
      <c r="M427" t="s">
        <v>399</v>
      </c>
    </row>
    <row r="428" spans="1:13">
      <c r="A428" t="s">
        <v>5266</v>
      </c>
      <c r="B428" t="s">
        <v>5248</v>
      </c>
      <c r="C428" t="s">
        <v>4662</v>
      </c>
      <c r="E428" t="s">
        <v>26</v>
      </c>
      <c r="J428" t="s">
        <v>4644</v>
      </c>
      <c r="K428" t="s">
        <v>4078</v>
      </c>
      <c r="L428" t="s">
        <v>674</v>
      </c>
      <c r="M428" t="s">
        <v>399</v>
      </c>
    </row>
    <row r="429" spans="1:13">
      <c r="A429" t="s">
        <v>5266</v>
      </c>
      <c r="B429" t="s">
        <v>5245</v>
      </c>
      <c r="C429" t="s">
        <v>5205</v>
      </c>
      <c r="E429" t="s">
        <v>26</v>
      </c>
      <c r="H429" t="s">
        <v>5234</v>
      </c>
      <c r="I429" t="s">
        <v>26</v>
      </c>
      <c r="J429" t="s">
        <v>5246</v>
      </c>
      <c r="K429" t="s">
        <v>4078</v>
      </c>
      <c r="L429" t="s">
        <v>674</v>
      </c>
      <c r="M429" t="s">
        <v>399</v>
      </c>
    </row>
    <row r="430" spans="1:13">
      <c r="A430" t="s">
        <v>5266</v>
      </c>
      <c r="B430" t="s">
        <v>4676</v>
      </c>
      <c r="C430" t="s">
        <v>4662</v>
      </c>
      <c r="E430" t="s">
        <v>17</v>
      </c>
      <c r="J430" t="s">
        <v>5267</v>
      </c>
      <c r="K430" t="s">
        <v>4078</v>
      </c>
      <c r="L430" t="s">
        <v>674</v>
      </c>
      <c r="M430" t="s">
        <v>399</v>
      </c>
    </row>
    <row r="431" spans="1:13">
      <c r="A431" t="s">
        <v>5266</v>
      </c>
      <c r="B431" t="s">
        <v>5268</v>
      </c>
      <c r="C431" t="s">
        <v>5205</v>
      </c>
      <c r="E431" t="s">
        <v>17</v>
      </c>
      <c r="J431" t="s">
        <v>5269</v>
      </c>
      <c r="K431" t="s">
        <v>4078</v>
      </c>
      <c r="L431" t="s">
        <v>674</v>
      </c>
      <c r="M431" t="s">
        <v>399</v>
      </c>
    </row>
    <row r="432" spans="1:13">
      <c r="A432" t="s">
        <v>5266</v>
      </c>
      <c r="B432" t="s">
        <v>5057</v>
      </c>
      <c r="C432" t="s">
        <v>4662</v>
      </c>
      <c r="E432" t="s">
        <v>26</v>
      </c>
      <c r="J432" t="s">
        <v>5270</v>
      </c>
      <c r="K432" t="s">
        <v>4078</v>
      </c>
      <c r="L432" t="s">
        <v>674</v>
      </c>
      <c r="M432" t="s">
        <v>399</v>
      </c>
    </row>
    <row r="433" spans="1:13">
      <c r="A433" t="s">
        <v>5266</v>
      </c>
      <c r="B433" t="s">
        <v>5271</v>
      </c>
      <c r="C433" t="s">
        <v>5220</v>
      </c>
      <c r="E433" t="s">
        <v>17</v>
      </c>
      <c r="F433" t="s">
        <v>5169</v>
      </c>
      <c r="J433" t="s">
        <v>5272</v>
      </c>
      <c r="K433" t="s">
        <v>4078</v>
      </c>
      <c r="L433" t="s">
        <v>674</v>
      </c>
      <c r="M433" t="s">
        <v>399</v>
      </c>
    </row>
    <row r="434" spans="1:13">
      <c r="A434" t="s">
        <v>5266</v>
      </c>
      <c r="B434" t="s">
        <v>5273</v>
      </c>
      <c r="C434" t="s">
        <v>5205</v>
      </c>
      <c r="E434" t="s">
        <v>26</v>
      </c>
      <c r="H434" t="s">
        <v>4619</v>
      </c>
      <c r="I434" t="s">
        <v>26</v>
      </c>
      <c r="J434" t="s">
        <v>5274</v>
      </c>
      <c r="K434" t="s">
        <v>4078</v>
      </c>
      <c r="L434" t="s">
        <v>674</v>
      </c>
      <c r="M434" t="s">
        <v>399</v>
      </c>
    </row>
    <row r="435" spans="1:13">
      <c r="A435" t="s">
        <v>5275</v>
      </c>
      <c r="B435" t="s">
        <v>4583</v>
      </c>
      <c r="C435" t="s">
        <v>5147</v>
      </c>
      <c r="E435" t="s">
        <v>17</v>
      </c>
      <c r="G435" t="s">
        <v>26</v>
      </c>
      <c r="I435" t="s">
        <v>26</v>
      </c>
      <c r="J435" t="s">
        <v>4579</v>
      </c>
      <c r="K435" t="s">
        <v>4088</v>
      </c>
      <c r="L435" t="s">
        <v>674</v>
      </c>
      <c r="M435" t="s">
        <v>399</v>
      </c>
    </row>
    <row r="436" spans="1:13">
      <c r="A436" t="s">
        <v>5275</v>
      </c>
      <c r="B436" t="s">
        <v>5276</v>
      </c>
      <c r="C436" t="s">
        <v>5205</v>
      </c>
      <c r="E436" t="s">
        <v>17</v>
      </c>
      <c r="H436" t="s">
        <v>4708</v>
      </c>
      <c r="I436" t="s">
        <v>26</v>
      </c>
      <c r="J436" t="s">
        <v>5277</v>
      </c>
      <c r="K436" t="s">
        <v>4088</v>
      </c>
      <c r="L436" t="s">
        <v>674</v>
      </c>
      <c r="M436" t="s">
        <v>399</v>
      </c>
    </row>
    <row r="437" spans="1:13">
      <c r="A437" t="s">
        <v>5275</v>
      </c>
      <c r="B437" t="s">
        <v>4120</v>
      </c>
      <c r="C437" t="s">
        <v>5205</v>
      </c>
      <c r="E437" t="s">
        <v>17</v>
      </c>
      <c r="H437" t="s">
        <v>4606</v>
      </c>
      <c r="I437" t="s">
        <v>26</v>
      </c>
      <c r="J437" t="s">
        <v>4672</v>
      </c>
      <c r="K437" t="s">
        <v>4088</v>
      </c>
      <c r="L437" t="s">
        <v>674</v>
      </c>
      <c r="M437" t="s">
        <v>399</v>
      </c>
    </row>
    <row r="438" spans="1:13">
      <c r="A438" t="s">
        <v>5275</v>
      </c>
      <c r="B438" t="s">
        <v>5247</v>
      </c>
      <c r="C438" t="s">
        <v>5205</v>
      </c>
      <c r="E438" t="s">
        <v>17</v>
      </c>
      <c r="H438" t="s">
        <v>4640</v>
      </c>
      <c r="I438" t="s">
        <v>26</v>
      </c>
      <c r="J438" t="s">
        <v>4670</v>
      </c>
      <c r="K438" t="s">
        <v>4088</v>
      </c>
      <c r="L438" t="s">
        <v>674</v>
      </c>
      <c r="M438" t="s">
        <v>399</v>
      </c>
    </row>
    <row r="439" spans="1:13">
      <c r="A439" t="s">
        <v>5275</v>
      </c>
      <c r="B439" t="s">
        <v>5248</v>
      </c>
      <c r="C439" t="s">
        <v>4662</v>
      </c>
      <c r="E439" t="s">
        <v>26</v>
      </c>
      <c r="J439" t="s">
        <v>4644</v>
      </c>
      <c r="K439" t="s">
        <v>4088</v>
      </c>
      <c r="L439" t="s">
        <v>674</v>
      </c>
      <c r="M439" t="s">
        <v>399</v>
      </c>
    </row>
    <row r="440" spans="1:13">
      <c r="A440" t="s">
        <v>5275</v>
      </c>
      <c r="B440" t="s">
        <v>5260</v>
      </c>
      <c r="C440" t="s">
        <v>4662</v>
      </c>
      <c r="E440" t="s">
        <v>26</v>
      </c>
      <c r="J440" t="s">
        <v>4717</v>
      </c>
      <c r="K440" t="s">
        <v>4088</v>
      </c>
      <c r="L440" t="s">
        <v>674</v>
      </c>
      <c r="M440" t="s">
        <v>399</v>
      </c>
    </row>
    <row r="441" spans="1:13">
      <c r="A441" t="s">
        <v>5275</v>
      </c>
      <c r="B441" t="s">
        <v>5278</v>
      </c>
      <c r="C441" t="s">
        <v>5279</v>
      </c>
      <c r="E441" t="s">
        <v>17</v>
      </c>
      <c r="J441" t="s">
        <v>5280</v>
      </c>
      <c r="K441" t="s">
        <v>4088</v>
      </c>
      <c r="L441" t="s">
        <v>674</v>
      </c>
      <c r="M441" t="s">
        <v>399</v>
      </c>
    </row>
    <row r="442" spans="1:13">
      <c r="A442" t="s">
        <v>5275</v>
      </c>
      <c r="B442" t="s">
        <v>5281</v>
      </c>
      <c r="C442" t="s">
        <v>4662</v>
      </c>
      <c r="E442" t="s">
        <v>17</v>
      </c>
      <c r="J442" t="s">
        <v>5282</v>
      </c>
      <c r="K442" t="s">
        <v>4088</v>
      </c>
      <c r="L442" t="s">
        <v>674</v>
      </c>
      <c r="M442" t="s">
        <v>399</v>
      </c>
    </row>
    <row r="443" spans="1:13">
      <c r="A443" t="s">
        <v>5275</v>
      </c>
      <c r="B443" t="s">
        <v>5057</v>
      </c>
      <c r="C443" t="s">
        <v>4662</v>
      </c>
      <c r="E443" t="s">
        <v>26</v>
      </c>
      <c r="J443" t="s">
        <v>5283</v>
      </c>
      <c r="K443" t="s">
        <v>4088</v>
      </c>
      <c r="L443" t="s">
        <v>674</v>
      </c>
      <c r="M443" t="s">
        <v>399</v>
      </c>
    </row>
    <row r="444" spans="1:13">
      <c r="A444" t="s">
        <v>5275</v>
      </c>
      <c r="B444" t="s">
        <v>4596</v>
      </c>
      <c r="C444" t="s">
        <v>4662</v>
      </c>
      <c r="E444" t="s">
        <v>17</v>
      </c>
      <c r="J444" t="s">
        <v>5284</v>
      </c>
      <c r="K444" t="s">
        <v>4088</v>
      </c>
      <c r="L444" t="s">
        <v>674</v>
      </c>
      <c r="M444" t="s">
        <v>399</v>
      </c>
    </row>
    <row r="445" spans="1:13">
      <c r="A445" t="s">
        <v>5275</v>
      </c>
      <c r="B445" t="s">
        <v>5285</v>
      </c>
      <c r="C445" t="s">
        <v>5205</v>
      </c>
      <c r="E445" t="s">
        <v>26</v>
      </c>
      <c r="H445" t="s">
        <v>4619</v>
      </c>
      <c r="I445" t="s">
        <v>26</v>
      </c>
      <c r="J445" t="s">
        <v>5274</v>
      </c>
      <c r="K445" t="s">
        <v>4088</v>
      </c>
      <c r="L445" t="s">
        <v>674</v>
      </c>
      <c r="M445" t="s">
        <v>399</v>
      </c>
    </row>
    <row r="446" spans="1:13">
      <c r="A446" t="s">
        <v>5275</v>
      </c>
      <c r="B446" t="s">
        <v>5286</v>
      </c>
      <c r="C446" t="s">
        <v>4662</v>
      </c>
      <c r="E446" t="s">
        <v>26</v>
      </c>
      <c r="J446" t="s">
        <v>5287</v>
      </c>
      <c r="K446" t="s">
        <v>4088</v>
      </c>
      <c r="L446" t="s">
        <v>674</v>
      </c>
      <c r="M446" t="s">
        <v>399</v>
      </c>
    </row>
    <row r="447" spans="1:13">
      <c r="A447" t="s">
        <v>5275</v>
      </c>
      <c r="B447" t="s">
        <v>5288</v>
      </c>
      <c r="C447" t="s">
        <v>5220</v>
      </c>
      <c r="E447" t="s">
        <v>26</v>
      </c>
      <c r="J447" t="s">
        <v>5289</v>
      </c>
      <c r="K447" t="s">
        <v>4088</v>
      </c>
      <c r="L447" t="s">
        <v>674</v>
      </c>
      <c r="M447" t="s">
        <v>399</v>
      </c>
    </row>
    <row r="448" spans="1:13">
      <c r="A448" t="s">
        <v>5275</v>
      </c>
      <c r="B448" t="s">
        <v>5219</v>
      </c>
      <c r="C448" t="s">
        <v>5220</v>
      </c>
      <c r="E448" t="s">
        <v>17</v>
      </c>
      <c r="F448" t="s">
        <v>5169</v>
      </c>
      <c r="J448" t="s">
        <v>4602</v>
      </c>
      <c r="K448" t="s">
        <v>4088</v>
      </c>
      <c r="L448" t="s">
        <v>674</v>
      </c>
      <c r="M448" t="s">
        <v>399</v>
      </c>
    </row>
    <row r="449" spans="1:13">
      <c r="A449" t="s">
        <v>4743</v>
      </c>
      <c r="B449" t="s">
        <v>4583</v>
      </c>
      <c r="C449" t="s">
        <v>5147</v>
      </c>
      <c r="E449" t="s">
        <v>17</v>
      </c>
      <c r="G449" t="s">
        <v>26</v>
      </c>
      <c r="I449" t="s">
        <v>26</v>
      </c>
      <c r="J449" t="s">
        <v>4579</v>
      </c>
      <c r="K449" t="s">
        <v>4097</v>
      </c>
      <c r="L449" t="s">
        <v>674</v>
      </c>
      <c r="M449" t="s">
        <v>399</v>
      </c>
    </row>
    <row r="450" spans="1:13">
      <c r="A450" t="s">
        <v>4743</v>
      </c>
      <c r="B450" t="s">
        <v>5276</v>
      </c>
      <c r="C450" t="s">
        <v>5205</v>
      </c>
      <c r="E450" t="s">
        <v>26</v>
      </c>
      <c r="H450" t="s">
        <v>4708</v>
      </c>
      <c r="I450" t="s">
        <v>26</v>
      </c>
      <c r="J450" t="s">
        <v>5277</v>
      </c>
      <c r="K450" t="s">
        <v>4097</v>
      </c>
      <c r="L450" t="s">
        <v>674</v>
      </c>
      <c r="M450" t="s">
        <v>399</v>
      </c>
    </row>
    <row r="451" spans="1:13">
      <c r="A451" t="s">
        <v>4743</v>
      </c>
      <c r="B451" t="s">
        <v>4120</v>
      </c>
      <c r="C451" t="s">
        <v>5205</v>
      </c>
      <c r="E451" t="s">
        <v>17</v>
      </c>
      <c r="H451" t="s">
        <v>4606</v>
      </c>
      <c r="I451" t="s">
        <v>26</v>
      </c>
      <c r="J451" t="s">
        <v>4672</v>
      </c>
      <c r="K451" t="s">
        <v>4097</v>
      </c>
      <c r="L451" t="s">
        <v>674</v>
      </c>
      <c r="M451" t="s">
        <v>399</v>
      </c>
    </row>
    <row r="452" spans="1:13">
      <c r="A452" t="s">
        <v>4743</v>
      </c>
      <c r="B452" t="s">
        <v>5247</v>
      </c>
      <c r="C452" t="s">
        <v>5205</v>
      </c>
      <c r="E452" t="s">
        <v>17</v>
      </c>
      <c r="H452" t="s">
        <v>4640</v>
      </c>
      <c r="I452" t="s">
        <v>26</v>
      </c>
      <c r="J452" t="s">
        <v>4670</v>
      </c>
      <c r="K452" t="s">
        <v>4097</v>
      </c>
      <c r="L452" t="s">
        <v>674</v>
      </c>
      <c r="M452" t="s">
        <v>399</v>
      </c>
    </row>
    <row r="453" spans="1:13">
      <c r="A453" t="s">
        <v>4743</v>
      </c>
      <c r="B453" t="s">
        <v>5248</v>
      </c>
      <c r="C453" t="s">
        <v>4662</v>
      </c>
      <c r="E453" t="s">
        <v>26</v>
      </c>
      <c r="J453" t="s">
        <v>4644</v>
      </c>
      <c r="K453" t="s">
        <v>4097</v>
      </c>
      <c r="L453" t="s">
        <v>674</v>
      </c>
      <c r="M453" t="s">
        <v>399</v>
      </c>
    </row>
    <row r="454" spans="1:13">
      <c r="A454" t="s">
        <v>4743</v>
      </c>
      <c r="B454" t="s">
        <v>5260</v>
      </c>
      <c r="C454" t="s">
        <v>4662</v>
      </c>
      <c r="E454" t="s">
        <v>26</v>
      </c>
      <c r="J454" t="s">
        <v>4717</v>
      </c>
      <c r="K454" t="s">
        <v>4097</v>
      </c>
      <c r="L454" t="s">
        <v>674</v>
      </c>
      <c r="M454" t="s">
        <v>399</v>
      </c>
    </row>
    <row r="455" spans="1:13">
      <c r="A455" t="s">
        <v>4743</v>
      </c>
      <c r="B455" t="s">
        <v>5290</v>
      </c>
      <c r="C455" t="s">
        <v>5279</v>
      </c>
      <c r="E455" t="s">
        <v>17</v>
      </c>
      <c r="J455" t="s">
        <v>5291</v>
      </c>
      <c r="K455" t="s">
        <v>4097</v>
      </c>
      <c r="L455" t="s">
        <v>674</v>
      </c>
      <c r="M455" t="s">
        <v>399</v>
      </c>
    </row>
    <row r="456" spans="1:13">
      <c r="A456" t="s">
        <v>4743</v>
      </c>
      <c r="B456" t="s">
        <v>5292</v>
      </c>
      <c r="C456" t="s">
        <v>5004</v>
      </c>
      <c r="E456" t="s">
        <v>26</v>
      </c>
      <c r="J456" t="s">
        <v>5293</v>
      </c>
      <c r="K456" t="s">
        <v>4097</v>
      </c>
      <c r="L456" t="s">
        <v>674</v>
      </c>
      <c r="M456" t="s">
        <v>399</v>
      </c>
    </row>
    <row r="457" spans="1:13">
      <c r="A457" t="s">
        <v>4743</v>
      </c>
      <c r="B457" t="s">
        <v>4596</v>
      </c>
      <c r="C457" t="s">
        <v>4662</v>
      </c>
      <c r="E457" t="s">
        <v>17</v>
      </c>
      <c r="J457" t="s">
        <v>5284</v>
      </c>
      <c r="K457" t="s">
        <v>4097</v>
      </c>
      <c r="L457" t="s">
        <v>674</v>
      </c>
      <c r="M457" t="s">
        <v>399</v>
      </c>
    </row>
    <row r="458" spans="1:13">
      <c r="A458" t="s">
        <v>4743</v>
      </c>
      <c r="B458" t="s">
        <v>4661</v>
      </c>
      <c r="C458" t="s">
        <v>4662</v>
      </c>
      <c r="E458" t="s">
        <v>26</v>
      </c>
      <c r="J458" t="s">
        <v>4748</v>
      </c>
      <c r="K458" t="s">
        <v>4097</v>
      </c>
      <c r="L458" t="s">
        <v>674</v>
      </c>
      <c r="M458" t="s">
        <v>399</v>
      </c>
    </row>
    <row r="459" spans="1:13">
      <c r="A459" t="s">
        <v>4743</v>
      </c>
      <c r="B459" t="s">
        <v>5219</v>
      </c>
      <c r="C459" t="s">
        <v>5220</v>
      </c>
      <c r="E459" t="s">
        <v>17</v>
      </c>
      <c r="F459" t="s">
        <v>5169</v>
      </c>
      <c r="J459" t="s">
        <v>4602</v>
      </c>
      <c r="K459" t="s">
        <v>4097</v>
      </c>
      <c r="L459" t="s">
        <v>674</v>
      </c>
      <c r="M459" t="s">
        <v>399</v>
      </c>
    </row>
    <row r="460" spans="1:13">
      <c r="A460" t="s">
        <v>4743</v>
      </c>
      <c r="B460" t="s">
        <v>5233</v>
      </c>
      <c r="C460" t="s">
        <v>5220</v>
      </c>
      <c r="E460" t="s">
        <v>17</v>
      </c>
      <c r="F460" t="s">
        <v>5169</v>
      </c>
      <c r="J460" t="s">
        <v>4605</v>
      </c>
      <c r="K460" t="s">
        <v>4097</v>
      </c>
      <c r="L460" t="s">
        <v>674</v>
      </c>
      <c r="M460" t="s">
        <v>399</v>
      </c>
    </row>
    <row r="461" spans="1:13">
      <c r="A461" t="s">
        <v>5294</v>
      </c>
      <c r="B461" t="s">
        <v>4583</v>
      </c>
      <c r="C461" t="s">
        <v>5147</v>
      </c>
      <c r="E461" t="s">
        <v>17</v>
      </c>
      <c r="G461" t="s">
        <v>26</v>
      </c>
      <c r="I461" t="s">
        <v>26</v>
      </c>
      <c r="J461" t="s">
        <v>4579</v>
      </c>
      <c r="K461" t="s">
        <v>4125</v>
      </c>
      <c r="L461" t="s">
        <v>674</v>
      </c>
      <c r="M461" t="s">
        <v>399</v>
      </c>
    </row>
    <row r="462" spans="1:13">
      <c r="A462" t="s">
        <v>5294</v>
      </c>
      <c r="B462" t="s">
        <v>4120</v>
      </c>
      <c r="C462" t="s">
        <v>5205</v>
      </c>
      <c r="E462" t="s">
        <v>17</v>
      </c>
      <c r="H462" t="s">
        <v>4606</v>
      </c>
      <c r="I462" t="s">
        <v>26</v>
      </c>
      <c r="J462" t="s">
        <v>4672</v>
      </c>
      <c r="K462" t="s">
        <v>4125</v>
      </c>
      <c r="L462" t="s">
        <v>674</v>
      </c>
      <c r="M462" t="s">
        <v>399</v>
      </c>
    </row>
    <row r="463" spans="1:13">
      <c r="A463" t="s">
        <v>5294</v>
      </c>
      <c r="B463" t="s">
        <v>5247</v>
      </c>
      <c r="C463" t="s">
        <v>5205</v>
      </c>
      <c r="E463" t="s">
        <v>17</v>
      </c>
      <c r="H463" t="s">
        <v>4640</v>
      </c>
      <c r="I463" t="s">
        <v>26</v>
      </c>
      <c r="J463" t="s">
        <v>4670</v>
      </c>
      <c r="K463" t="s">
        <v>4125</v>
      </c>
      <c r="L463" t="s">
        <v>674</v>
      </c>
      <c r="M463" t="s">
        <v>399</v>
      </c>
    </row>
    <row r="464" spans="1:13">
      <c r="A464" t="s">
        <v>5294</v>
      </c>
      <c r="B464" t="s">
        <v>5248</v>
      </c>
      <c r="C464" t="s">
        <v>4662</v>
      </c>
      <c r="E464" t="s">
        <v>26</v>
      </c>
      <c r="J464" t="s">
        <v>4644</v>
      </c>
      <c r="K464" t="s">
        <v>4125</v>
      </c>
      <c r="L464" t="s">
        <v>674</v>
      </c>
      <c r="M464" t="s">
        <v>399</v>
      </c>
    </row>
    <row r="465" spans="1:13">
      <c r="A465" t="s">
        <v>5294</v>
      </c>
      <c r="B465" t="s">
        <v>5295</v>
      </c>
      <c r="C465" t="s">
        <v>5220</v>
      </c>
      <c r="E465" t="s">
        <v>17</v>
      </c>
      <c r="F465" t="s">
        <v>5169</v>
      </c>
      <c r="J465" t="s">
        <v>5296</v>
      </c>
      <c r="K465" t="s">
        <v>4125</v>
      </c>
      <c r="L465" t="s">
        <v>674</v>
      </c>
      <c r="M465" t="s">
        <v>399</v>
      </c>
    </row>
    <row r="466" spans="1:13">
      <c r="A466" t="s">
        <v>5294</v>
      </c>
      <c r="B466" t="s">
        <v>5297</v>
      </c>
      <c r="C466" t="s">
        <v>5220</v>
      </c>
      <c r="E466" t="s">
        <v>26</v>
      </c>
      <c r="J466" t="s">
        <v>5298</v>
      </c>
      <c r="K466" t="s">
        <v>4125</v>
      </c>
      <c r="L466" t="s">
        <v>674</v>
      </c>
      <c r="M466" t="s">
        <v>399</v>
      </c>
    </row>
    <row r="467" spans="1:13">
      <c r="A467" t="s">
        <v>5294</v>
      </c>
      <c r="B467" t="s">
        <v>5299</v>
      </c>
      <c r="C467" t="s">
        <v>4662</v>
      </c>
      <c r="E467" t="s">
        <v>26</v>
      </c>
      <c r="J467" t="s">
        <v>5300</v>
      </c>
      <c r="K467" t="s">
        <v>4125</v>
      </c>
      <c r="L467" t="s">
        <v>674</v>
      </c>
      <c r="M467" t="s">
        <v>399</v>
      </c>
    </row>
    <row r="468" spans="1:13">
      <c r="A468" t="s">
        <v>5294</v>
      </c>
      <c r="B468" t="s">
        <v>5301</v>
      </c>
      <c r="C468" t="s">
        <v>4662</v>
      </c>
      <c r="E468" t="s">
        <v>26</v>
      </c>
      <c r="J468" t="s">
        <v>5302</v>
      </c>
      <c r="K468" t="s">
        <v>4125</v>
      </c>
      <c r="L468" t="s">
        <v>674</v>
      </c>
      <c r="M468" t="s">
        <v>399</v>
      </c>
    </row>
    <row r="469" spans="1:13">
      <c r="A469" t="s">
        <v>5303</v>
      </c>
      <c r="B469" t="s">
        <v>4583</v>
      </c>
      <c r="C469" t="s">
        <v>5147</v>
      </c>
      <c r="E469" t="s">
        <v>17</v>
      </c>
      <c r="G469" t="s">
        <v>26</v>
      </c>
      <c r="I469" t="s">
        <v>26</v>
      </c>
      <c r="J469" t="s">
        <v>4579</v>
      </c>
      <c r="K469" t="s">
        <v>4115</v>
      </c>
      <c r="L469" t="s">
        <v>674</v>
      </c>
      <c r="M469" t="s">
        <v>399</v>
      </c>
    </row>
    <row r="470" spans="1:13">
      <c r="A470" t="s">
        <v>5303</v>
      </c>
      <c r="B470" t="s">
        <v>4120</v>
      </c>
      <c r="C470" t="s">
        <v>5205</v>
      </c>
      <c r="E470" t="s">
        <v>17</v>
      </c>
      <c r="H470" t="s">
        <v>4606</v>
      </c>
      <c r="I470" t="s">
        <v>26</v>
      </c>
      <c r="J470" t="s">
        <v>4672</v>
      </c>
      <c r="K470" t="s">
        <v>4115</v>
      </c>
      <c r="L470" t="s">
        <v>674</v>
      </c>
      <c r="M470" t="s">
        <v>399</v>
      </c>
    </row>
    <row r="471" spans="1:13">
      <c r="A471" t="s">
        <v>5303</v>
      </c>
      <c r="B471" t="s">
        <v>4801</v>
      </c>
      <c r="C471" t="s">
        <v>4662</v>
      </c>
      <c r="E471" t="s">
        <v>17</v>
      </c>
      <c r="J471" t="s">
        <v>5304</v>
      </c>
      <c r="K471" t="s">
        <v>4115</v>
      </c>
      <c r="L471" t="s">
        <v>674</v>
      </c>
      <c r="M471" t="s">
        <v>399</v>
      </c>
    </row>
    <row r="472" spans="1:13">
      <c r="A472" t="s">
        <v>5303</v>
      </c>
      <c r="B472" t="s">
        <v>5305</v>
      </c>
      <c r="C472" t="s">
        <v>4662</v>
      </c>
      <c r="E472" t="s">
        <v>17</v>
      </c>
      <c r="J472" t="s">
        <v>431</v>
      </c>
      <c r="K472" t="s">
        <v>4115</v>
      </c>
      <c r="L472" t="s">
        <v>674</v>
      </c>
      <c r="M472" t="s">
        <v>399</v>
      </c>
    </row>
    <row r="473" spans="1:13">
      <c r="A473" t="s">
        <v>5303</v>
      </c>
      <c r="B473" t="s">
        <v>4676</v>
      </c>
      <c r="C473" t="s">
        <v>4662</v>
      </c>
      <c r="E473" t="s">
        <v>17</v>
      </c>
      <c r="J473" t="s">
        <v>5306</v>
      </c>
      <c r="K473" t="s">
        <v>4115</v>
      </c>
      <c r="L473" t="s">
        <v>674</v>
      </c>
      <c r="M473" t="s">
        <v>399</v>
      </c>
    </row>
    <row r="474" spans="1:13">
      <c r="A474" t="s">
        <v>5303</v>
      </c>
      <c r="B474" t="s">
        <v>4596</v>
      </c>
      <c r="C474" t="s">
        <v>4662</v>
      </c>
      <c r="E474" t="s">
        <v>17</v>
      </c>
      <c r="J474" t="s">
        <v>10</v>
      </c>
      <c r="K474" t="s">
        <v>4115</v>
      </c>
      <c r="L474" t="s">
        <v>674</v>
      </c>
      <c r="M474" t="s">
        <v>399</v>
      </c>
    </row>
    <row r="475" spans="1:13">
      <c r="A475" t="s">
        <v>5303</v>
      </c>
      <c r="B475" t="s">
        <v>5247</v>
      </c>
      <c r="C475" t="s">
        <v>5205</v>
      </c>
      <c r="E475" t="s">
        <v>26</v>
      </c>
      <c r="H475" t="s">
        <v>4640</v>
      </c>
      <c r="I475" t="s">
        <v>26</v>
      </c>
      <c r="J475" t="s">
        <v>5307</v>
      </c>
      <c r="K475" t="s">
        <v>4115</v>
      </c>
      <c r="L475" t="s">
        <v>674</v>
      </c>
      <c r="M475" t="s">
        <v>399</v>
      </c>
    </row>
    <row r="476" spans="1:13">
      <c r="A476" t="s">
        <v>5303</v>
      </c>
      <c r="B476" t="s">
        <v>5248</v>
      </c>
      <c r="C476" t="s">
        <v>4662</v>
      </c>
      <c r="E476" t="s">
        <v>26</v>
      </c>
      <c r="J476" t="s">
        <v>5308</v>
      </c>
      <c r="K476" t="s">
        <v>4115</v>
      </c>
      <c r="L476" t="s">
        <v>674</v>
      </c>
      <c r="M476" t="s">
        <v>399</v>
      </c>
    </row>
    <row r="477" spans="1:13">
      <c r="A477" t="s">
        <v>5303</v>
      </c>
      <c r="B477" t="s">
        <v>5309</v>
      </c>
      <c r="C477" t="s">
        <v>5220</v>
      </c>
      <c r="E477" t="s">
        <v>26</v>
      </c>
      <c r="J477" t="s">
        <v>5310</v>
      </c>
      <c r="K477" t="s">
        <v>4115</v>
      </c>
      <c r="L477" t="s">
        <v>674</v>
      </c>
      <c r="M477" t="s">
        <v>399</v>
      </c>
    </row>
    <row r="478" spans="1:13">
      <c r="A478" t="s">
        <v>5303</v>
      </c>
      <c r="B478" t="s">
        <v>5311</v>
      </c>
      <c r="C478" t="s">
        <v>5004</v>
      </c>
      <c r="E478" t="s">
        <v>26</v>
      </c>
      <c r="J478" t="s">
        <v>5312</v>
      </c>
      <c r="K478" t="s">
        <v>4115</v>
      </c>
      <c r="L478" t="s">
        <v>674</v>
      </c>
      <c r="M478" t="s">
        <v>399</v>
      </c>
    </row>
    <row r="479" spans="1:13">
      <c r="A479" t="s">
        <v>5303</v>
      </c>
      <c r="B479" t="s">
        <v>4661</v>
      </c>
      <c r="C479" t="s">
        <v>4662</v>
      </c>
      <c r="E479" t="s">
        <v>26</v>
      </c>
      <c r="J479" t="s">
        <v>4748</v>
      </c>
      <c r="K479" t="s">
        <v>4115</v>
      </c>
      <c r="L479" t="s">
        <v>674</v>
      </c>
      <c r="M479" t="s">
        <v>399</v>
      </c>
    </row>
    <row r="480" spans="1:13">
      <c r="A480" t="s">
        <v>5303</v>
      </c>
      <c r="B480" t="s">
        <v>5219</v>
      </c>
      <c r="C480" t="s">
        <v>5220</v>
      </c>
      <c r="E480" t="s">
        <v>17</v>
      </c>
      <c r="F480" t="s">
        <v>5169</v>
      </c>
      <c r="J480" t="s">
        <v>4602</v>
      </c>
      <c r="K480" t="s">
        <v>4115</v>
      </c>
      <c r="L480" t="s">
        <v>674</v>
      </c>
      <c r="M480" t="s">
        <v>399</v>
      </c>
    </row>
    <row r="481" spans="1:13">
      <c r="A481" t="s">
        <v>5303</v>
      </c>
      <c r="B481" t="s">
        <v>5233</v>
      </c>
      <c r="C481" t="s">
        <v>5220</v>
      </c>
      <c r="E481" t="s">
        <v>17</v>
      </c>
      <c r="F481" t="s">
        <v>5169</v>
      </c>
      <c r="J481" t="s">
        <v>4605</v>
      </c>
      <c r="K481" t="s">
        <v>4115</v>
      </c>
      <c r="L481" t="s">
        <v>674</v>
      </c>
      <c r="M481" t="s">
        <v>399</v>
      </c>
    </row>
    <row r="482" spans="1:13">
      <c r="A482" t="s">
        <v>5313</v>
      </c>
      <c r="B482" t="s">
        <v>4583</v>
      </c>
      <c r="C482" t="s">
        <v>5147</v>
      </c>
      <c r="E482" t="s">
        <v>17</v>
      </c>
      <c r="G482" t="s">
        <v>26</v>
      </c>
      <c r="I482" t="s">
        <v>26</v>
      </c>
      <c r="J482" t="s">
        <v>4579</v>
      </c>
      <c r="K482" t="s">
        <v>4135</v>
      </c>
      <c r="L482" t="s">
        <v>674</v>
      </c>
      <c r="M482" t="s">
        <v>399</v>
      </c>
    </row>
    <row r="483" spans="1:13">
      <c r="A483" t="s">
        <v>5313</v>
      </c>
      <c r="B483" t="s">
        <v>5247</v>
      </c>
      <c r="C483" t="s">
        <v>5205</v>
      </c>
      <c r="E483" t="s">
        <v>17</v>
      </c>
      <c r="H483" t="s">
        <v>4640</v>
      </c>
      <c r="I483" t="s">
        <v>26</v>
      </c>
      <c r="J483" t="s">
        <v>4670</v>
      </c>
      <c r="K483" t="s">
        <v>4135</v>
      </c>
      <c r="L483" t="s">
        <v>674</v>
      </c>
      <c r="M483" t="s">
        <v>399</v>
      </c>
    </row>
    <row r="484" spans="1:13">
      <c r="A484" t="s">
        <v>5313</v>
      </c>
      <c r="B484" t="s">
        <v>5259</v>
      </c>
      <c r="C484" t="s">
        <v>5205</v>
      </c>
      <c r="E484" t="s">
        <v>17</v>
      </c>
      <c r="H484" t="s">
        <v>4749</v>
      </c>
      <c r="I484" t="s">
        <v>26</v>
      </c>
      <c r="J484" t="s">
        <v>4675</v>
      </c>
      <c r="K484" t="s">
        <v>4135</v>
      </c>
      <c r="L484" t="s">
        <v>674</v>
      </c>
      <c r="M484" t="s">
        <v>399</v>
      </c>
    </row>
    <row r="485" spans="1:13">
      <c r="A485" t="s">
        <v>5313</v>
      </c>
      <c r="B485" t="s">
        <v>5260</v>
      </c>
      <c r="C485" t="s">
        <v>4662</v>
      </c>
      <c r="E485" t="s">
        <v>26</v>
      </c>
      <c r="J485" t="s">
        <v>4717</v>
      </c>
      <c r="K485" t="s">
        <v>4135</v>
      </c>
      <c r="L485" t="s">
        <v>674</v>
      </c>
      <c r="M485" t="s">
        <v>399</v>
      </c>
    </row>
    <row r="486" spans="1:13">
      <c r="A486" t="s">
        <v>5313</v>
      </c>
      <c r="B486" t="s">
        <v>5264</v>
      </c>
      <c r="C486" t="s">
        <v>5004</v>
      </c>
      <c r="E486" t="s">
        <v>17</v>
      </c>
      <c r="J486" t="s">
        <v>5314</v>
      </c>
      <c r="K486" t="s">
        <v>4135</v>
      </c>
      <c r="L486" t="s">
        <v>674</v>
      </c>
      <c r="M486" t="s">
        <v>399</v>
      </c>
    </row>
    <row r="487" spans="1:13">
      <c r="A487" t="s">
        <v>5313</v>
      </c>
      <c r="B487" t="s">
        <v>5265</v>
      </c>
      <c r="C487" t="s">
        <v>5004</v>
      </c>
      <c r="E487" t="s">
        <v>17</v>
      </c>
      <c r="J487" t="s">
        <v>5315</v>
      </c>
      <c r="K487" t="s">
        <v>4135</v>
      </c>
      <c r="L487" t="s">
        <v>674</v>
      </c>
      <c r="M487" t="s">
        <v>399</v>
      </c>
    </row>
    <row r="488" spans="1:13">
      <c r="A488" t="s">
        <v>5313</v>
      </c>
      <c r="B488" t="s">
        <v>5057</v>
      </c>
      <c r="C488" t="s">
        <v>4662</v>
      </c>
      <c r="E488" t="s">
        <v>26</v>
      </c>
      <c r="J488" t="s">
        <v>5316</v>
      </c>
      <c r="K488" t="s">
        <v>4135</v>
      </c>
      <c r="L488" t="s">
        <v>674</v>
      </c>
      <c r="M488" t="s">
        <v>399</v>
      </c>
    </row>
    <row r="489" spans="1:13">
      <c r="A489" t="s">
        <v>5313</v>
      </c>
      <c r="B489" t="s">
        <v>4596</v>
      </c>
      <c r="C489" t="s">
        <v>4662</v>
      </c>
      <c r="E489" t="s">
        <v>17</v>
      </c>
      <c r="J489" t="s">
        <v>5284</v>
      </c>
      <c r="K489" t="s">
        <v>4135</v>
      </c>
      <c r="L489" t="s">
        <v>674</v>
      </c>
      <c r="M489" t="s">
        <v>399</v>
      </c>
    </row>
    <row r="490" spans="1:13">
      <c r="A490" t="s">
        <v>5313</v>
      </c>
      <c r="B490" t="s">
        <v>5317</v>
      </c>
      <c r="C490" t="s">
        <v>5205</v>
      </c>
      <c r="E490" t="s">
        <v>26</v>
      </c>
      <c r="H490" t="s">
        <v>4619</v>
      </c>
      <c r="I490" t="s">
        <v>26</v>
      </c>
      <c r="J490" t="s">
        <v>5274</v>
      </c>
      <c r="K490" t="s">
        <v>4135</v>
      </c>
      <c r="L490" t="s">
        <v>674</v>
      </c>
      <c r="M490" t="s">
        <v>399</v>
      </c>
    </row>
    <row r="491" spans="1:13">
      <c r="A491" t="s">
        <v>5313</v>
      </c>
      <c r="B491" t="s">
        <v>5318</v>
      </c>
      <c r="C491" t="s">
        <v>4662</v>
      </c>
      <c r="E491" t="s">
        <v>26</v>
      </c>
      <c r="J491" t="s">
        <v>5287</v>
      </c>
      <c r="K491" t="s">
        <v>4135</v>
      </c>
      <c r="L491" t="s">
        <v>674</v>
      </c>
      <c r="M491" t="s">
        <v>399</v>
      </c>
    </row>
    <row r="492" spans="1:13">
      <c r="A492" t="s">
        <v>5313</v>
      </c>
      <c r="B492" t="s">
        <v>5219</v>
      </c>
      <c r="C492" t="s">
        <v>5220</v>
      </c>
      <c r="E492" t="s">
        <v>17</v>
      </c>
      <c r="F492" t="s">
        <v>5169</v>
      </c>
      <c r="J492" t="s">
        <v>4602</v>
      </c>
      <c r="K492" t="s">
        <v>4135</v>
      </c>
      <c r="L492" t="s">
        <v>674</v>
      </c>
      <c r="M492" t="s">
        <v>399</v>
      </c>
    </row>
    <row r="493" spans="1:13">
      <c r="A493" t="s">
        <v>5319</v>
      </c>
      <c r="B493" t="s">
        <v>4583</v>
      </c>
      <c r="C493" t="s">
        <v>5147</v>
      </c>
      <c r="E493" t="s">
        <v>17</v>
      </c>
      <c r="G493" t="s">
        <v>26</v>
      </c>
      <c r="I493" t="s">
        <v>26</v>
      </c>
      <c r="J493" t="s">
        <v>4579</v>
      </c>
      <c r="K493" t="s">
        <v>4135</v>
      </c>
      <c r="L493" t="s">
        <v>674</v>
      </c>
      <c r="M493" t="s">
        <v>399</v>
      </c>
    </row>
    <row r="494" spans="1:13">
      <c r="A494" t="s">
        <v>5319</v>
      </c>
      <c r="B494" t="s">
        <v>5247</v>
      </c>
      <c r="C494" t="s">
        <v>5205</v>
      </c>
      <c r="E494" t="s">
        <v>17</v>
      </c>
      <c r="H494" t="s">
        <v>4640</v>
      </c>
      <c r="I494" t="s">
        <v>26</v>
      </c>
      <c r="J494" t="s">
        <v>4670</v>
      </c>
      <c r="K494" t="s">
        <v>4135</v>
      </c>
      <c r="L494" t="s">
        <v>674</v>
      </c>
      <c r="M494" t="s">
        <v>399</v>
      </c>
    </row>
    <row r="495" spans="1:13">
      <c r="A495" t="s">
        <v>5319</v>
      </c>
      <c r="B495" t="s">
        <v>5259</v>
      </c>
      <c r="C495" t="s">
        <v>5205</v>
      </c>
      <c r="E495" t="s">
        <v>17</v>
      </c>
      <c r="H495" t="s">
        <v>4749</v>
      </c>
      <c r="I495" t="s">
        <v>26</v>
      </c>
      <c r="J495" t="s">
        <v>4675</v>
      </c>
      <c r="K495" t="s">
        <v>4135</v>
      </c>
      <c r="L495" t="s">
        <v>674</v>
      </c>
      <c r="M495" t="s">
        <v>399</v>
      </c>
    </row>
    <row r="496" spans="1:13">
      <c r="A496" t="s">
        <v>5319</v>
      </c>
      <c r="B496" t="s">
        <v>5260</v>
      </c>
      <c r="C496" t="s">
        <v>4662</v>
      </c>
      <c r="E496" t="s">
        <v>26</v>
      </c>
      <c r="J496" t="s">
        <v>4717</v>
      </c>
      <c r="K496" t="s">
        <v>4135</v>
      </c>
      <c r="L496" t="s">
        <v>674</v>
      </c>
      <c r="M496" t="s">
        <v>399</v>
      </c>
    </row>
    <row r="497" spans="1:13">
      <c r="A497" t="s">
        <v>5319</v>
      </c>
      <c r="B497" t="s">
        <v>5320</v>
      </c>
      <c r="C497" t="s">
        <v>5205</v>
      </c>
      <c r="E497" t="s">
        <v>17</v>
      </c>
      <c r="J497" t="s">
        <v>5321</v>
      </c>
      <c r="K497" t="s">
        <v>4135</v>
      </c>
      <c r="L497" t="s">
        <v>674</v>
      </c>
      <c r="M497" t="s">
        <v>399</v>
      </c>
    </row>
    <row r="498" spans="1:13">
      <c r="A498" t="s">
        <v>5319</v>
      </c>
      <c r="B498" t="s">
        <v>5322</v>
      </c>
      <c r="C498" t="s">
        <v>5004</v>
      </c>
      <c r="E498" t="s">
        <v>17</v>
      </c>
      <c r="J498" t="s">
        <v>5323</v>
      </c>
      <c r="K498" t="s">
        <v>4135</v>
      </c>
      <c r="L498" t="s">
        <v>674</v>
      </c>
      <c r="M498" t="s">
        <v>399</v>
      </c>
    </row>
    <row r="499" spans="1:13">
      <c r="A499" t="s">
        <v>5319</v>
      </c>
      <c r="B499" t="s">
        <v>5324</v>
      </c>
      <c r="C499" t="s">
        <v>5004</v>
      </c>
      <c r="E499" t="s">
        <v>17</v>
      </c>
      <c r="J499" t="s">
        <v>5325</v>
      </c>
      <c r="K499" t="s">
        <v>4135</v>
      </c>
      <c r="L499" t="s">
        <v>674</v>
      </c>
      <c r="M499" t="s">
        <v>399</v>
      </c>
    </row>
    <row r="500" spans="1:13">
      <c r="A500" t="s">
        <v>5319</v>
      </c>
      <c r="B500" t="s">
        <v>5057</v>
      </c>
      <c r="C500" t="s">
        <v>4662</v>
      </c>
      <c r="E500" t="s">
        <v>26</v>
      </c>
      <c r="J500" t="s">
        <v>5326</v>
      </c>
      <c r="K500" t="s">
        <v>4135</v>
      </c>
      <c r="L500" t="s">
        <v>674</v>
      </c>
      <c r="M500" t="s">
        <v>399</v>
      </c>
    </row>
    <row r="501" spans="1:13">
      <c r="A501" t="s">
        <v>5319</v>
      </c>
      <c r="B501" t="s">
        <v>5317</v>
      </c>
      <c r="C501" t="s">
        <v>5205</v>
      </c>
      <c r="E501" t="s">
        <v>26</v>
      </c>
      <c r="H501" t="s">
        <v>4619</v>
      </c>
      <c r="I501" t="s">
        <v>26</v>
      </c>
      <c r="J501" t="s">
        <v>5274</v>
      </c>
      <c r="K501" t="s">
        <v>4135</v>
      </c>
      <c r="L501" t="s">
        <v>674</v>
      </c>
      <c r="M501" t="s">
        <v>399</v>
      </c>
    </row>
    <row r="502" spans="1:13">
      <c r="A502" t="s">
        <v>5319</v>
      </c>
      <c r="B502" t="s">
        <v>5318</v>
      </c>
      <c r="C502" t="s">
        <v>4662</v>
      </c>
      <c r="E502" t="s">
        <v>26</v>
      </c>
      <c r="J502" t="s">
        <v>5287</v>
      </c>
      <c r="K502" t="s">
        <v>4135</v>
      </c>
      <c r="L502" t="s">
        <v>674</v>
      </c>
      <c r="M502" t="s">
        <v>399</v>
      </c>
    </row>
    <row r="503" spans="1:13">
      <c r="A503" t="s">
        <v>5319</v>
      </c>
      <c r="B503" t="s">
        <v>5219</v>
      </c>
      <c r="C503" t="s">
        <v>5220</v>
      </c>
      <c r="E503" t="s">
        <v>17</v>
      </c>
      <c r="F503" t="s">
        <v>5169</v>
      </c>
      <c r="J503" t="s">
        <v>4602</v>
      </c>
      <c r="K503" t="s">
        <v>4135</v>
      </c>
      <c r="L503" t="s">
        <v>674</v>
      </c>
      <c r="M503" t="s">
        <v>399</v>
      </c>
    </row>
    <row r="504" spans="1:13">
      <c r="A504" t="s">
        <v>5327</v>
      </c>
      <c r="B504" t="s">
        <v>4583</v>
      </c>
      <c r="C504" t="s">
        <v>5147</v>
      </c>
      <c r="E504" t="s">
        <v>17</v>
      </c>
      <c r="G504" t="s">
        <v>26</v>
      </c>
      <c r="I504" t="s">
        <v>26</v>
      </c>
      <c r="J504" t="s">
        <v>4579</v>
      </c>
      <c r="K504" t="s">
        <v>4135</v>
      </c>
      <c r="L504" t="s">
        <v>674</v>
      </c>
      <c r="M504" t="s">
        <v>399</v>
      </c>
    </row>
    <row r="505" spans="1:13">
      <c r="A505" t="s">
        <v>5327</v>
      </c>
      <c r="B505" t="s">
        <v>5328</v>
      </c>
      <c r="C505" t="s">
        <v>5205</v>
      </c>
      <c r="E505" t="s">
        <v>17</v>
      </c>
      <c r="H505" t="s">
        <v>4640</v>
      </c>
      <c r="I505" t="s">
        <v>26</v>
      </c>
      <c r="J505" t="s">
        <v>5329</v>
      </c>
      <c r="K505" t="s">
        <v>4135</v>
      </c>
      <c r="L505" t="s">
        <v>674</v>
      </c>
      <c r="M505" t="s">
        <v>399</v>
      </c>
    </row>
    <row r="506" spans="1:13">
      <c r="A506" t="s">
        <v>5327</v>
      </c>
      <c r="B506" t="s">
        <v>5330</v>
      </c>
      <c r="C506" t="s">
        <v>4662</v>
      </c>
      <c r="E506" t="s">
        <v>26</v>
      </c>
      <c r="J506" t="s">
        <v>5331</v>
      </c>
      <c r="K506" t="s">
        <v>4135</v>
      </c>
      <c r="L506" t="s">
        <v>674</v>
      </c>
      <c r="M506" t="s">
        <v>399</v>
      </c>
    </row>
    <row r="507" spans="1:13">
      <c r="A507" t="s">
        <v>5327</v>
      </c>
      <c r="B507" t="s">
        <v>5332</v>
      </c>
      <c r="C507" t="s">
        <v>5205</v>
      </c>
      <c r="E507" t="s">
        <v>17</v>
      </c>
      <c r="H507" t="s">
        <v>4640</v>
      </c>
      <c r="I507" t="s">
        <v>26</v>
      </c>
      <c r="J507" t="s">
        <v>5333</v>
      </c>
      <c r="K507" t="s">
        <v>4135</v>
      </c>
      <c r="L507" t="s">
        <v>674</v>
      </c>
      <c r="M507" t="s">
        <v>399</v>
      </c>
    </row>
    <row r="508" spans="1:13">
      <c r="A508" t="s">
        <v>5327</v>
      </c>
      <c r="B508" t="s">
        <v>5334</v>
      </c>
      <c r="C508" t="s">
        <v>4662</v>
      </c>
      <c r="E508" t="s">
        <v>26</v>
      </c>
      <c r="J508" t="s">
        <v>5335</v>
      </c>
      <c r="K508" t="s">
        <v>4135</v>
      </c>
      <c r="L508" t="s">
        <v>674</v>
      </c>
      <c r="M508" t="s">
        <v>399</v>
      </c>
    </row>
    <row r="509" spans="1:13">
      <c r="A509" t="s">
        <v>5327</v>
      </c>
      <c r="B509" t="s">
        <v>5259</v>
      </c>
      <c r="C509" t="s">
        <v>5205</v>
      </c>
      <c r="E509" t="s">
        <v>17</v>
      </c>
      <c r="H509" t="s">
        <v>4749</v>
      </c>
      <c r="I509" t="s">
        <v>26</v>
      </c>
      <c r="J509" t="s">
        <v>4675</v>
      </c>
      <c r="K509" t="s">
        <v>4135</v>
      </c>
      <c r="L509" t="s">
        <v>674</v>
      </c>
      <c r="M509" t="s">
        <v>399</v>
      </c>
    </row>
    <row r="510" spans="1:13">
      <c r="A510" t="s">
        <v>5327</v>
      </c>
      <c r="B510" t="s">
        <v>5260</v>
      </c>
      <c r="C510" t="s">
        <v>4662</v>
      </c>
      <c r="E510" t="s">
        <v>26</v>
      </c>
      <c r="J510" t="s">
        <v>4717</v>
      </c>
      <c r="K510" t="s">
        <v>4135</v>
      </c>
      <c r="L510" t="s">
        <v>674</v>
      </c>
      <c r="M510" t="s">
        <v>399</v>
      </c>
    </row>
    <row r="511" spans="1:13">
      <c r="A511" t="s">
        <v>5327</v>
      </c>
      <c r="B511" t="s">
        <v>5057</v>
      </c>
      <c r="C511" t="s">
        <v>4662</v>
      </c>
      <c r="E511" t="s">
        <v>26</v>
      </c>
      <c r="J511" t="s">
        <v>5336</v>
      </c>
      <c r="K511" t="s">
        <v>4135</v>
      </c>
      <c r="L511" t="s">
        <v>674</v>
      </c>
      <c r="M511" t="s">
        <v>399</v>
      </c>
    </row>
    <row r="512" spans="1:13">
      <c r="A512" t="s">
        <v>5327</v>
      </c>
      <c r="B512" t="s">
        <v>5317</v>
      </c>
      <c r="C512" t="s">
        <v>5205</v>
      </c>
      <c r="E512" t="s">
        <v>26</v>
      </c>
      <c r="H512" t="s">
        <v>4619</v>
      </c>
      <c r="I512" t="s">
        <v>26</v>
      </c>
      <c r="J512" t="s">
        <v>5274</v>
      </c>
      <c r="K512" t="s">
        <v>4135</v>
      </c>
      <c r="L512" t="s">
        <v>674</v>
      </c>
      <c r="M512" t="s">
        <v>399</v>
      </c>
    </row>
    <row r="513" spans="1:13">
      <c r="A513" t="s">
        <v>5327</v>
      </c>
      <c r="B513" t="s">
        <v>5318</v>
      </c>
      <c r="C513" t="s">
        <v>4662</v>
      </c>
      <c r="E513" t="s">
        <v>26</v>
      </c>
      <c r="J513" t="s">
        <v>5287</v>
      </c>
      <c r="K513" t="s">
        <v>4135</v>
      </c>
      <c r="L513" t="s">
        <v>674</v>
      </c>
      <c r="M513" t="s">
        <v>399</v>
      </c>
    </row>
    <row r="514" spans="1:13">
      <c r="A514" t="s">
        <v>5327</v>
      </c>
      <c r="B514" t="s">
        <v>5219</v>
      </c>
      <c r="C514" t="s">
        <v>5220</v>
      </c>
      <c r="E514" t="s">
        <v>17</v>
      </c>
      <c r="F514" t="s">
        <v>5169</v>
      </c>
      <c r="J514" t="s">
        <v>4602</v>
      </c>
      <c r="K514" t="s">
        <v>4135</v>
      </c>
      <c r="L514" t="s">
        <v>674</v>
      </c>
      <c r="M514" t="s">
        <v>399</v>
      </c>
    </row>
    <row r="515" spans="1:13">
      <c r="A515" t="s">
        <v>4893</v>
      </c>
      <c r="B515" t="s">
        <v>4583</v>
      </c>
      <c r="C515" t="s">
        <v>5147</v>
      </c>
      <c r="E515" t="s">
        <v>17</v>
      </c>
      <c r="G515" t="s">
        <v>26</v>
      </c>
      <c r="I515" t="s">
        <v>26</v>
      </c>
      <c r="J515" t="s">
        <v>4579</v>
      </c>
      <c r="L515" t="s">
        <v>674</v>
      </c>
      <c r="M515" t="s">
        <v>399</v>
      </c>
    </row>
    <row r="516" spans="1:13">
      <c r="A516" t="s">
        <v>4893</v>
      </c>
      <c r="B516" t="s">
        <v>5247</v>
      </c>
      <c r="C516" t="s">
        <v>5205</v>
      </c>
      <c r="E516" t="s">
        <v>17</v>
      </c>
      <c r="H516" t="s">
        <v>4640</v>
      </c>
      <c r="I516" t="s">
        <v>26</v>
      </c>
      <c r="J516" t="s">
        <v>4670</v>
      </c>
      <c r="L516" t="s">
        <v>674</v>
      </c>
      <c r="M516" t="s">
        <v>399</v>
      </c>
    </row>
    <row r="517" spans="1:13">
      <c r="A517" t="s">
        <v>4893</v>
      </c>
      <c r="B517" t="s">
        <v>4120</v>
      </c>
      <c r="C517" t="s">
        <v>5205</v>
      </c>
      <c r="E517" t="s">
        <v>17</v>
      </c>
      <c r="H517" t="s">
        <v>4606</v>
      </c>
      <c r="I517" t="s">
        <v>26</v>
      </c>
      <c r="J517" t="s">
        <v>4672</v>
      </c>
      <c r="L517" t="s">
        <v>674</v>
      </c>
      <c r="M517" t="s">
        <v>399</v>
      </c>
    </row>
    <row r="518" spans="1:13">
      <c r="A518" t="s">
        <v>4893</v>
      </c>
      <c r="B518" t="s">
        <v>4838</v>
      </c>
      <c r="C518" t="s">
        <v>4662</v>
      </c>
      <c r="E518" t="s">
        <v>17</v>
      </c>
      <c r="J518" t="s">
        <v>4895</v>
      </c>
      <c r="L518" t="s">
        <v>674</v>
      </c>
      <c r="M518" t="s">
        <v>399</v>
      </c>
    </row>
    <row r="519" spans="1:13">
      <c r="A519" t="s">
        <v>4893</v>
      </c>
      <c r="B519" t="s">
        <v>5317</v>
      </c>
      <c r="C519" t="s">
        <v>5205</v>
      </c>
      <c r="E519" t="s">
        <v>26</v>
      </c>
      <c r="H519" t="s">
        <v>4619</v>
      </c>
      <c r="I519" t="s">
        <v>26</v>
      </c>
      <c r="J519" t="s">
        <v>5207</v>
      </c>
      <c r="L519" t="s">
        <v>674</v>
      </c>
      <c r="M519" t="s">
        <v>399</v>
      </c>
    </row>
    <row r="520" spans="1:13">
      <c r="A520" t="s">
        <v>4893</v>
      </c>
      <c r="B520" t="s">
        <v>5318</v>
      </c>
      <c r="C520" t="s">
        <v>4662</v>
      </c>
      <c r="E520" t="s">
        <v>26</v>
      </c>
      <c r="J520" t="s">
        <v>5209</v>
      </c>
      <c r="L520" t="s">
        <v>674</v>
      </c>
      <c r="M520" t="s">
        <v>399</v>
      </c>
    </row>
    <row r="521" spans="1:13">
      <c r="A521" t="s">
        <v>4893</v>
      </c>
      <c r="B521" t="s">
        <v>5219</v>
      </c>
      <c r="C521" t="s">
        <v>5220</v>
      </c>
      <c r="E521" t="s">
        <v>17</v>
      </c>
      <c r="F521" t="s">
        <v>5169</v>
      </c>
      <c r="J521" t="s">
        <v>4602</v>
      </c>
      <c r="L521" t="s">
        <v>674</v>
      </c>
      <c r="M521" t="s">
        <v>399</v>
      </c>
    </row>
    <row r="522" spans="1:13">
      <c r="A522" t="s">
        <v>4893</v>
      </c>
      <c r="B522" t="s">
        <v>5233</v>
      </c>
      <c r="C522" t="s">
        <v>5220</v>
      </c>
      <c r="E522" t="s">
        <v>17</v>
      </c>
      <c r="F522" t="s">
        <v>5169</v>
      </c>
      <c r="J522" t="s">
        <v>4605</v>
      </c>
      <c r="L522" t="s">
        <v>674</v>
      </c>
      <c r="M522" t="s">
        <v>399</v>
      </c>
    </row>
  </sheetData>
  <autoFilter ref="A1:M1" xr:uid="{00000000-0009-0000-0000-000006000000}"/>
  <phoneticPr fontId="15" type="noConversion"/>
  <dataValidations count="4">
    <dataValidation type="list" allowBlank="1" sqref="C2:C200" xr:uid="{00000000-0002-0000-0600-000000000000}">
      <formula1>"VARCHAR,INT,BIGINT,BOOLEAN,TEXT,JSON,DATETIME,FLOAT,DECIMAL,ENUM,BLOB"</formula1>
    </dataValidation>
    <dataValidation type="list" allowBlank="1" sqref="E2:E200 G2:G200" xr:uid="{00000000-0002-0000-0600-000001000000}">
      <formula1>"Y,N"</formula1>
    </dataValidation>
    <dataValidation type="list" allowBlank="1" sqref="I2:I200" xr:uid="{00000000-0002-0000-0600-000003000000}">
      <formula1>"Y,N,UNIQUE"</formula1>
    </dataValidation>
    <dataValidation type="list" allowBlank="1" sqref="L2:L200" xr:uid="{00000000-0002-0000-0600-000004000000}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95"/>
  <sheetViews>
    <sheetView workbookViewId="0"/>
  </sheetViews>
  <sheetFormatPr baseColWidth="10" defaultColWidth="8.83203125" defaultRowHeight="17"/>
  <cols>
    <col min="1" max="1" width="12" customWidth="1"/>
    <col min="2" max="2" width="14" customWidth="1"/>
    <col min="3" max="5" width="12" customWidth="1"/>
    <col min="6" max="6" width="30" customWidth="1"/>
    <col min="7" max="7" width="25" customWidth="1"/>
    <col min="8" max="8" width="40" customWidth="1"/>
    <col min="9" max="9" width="30" customWidth="1"/>
    <col min="10" max="10" width="14" customWidth="1"/>
    <col min="11" max="13" width="10" customWidth="1"/>
    <col min="14" max="14" width="12" customWidth="1"/>
    <col min="15" max="15" width="10" customWidth="1"/>
    <col min="16" max="16" width="14" customWidth="1"/>
    <col min="17" max="18" width="12" customWidth="1"/>
    <col min="19" max="19" width="10" customWidth="1"/>
    <col min="20" max="20" width="12" customWidth="1"/>
    <col min="21" max="23" width="10" customWidth="1"/>
    <col min="24" max="24" width="14" customWidth="1"/>
    <col min="25" max="25" width="18" customWidth="1"/>
    <col min="26" max="27" width="16" customWidth="1"/>
    <col min="28" max="28" width="20" customWidth="1"/>
    <col min="29" max="29" width="14" customWidth="1"/>
  </cols>
  <sheetData>
    <row r="1" spans="1:29" ht="32">
      <c r="A1" s="1" t="s">
        <v>5337</v>
      </c>
      <c r="B1" s="1" t="s">
        <v>5</v>
      </c>
      <c r="C1" s="1" t="s">
        <v>5338</v>
      </c>
      <c r="D1" s="1" t="s">
        <v>5339</v>
      </c>
      <c r="E1" s="1" t="s">
        <v>5340</v>
      </c>
      <c r="F1" s="1" t="s">
        <v>5341</v>
      </c>
      <c r="G1" s="1" t="s">
        <v>5342</v>
      </c>
      <c r="H1" s="1" t="s">
        <v>5343</v>
      </c>
      <c r="I1" s="1" t="s">
        <v>5344</v>
      </c>
      <c r="J1" s="1" t="s">
        <v>5345</v>
      </c>
      <c r="K1" s="1" t="s">
        <v>5346</v>
      </c>
      <c r="L1" s="1" t="s">
        <v>430</v>
      </c>
      <c r="M1" s="1" t="s">
        <v>5347</v>
      </c>
      <c r="N1" s="1" t="s">
        <v>432</v>
      </c>
      <c r="O1" s="1" t="s">
        <v>5348</v>
      </c>
      <c r="P1" s="1" t="s">
        <v>5349</v>
      </c>
      <c r="Q1" s="1" t="s">
        <v>5350</v>
      </c>
      <c r="R1" s="1" t="s">
        <v>5351</v>
      </c>
      <c r="S1" s="1" t="s">
        <v>5352</v>
      </c>
      <c r="T1" s="1" t="s">
        <v>5353</v>
      </c>
      <c r="U1" s="1" t="s">
        <v>3</v>
      </c>
      <c r="V1" s="1" t="s">
        <v>2053</v>
      </c>
      <c r="W1" s="1" t="s">
        <v>2054</v>
      </c>
      <c r="X1" s="1" t="s">
        <v>5354</v>
      </c>
      <c r="Y1" s="1" t="s">
        <v>5355</v>
      </c>
      <c r="Z1" s="1" t="s">
        <v>433</v>
      </c>
      <c r="AA1" s="1" t="s">
        <v>2060</v>
      </c>
      <c r="AB1" s="1" t="s">
        <v>2061</v>
      </c>
      <c r="AC1" s="1" t="s">
        <v>11</v>
      </c>
    </row>
    <row r="2" spans="1:29" ht="75">
      <c r="A2" s="30" t="s">
        <v>5356</v>
      </c>
      <c r="B2" s="30" t="s">
        <v>15</v>
      </c>
      <c r="C2" s="30" t="s">
        <v>12</v>
      </c>
      <c r="D2" s="31" t="s">
        <v>13</v>
      </c>
      <c r="E2" s="31" t="s">
        <v>5357</v>
      </c>
      <c r="F2" s="31" t="s">
        <v>5358</v>
      </c>
      <c r="G2" s="31" t="s">
        <v>5359</v>
      </c>
      <c r="H2" s="31" t="s">
        <v>5360</v>
      </c>
      <c r="I2" s="31" t="s">
        <v>5361</v>
      </c>
      <c r="J2" s="31" t="s">
        <v>5362</v>
      </c>
      <c r="K2" s="31" t="s">
        <v>5363</v>
      </c>
      <c r="L2" s="31" t="s">
        <v>438</v>
      </c>
      <c r="M2" s="31" t="s">
        <v>438</v>
      </c>
      <c r="N2" s="31" t="s">
        <v>5364</v>
      </c>
      <c r="O2" s="31" t="s">
        <v>5365</v>
      </c>
      <c r="P2" s="31" t="s">
        <v>5366</v>
      </c>
      <c r="Q2" s="31" t="s">
        <v>5367</v>
      </c>
      <c r="R2" s="31" t="s">
        <v>5368</v>
      </c>
      <c r="S2" s="31" t="s">
        <v>5369</v>
      </c>
      <c r="T2" s="31" t="s">
        <v>5370</v>
      </c>
      <c r="U2" s="31" t="s">
        <v>14</v>
      </c>
      <c r="V2" s="31" t="s">
        <v>2078</v>
      </c>
      <c r="W2" s="31" t="s">
        <v>2079</v>
      </c>
      <c r="X2" s="31"/>
      <c r="Y2" s="31"/>
      <c r="Z2" s="31" t="s">
        <v>13</v>
      </c>
      <c r="AA2" s="31" t="s">
        <v>13</v>
      </c>
      <c r="AB2" s="31" t="s">
        <v>2085</v>
      </c>
      <c r="AC2" s="31"/>
    </row>
    <row r="3" spans="1:29" ht="60">
      <c r="A3" s="30" t="s">
        <v>5371</v>
      </c>
      <c r="B3" s="30" t="s">
        <v>15</v>
      </c>
      <c r="C3" s="30" t="s">
        <v>12</v>
      </c>
      <c r="D3" s="31" t="s">
        <v>13</v>
      </c>
      <c r="E3" s="31" t="s">
        <v>5357</v>
      </c>
      <c r="F3" s="31" t="s">
        <v>5372</v>
      </c>
      <c r="G3" s="31" t="s">
        <v>5373</v>
      </c>
      <c r="H3" s="31" t="s">
        <v>5374</v>
      </c>
      <c r="I3" s="31" t="s">
        <v>5375</v>
      </c>
      <c r="J3" s="31" t="s">
        <v>5376</v>
      </c>
      <c r="K3" s="31" t="s">
        <v>5363</v>
      </c>
      <c r="L3" s="31" t="s">
        <v>438</v>
      </c>
      <c r="M3" s="31" t="s">
        <v>438</v>
      </c>
      <c r="N3" s="31" t="s">
        <v>5364</v>
      </c>
      <c r="O3" s="31" t="s">
        <v>5365</v>
      </c>
      <c r="P3" s="31" t="s">
        <v>5366</v>
      </c>
      <c r="Q3" s="31" t="s">
        <v>5367</v>
      </c>
      <c r="R3" s="31" t="s">
        <v>5368</v>
      </c>
      <c r="S3" s="31" t="s">
        <v>5369</v>
      </c>
      <c r="T3" s="31" t="s">
        <v>5370</v>
      </c>
      <c r="U3" s="31" t="s">
        <v>14</v>
      </c>
      <c r="V3" s="31" t="s">
        <v>2078</v>
      </c>
      <c r="W3" s="31" t="s">
        <v>2079</v>
      </c>
      <c r="X3" s="31"/>
      <c r="Y3" s="31"/>
      <c r="Z3" s="31" t="s">
        <v>13</v>
      </c>
      <c r="AA3" s="31" t="s">
        <v>13</v>
      </c>
      <c r="AB3" s="31" t="s">
        <v>2085</v>
      </c>
      <c r="AC3" s="31"/>
    </row>
    <row r="4" spans="1:29" ht="45">
      <c r="A4" s="30" t="s">
        <v>5377</v>
      </c>
      <c r="B4" s="30" t="s">
        <v>15</v>
      </c>
      <c r="C4" s="30" t="s">
        <v>12</v>
      </c>
      <c r="D4" s="31" t="s">
        <v>13</v>
      </c>
      <c r="E4" s="31" t="s">
        <v>5357</v>
      </c>
      <c r="F4" s="31" t="s">
        <v>5378</v>
      </c>
      <c r="G4" s="31" t="s">
        <v>5379</v>
      </c>
      <c r="H4" s="31" t="s">
        <v>5380</v>
      </c>
      <c r="I4" s="31" t="s">
        <v>5381</v>
      </c>
      <c r="J4" s="31" t="s">
        <v>5382</v>
      </c>
      <c r="K4" s="31" t="s">
        <v>5363</v>
      </c>
      <c r="L4" s="31" t="s">
        <v>438</v>
      </c>
      <c r="M4" s="31" t="s">
        <v>5383</v>
      </c>
      <c r="N4" s="31" t="s">
        <v>5364</v>
      </c>
      <c r="O4" s="31" t="s">
        <v>5365</v>
      </c>
      <c r="P4" s="31" t="s">
        <v>5366</v>
      </c>
      <c r="Q4" s="31" t="s">
        <v>5367</v>
      </c>
      <c r="R4" s="31" t="s">
        <v>5368</v>
      </c>
      <c r="S4" s="31" t="s">
        <v>5369</v>
      </c>
      <c r="T4" s="31" t="s">
        <v>5370</v>
      </c>
      <c r="U4" s="31" t="s">
        <v>14</v>
      </c>
      <c r="V4" s="31" t="s">
        <v>2078</v>
      </c>
      <c r="W4" s="31" t="s">
        <v>2079</v>
      </c>
      <c r="X4" s="31"/>
      <c r="Y4" s="31"/>
      <c r="Z4" s="31" t="s">
        <v>13</v>
      </c>
      <c r="AA4" s="31" t="s">
        <v>13</v>
      </c>
      <c r="AB4" s="31" t="s">
        <v>2085</v>
      </c>
      <c r="AC4" s="31"/>
    </row>
    <row r="5" spans="1:29" ht="60">
      <c r="A5" s="30" t="s">
        <v>5384</v>
      </c>
      <c r="B5" s="30" t="s">
        <v>15</v>
      </c>
      <c r="C5" s="30" t="s">
        <v>12</v>
      </c>
      <c r="D5" s="31" t="s">
        <v>13</v>
      </c>
      <c r="E5" s="31" t="s">
        <v>5385</v>
      </c>
      <c r="F5" s="31" t="s">
        <v>5386</v>
      </c>
      <c r="G5" s="31" t="s">
        <v>5387</v>
      </c>
      <c r="H5" s="31" t="s">
        <v>5388</v>
      </c>
      <c r="I5" s="31" t="s">
        <v>5389</v>
      </c>
      <c r="J5" s="31" t="s">
        <v>5390</v>
      </c>
      <c r="K5" s="31" t="s">
        <v>5363</v>
      </c>
      <c r="L5" s="31" t="s">
        <v>496</v>
      </c>
      <c r="M5" s="31" t="s">
        <v>5391</v>
      </c>
      <c r="N5" s="31" t="s">
        <v>5364</v>
      </c>
      <c r="O5" s="31" t="s">
        <v>5365</v>
      </c>
      <c r="P5" s="31" t="s">
        <v>5366</v>
      </c>
      <c r="Q5" s="31" t="s">
        <v>5367</v>
      </c>
      <c r="R5" s="31" t="s">
        <v>5368</v>
      </c>
      <c r="S5" s="31" t="s">
        <v>5369</v>
      </c>
      <c r="T5" s="31" t="s">
        <v>5370</v>
      </c>
      <c r="U5" s="31" t="s">
        <v>14</v>
      </c>
      <c r="V5" s="31" t="s">
        <v>2078</v>
      </c>
      <c r="W5" s="31"/>
      <c r="X5" s="31"/>
      <c r="Y5" s="31"/>
      <c r="Z5" s="31" t="s">
        <v>13</v>
      </c>
      <c r="AA5" s="31" t="s">
        <v>13</v>
      </c>
      <c r="AB5" s="31" t="s">
        <v>2085</v>
      </c>
      <c r="AC5" s="31"/>
    </row>
    <row r="6" spans="1:29" ht="60">
      <c r="A6" s="30" t="s">
        <v>5392</v>
      </c>
      <c r="B6" s="30" t="s">
        <v>15</v>
      </c>
      <c r="C6" s="30" t="s">
        <v>22</v>
      </c>
      <c r="D6" s="31" t="s">
        <v>5393</v>
      </c>
      <c r="E6" s="31" t="s">
        <v>5357</v>
      </c>
      <c r="F6" s="31" t="s">
        <v>5394</v>
      </c>
      <c r="G6" s="31" t="s">
        <v>5395</v>
      </c>
      <c r="H6" s="31" t="s">
        <v>5396</v>
      </c>
      <c r="I6" s="31" t="s">
        <v>5397</v>
      </c>
      <c r="J6" s="31" t="s">
        <v>5398</v>
      </c>
      <c r="K6" s="31" t="s">
        <v>5363</v>
      </c>
      <c r="L6" s="31" t="s">
        <v>438</v>
      </c>
      <c r="M6" s="31" t="s">
        <v>438</v>
      </c>
      <c r="N6" s="31" t="s">
        <v>5364</v>
      </c>
      <c r="O6" s="31" t="s">
        <v>5365</v>
      </c>
      <c r="P6" s="31" t="s">
        <v>5366</v>
      </c>
      <c r="Q6" s="31" t="s">
        <v>5367</v>
      </c>
      <c r="R6" s="31" t="s">
        <v>5368</v>
      </c>
      <c r="S6" s="31" t="s">
        <v>5369</v>
      </c>
      <c r="T6" s="31" t="s">
        <v>5399</v>
      </c>
      <c r="U6" s="31" t="s">
        <v>24</v>
      </c>
      <c r="V6" s="31" t="s">
        <v>2161</v>
      </c>
      <c r="W6" s="31" t="s">
        <v>2162</v>
      </c>
      <c r="X6" s="31"/>
      <c r="Y6" s="31"/>
      <c r="Z6" s="31" t="s">
        <v>22</v>
      </c>
      <c r="AA6" s="31" t="s">
        <v>2165</v>
      </c>
      <c r="AB6" s="31" t="s">
        <v>2166</v>
      </c>
      <c r="AC6" s="31"/>
    </row>
    <row r="7" spans="1:29" ht="60">
      <c r="A7" s="30" t="s">
        <v>5400</v>
      </c>
      <c r="B7" s="30" t="s">
        <v>15</v>
      </c>
      <c r="C7" s="30" t="s">
        <v>22</v>
      </c>
      <c r="D7" s="31" t="s">
        <v>5393</v>
      </c>
      <c r="E7" s="31" t="s">
        <v>5357</v>
      </c>
      <c r="F7" s="31" t="s">
        <v>5401</v>
      </c>
      <c r="G7" s="31" t="s">
        <v>5402</v>
      </c>
      <c r="H7" s="31" t="s">
        <v>5403</v>
      </c>
      <c r="I7" s="31" t="s">
        <v>5404</v>
      </c>
      <c r="J7" s="31" t="s">
        <v>5398</v>
      </c>
      <c r="K7" s="31" t="s">
        <v>5363</v>
      </c>
      <c r="L7" s="31" t="s">
        <v>457</v>
      </c>
      <c r="M7" s="31" t="s">
        <v>5405</v>
      </c>
      <c r="N7" s="31" t="s">
        <v>5364</v>
      </c>
      <c r="O7" s="31" t="s">
        <v>5365</v>
      </c>
      <c r="P7" s="31" t="s">
        <v>5366</v>
      </c>
      <c r="Q7" s="31" t="s">
        <v>5367</v>
      </c>
      <c r="R7" s="31" t="s">
        <v>5368</v>
      </c>
      <c r="S7" s="31" t="s">
        <v>5369</v>
      </c>
      <c r="T7" s="31" t="s">
        <v>5370</v>
      </c>
      <c r="U7" s="31" t="s">
        <v>24</v>
      </c>
      <c r="V7" s="31" t="s">
        <v>2161</v>
      </c>
      <c r="W7" s="31" t="s">
        <v>2212</v>
      </c>
      <c r="X7" s="31"/>
      <c r="Y7" s="31"/>
      <c r="Z7" s="31" t="s">
        <v>22</v>
      </c>
      <c r="AA7" s="31" t="s">
        <v>2165</v>
      </c>
      <c r="AB7" s="31" t="s">
        <v>2215</v>
      </c>
      <c r="AC7" s="31"/>
    </row>
    <row r="8" spans="1:29" ht="75">
      <c r="A8" s="30" t="s">
        <v>5406</v>
      </c>
      <c r="B8" s="30" t="s">
        <v>15</v>
      </c>
      <c r="C8" s="30" t="s">
        <v>30</v>
      </c>
      <c r="D8" s="31" t="s">
        <v>5407</v>
      </c>
      <c r="E8" s="31" t="s">
        <v>5357</v>
      </c>
      <c r="F8" s="31" t="s">
        <v>5408</v>
      </c>
      <c r="G8" s="31" t="s">
        <v>5409</v>
      </c>
      <c r="H8" s="31" t="s">
        <v>5410</v>
      </c>
      <c r="I8" s="31" t="s">
        <v>5411</v>
      </c>
      <c r="J8" s="31" t="s">
        <v>5412</v>
      </c>
      <c r="K8" s="31" t="s">
        <v>5363</v>
      </c>
      <c r="L8" s="31" t="s">
        <v>438</v>
      </c>
      <c r="M8" s="31" t="s">
        <v>438</v>
      </c>
      <c r="N8" s="31" t="s">
        <v>5364</v>
      </c>
      <c r="O8" s="31" t="s">
        <v>5365</v>
      </c>
      <c r="P8" s="31" t="s">
        <v>5366</v>
      </c>
      <c r="Q8" s="31" t="s">
        <v>5367</v>
      </c>
      <c r="R8" s="31" t="s">
        <v>5368</v>
      </c>
      <c r="S8" s="31" t="s">
        <v>5369</v>
      </c>
      <c r="T8" s="31" t="s">
        <v>5399</v>
      </c>
      <c r="U8" s="31" t="s">
        <v>32</v>
      </c>
      <c r="V8" s="31" t="s">
        <v>2254</v>
      </c>
      <c r="W8" s="31" t="s">
        <v>2255</v>
      </c>
      <c r="X8" s="31"/>
      <c r="Y8" s="31"/>
      <c r="Z8" s="31" t="s">
        <v>33</v>
      </c>
      <c r="AA8" s="31" t="s">
        <v>2260</v>
      </c>
      <c r="AB8" s="31" t="s">
        <v>2261</v>
      </c>
      <c r="AC8" s="31"/>
    </row>
    <row r="9" spans="1:29" ht="75">
      <c r="A9" s="30" t="s">
        <v>5413</v>
      </c>
      <c r="B9" s="30" t="s">
        <v>15</v>
      </c>
      <c r="C9" s="30" t="s">
        <v>30</v>
      </c>
      <c r="D9" s="31" t="s">
        <v>5407</v>
      </c>
      <c r="E9" s="31" t="s">
        <v>5357</v>
      </c>
      <c r="F9" s="31" t="s">
        <v>5414</v>
      </c>
      <c r="G9" s="31" t="s">
        <v>5415</v>
      </c>
      <c r="H9" s="31" t="s">
        <v>5416</v>
      </c>
      <c r="I9" s="31" t="s">
        <v>5417</v>
      </c>
      <c r="J9" s="31" t="s">
        <v>5412</v>
      </c>
      <c r="K9" s="31" t="s">
        <v>5363</v>
      </c>
      <c r="L9" s="31" t="s">
        <v>457</v>
      </c>
      <c r="M9" s="31" t="s">
        <v>5405</v>
      </c>
      <c r="N9" s="31" t="s">
        <v>5364</v>
      </c>
      <c r="O9" s="31" t="s">
        <v>5365</v>
      </c>
      <c r="P9" s="31" t="s">
        <v>5366</v>
      </c>
      <c r="Q9" s="31" t="s">
        <v>5367</v>
      </c>
      <c r="R9" s="31" t="s">
        <v>5368</v>
      </c>
      <c r="S9" s="31" t="s">
        <v>5369</v>
      </c>
      <c r="T9" s="31" t="s">
        <v>5370</v>
      </c>
      <c r="U9" s="31" t="s">
        <v>32</v>
      </c>
      <c r="V9" s="31" t="s">
        <v>2254</v>
      </c>
      <c r="W9" s="31" t="s">
        <v>2255</v>
      </c>
      <c r="X9" s="31"/>
      <c r="Y9" s="31"/>
      <c r="Z9" s="31" t="s">
        <v>33</v>
      </c>
      <c r="AA9" s="31" t="s">
        <v>2260</v>
      </c>
      <c r="AB9" s="31" t="s">
        <v>2261</v>
      </c>
      <c r="AC9" s="31"/>
    </row>
    <row r="10" spans="1:29" ht="75">
      <c r="A10" s="30" t="s">
        <v>5418</v>
      </c>
      <c r="B10" s="30" t="s">
        <v>15</v>
      </c>
      <c r="C10" s="30" t="s">
        <v>30</v>
      </c>
      <c r="D10" s="31" t="s">
        <v>5419</v>
      </c>
      <c r="E10" s="31" t="s">
        <v>5357</v>
      </c>
      <c r="F10" s="31" t="s">
        <v>5420</v>
      </c>
      <c r="G10" s="31" t="s">
        <v>5421</v>
      </c>
      <c r="H10" s="31" t="s">
        <v>5422</v>
      </c>
      <c r="I10" s="31" t="s">
        <v>5423</v>
      </c>
      <c r="J10" s="31" t="s">
        <v>5412</v>
      </c>
      <c r="K10" s="31" t="s">
        <v>5363</v>
      </c>
      <c r="L10" s="31" t="s">
        <v>438</v>
      </c>
      <c r="M10" s="31" t="s">
        <v>438</v>
      </c>
      <c r="N10" s="31" t="s">
        <v>5364</v>
      </c>
      <c r="O10" s="31" t="s">
        <v>5365</v>
      </c>
      <c r="P10" s="31" t="s">
        <v>5366</v>
      </c>
      <c r="Q10" s="31" t="s">
        <v>5367</v>
      </c>
      <c r="R10" s="31" t="s">
        <v>5368</v>
      </c>
      <c r="S10" s="31" t="s">
        <v>5369</v>
      </c>
      <c r="T10" s="31" t="s">
        <v>5399</v>
      </c>
      <c r="U10" s="31" t="s">
        <v>43</v>
      </c>
      <c r="V10" s="31" t="s">
        <v>2305</v>
      </c>
      <c r="W10" s="31" t="s">
        <v>2365</v>
      </c>
      <c r="X10" s="31"/>
      <c r="Y10" s="31"/>
      <c r="Z10" s="31" t="s">
        <v>44</v>
      </c>
      <c r="AA10" s="31" t="s">
        <v>44</v>
      </c>
      <c r="AB10" s="31" t="s">
        <v>2261</v>
      </c>
      <c r="AC10" s="31"/>
    </row>
    <row r="11" spans="1:29" ht="75">
      <c r="A11" s="30" t="s">
        <v>5424</v>
      </c>
      <c r="B11" s="30" t="s">
        <v>15</v>
      </c>
      <c r="C11" s="30" t="s">
        <v>30</v>
      </c>
      <c r="D11" s="31" t="s">
        <v>5419</v>
      </c>
      <c r="E11" s="31" t="s">
        <v>5357</v>
      </c>
      <c r="F11" s="31" t="s">
        <v>5425</v>
      </c>
      <c r="G11" s="31" t="s">
        <v>5426</v>
      </c>
      <c r="H11" s="31" t="s">
        <v>5427</v>
      </c>
      <c r="I11" s="31" t="s">
        <v>5428</v>
      </c>
      <c r="J11" s="31" t="s">
        <v>5412</v>
      </c>
      <c r="K11" s="31" t="s">
        <v>5363</v>
      </c>
      <c r="L11" s="31" t="s">
        <v>457</v>
      </c>
      <c r="M11" s="31" t="s">
        <v>5405</v>
      </c>
      <c r="N11" s="31" t="s">
        <v>5364</v>
      </c>
      <c r="O11" s="31" t="s">
        <v>5365</v>
      </c>
      <c r="P11" s="31" t="s">
        <v>5366</v>
      </c>
      <c r="Q11" s="31" t="s">
        <v>5367</v>
      </c>
      <c r="R11" s="31" t="s">
        <v>5368</v>
      </c>
      <c r="S11" s="31" t="s">
        <v>5369</v>
      </c>
      <c r="T11" s="31" t="s">
        <v>5370</v>
      </c>
      <c r="U11" s="31" t="s">
        <v>43</v>
      </c>
      <c r="V11" s="31" t="s">
        <v>2305</v>
      </c>
      <c r="W11" s="31" t="s">
        <v>2365</v>
      </c>
      <c r="X11" s="31"/>
      <c r="Y11" s="31"/>
      <c r="Z11" s="31" t="s">
        <v>44</v>
      </c>
      <c r="AA11" s="31" t="s">
        <v>44</v>
      </c>
      <c r="AB11" s="31" t="s">
        <v>2261</v>
      </c>
      <c r="AC11" s="31"/>
    </row>
    <row r="12" spans="1:29" ht="75">
      <c r="A12" s="30" t="s">
        <v>5429</v>
      </c>
      <c r="B12" s="30" t="s">
        <v>15</v>
      </c>
      <c r="C12" s="30" t="s">
        <v>30</v>
      </c>
      <c r="D12" s="31" t="s">
        <v>5419</v>
      </c>
      <c r="E12" s="31" t="s">
        <v>5385</v>
      </c>
      <c r="F12" s="31" t="s">
        <v>5430</v>
      </c>
      <c r="G12" s="31" t="s">
        <v>5431</v>
      </c>
      <c r="H12" s="31" t="s">
        <v>5432</v>
      </c>
      <c r="I12" s="31" t="s">
        <v>5433</v>
      </c>
      <c r="J12" s="31" t="s">
        <v>5412</v>
      </c>
      <c r="K12" s="31" t="s">
        <v>5363</v>
      </c>
      <c r="L12" s="31" t="s">
        <v>457</v>
      </c>
      <c r="M12" s="31" t="s">
        <v>5405</v>
      </c>
      <c r="N12" s="31" t="s">
        <v>5364</v>
      </c>
      <c r="O12" s="31" t="s">
        <v>5365</v>
      </c>
      <c r="P12" s="31" t="s">
        <v>5366</v>
      </c>
      <c r="Q12" s="31" t="s">
        <v>5367</v>
      </c>
      <c r="R12" s="31" t="s">
        <v>5368</v>
      </c>
      <c r="S12" s="31" t="s">
        <v>5369</v>
      </c>
      <c r="T12" s="31" t="s">
        <v>5370</v>
      </c>
      <c r="U12" s="31" t="s">
        <v>43</v>
      </c>
      <c r="V12" s="31" t="s">
        <v>2305</v>
      </c>
      <c r="W12" s="31"/>
      <c r="X12" s="31"/>
      <c r="Y12" s="31"/>
      <c r="Z12" s="31" t="s">
        <v>44</v>
      </c>
      <c r="AA12" s="31" t="s">
        <v>44</v>
      </c>
      <c r="AB12" s="31" t="s">
        <v>2261</v>
      </c>
      <c r="AC12" s="31"/>
    </row>
    <row r="13" spans="1:29" ht="90">
      <c r="A13" s="30" t="s">
        <v>5434</v>
      </c>
      <c r="B13" s="30" t="s">
        <v>15</v>
      </c>
      <c r="C13" s="30" t="s">
        <v>30</v>
      </c>
      <c r="D13" s="31" t="s">
        <v>5435</v>
      </c>
      <c r="E13" s="31" t="s">
        <v>5357</v>
      </c>
      <c r="F13" s="31" t="s">
        <v>5436</v>
      </c>
      <c r="G13" s="31" t="s">
        <v>5409</v>
      </c>
      <c r="H13" s="31" t="s">
        <v>5437</v>
      </c>
      <c r="I13" s="31" t="s">
        <v>5438</v>
      </c>
      <c r="J13" s="31" t="s">
        <v>5412</v>
      </c>
      <c r="K13" s="31" t="s">
        <v>5363</v>
      </c>
      <c r="L13" s="31" t="s">
        <v>457</v>
      </c>
      <c r="M13" s="31" t="s">
        <v>5405</v>
      </c>
      <c r="N13" s="31" t="s">
        <v>5364</v>
      </c>
      <c r="O13" s="31" t="s">
        <v>5365</v>
      </c>
      <c r="P13" s="31" t="s">
        <v>5366</v>
      </c>
      <c r="Q13" s="31" t="s">
        <v>5367</v>
      </c>
      <c r="R13" s="31" t="s">
        <v>5368</v>
      </c>
      <c r="S13" s="31" t="s">
        <v>5369</v>
      </c>
      <c r="T13" s="31" t="s">
        <v>5370</v>
      </c>
      <c r="U13" s="31" t="s">
        <v>38</v>
      </c>
      <c r="V13" s="31" t="s">
        <v>2315</v>
      </c>
      <c r="W13" s="31" t="s">
        <v>2316</v>
      </c>
      <c r="X13" s="31"/>
      <c r="Y13" s="31"/>
      <c r="Z13" s="31" t="s">
        <v>39</v>
      </c>
      <c r="AA13" s="31" t="s">
        <v>2319</v>
      </c>
      <c r="AB13" s="31" t="s">
        <v>2320</v>
      </c>
      <c r="AC13" s="31"/>
    </row>
    <row r="14" spans="1:29" ht="75">
      <c r="A14" s="30" t="s">
        <v>5439</v>
      </c>
      <c r="B14" s="30" t="s">
        <v>15</v>
      </c>
      <c r="C14" s="30" t="s">
        <v>30</v>
      </c>
      <c r="D14" s="31" t="s">
        <v>5440</v>
      </c>
      <c r="E14" s="31" t="s">
        <v>5357</v>
      </c>
      <c r="F14" s="31" t="s">
        <v>3019</v>
      </c>
      <c r="G14" s="31" t="s">
        <v>5409</v>
      </c>
      <c r="H14" s="31" t="s">
        <v>5441</v>
      </c>
      <c r="I14" s="31" t="s">
        <v>5442</v>
      </c>
      <c r="J14" s="31" t="s">
        <v>5412</v>
      </c>
      <c r="K14" s="31" t="s">
        <v>5363</v>
      </c>
      <c r="L14" s="31" t="s">
        <v>457</v>
      </c>
      <c r="M14" s="31" t="s">
        <v>5405</v>
      </c>
      <c r="N14" s="31" t="s">
        <v>5364</v>
      </c>
      <c r="O14" s="31" t="s">
        <v>5365</v>
      </c>
      <c r="P14" s="31" t="s">
        <v>5366</v>
      </c>
      <c r="Q14" s="31" t="s">
        <v>5367</v>
      </c>
      <c r="R14" s="31" t="s">
        <v>5368</v>
      </c>
      <c r="S14" s="31" t="s">
        <v>5369</v>
      </c>
      <c r="T14" s="31" t="s">
        <v>5370</v>
      </c>
      <c r="U14" s="31" t="s">
        <v>47</v>
      </c>
      <c r="V14" s="31" t="s">
        <v>3015</v>
      </c>
      <c r="W14" s="31" t="s">
        <v>3016</v>
      </c>
      <c r="X14" s="31"/>
      <c r="Y14" s="31"/>
      <c r="Z14" s="31" t="s">
        <v>48</v>
      </c>
      <c r="AA14" s="31" t="s">
        <v>3019</v>
      </c>
      <c r="AB14" s="31" t="s">
        <v>2320</v>
      </c>
      <c r="AC14" s="31"/>
    </row>
    <row r="15" spans="1:29" ht="45">
      <c r="A15" s="30" t="s">
        <v>5443</v>
      </c>
      <c r="B15" s="30" t="s">
        <v>15</v>
      </c>
      <c r="C15" s="30" t="s">
        <v>407</v>
      </c>
      <c r="D15" s="31" t="s">
        <v>5444</v>
      </c>
      <c r="E15" s="31" t="s">
        <v>5357</v>
      </c>
      <c r="F15" s="31" t="s">
        <v>5445</v>
      </c>
      <c r="G15" s="31" t="s">
        <v>5446</v>
      </c>
      <c r="H15" s="31" t="s">
        <v>5447</v>
      </c>
      <c r="I15" s="31" t="s">
        <v>5448</v>
      </c>
      <c r="J15" s="31" t="s">
        <v>5390</v>
      </c>
      <c r="K15" s="31" t="s">
        <v>5363</v>
      </c>
      <c r="L15" s="31" t="s">
        <v>438</v>
      </c>
      <c r="M15" s="31" t="s">
        <v>438</v>
      </c>
      <c r="N15" s="31" t="s">
        <v>5364</v>
      </c>
      <c r="O15" s="31" t="s">
        <v>5365</v>
      </c>
      <c r="P15" s="31" t="s">
        <v>5366</v>
      </c>
      <c r="Q15" s="31" t="s">
        <v>5367</v>
      </c>
      <c r="R15" s="31" t="s">
        <v>5368</v>
      </c>
      <c r="S15" s="31" t="s">
        <v>5369</v>
      </c>
      <c r="T15" s="31" t="s">
        <v>5399</v>
      </c>
      <c r="U15" s="31" t="s">
        <v>74</v>
      </c>
      <c r="V15" s="31" t="s">
        <v>2444</v>
      </c>
      <c r="W15" s="31" t="s">
        <v>2340</v>
      </c>
      <c r="X15" s="31"/>
      <c r="Y15" s="31"/>
      <c r="Z15" s="31" t="s">
        <v>75</v>
      </c>
      <c r="AA15" s="31" t="s">
        <v>2449</v>
      </c>
      <c r="AB15" s="31" t="s">
        <v>2343</v>
      </c>
      <c r="AC15" s="31"/>
    </row>
    <row r="16" spans="1:29" ht="30">
      <c r="A16" s="30" t="s">
        <v>5449</v>
      </c>
      <c r="B16" s="30" t="s">
        <v>15</v>
      </c>
      <c r="C16" s="30" t="s">
        <v>407</v>
      </c>
      <c r="D16" s="31" t="s">
        <v>5444</v>
      </c>
      <c r="E16" s="31" t="s">
        <v>5357</v>
      </c>
      <c r="F16" s="31" t="s">
        <v>5450</v>
      </c>
      <c r="G16" s="31" t="s">
        <v>5446</v>
      </c>
      <c r="H16" s="31" t="s">
        <v>5451</v>
      </c>
      <c r="I16" s="31" t="s">
        <v>5452</v>
      </c>
      <c r="J16" s="31" t="s">
        <v>5390</v>
      </c>
      <c r="K16" s="31" t="s">
        <v>5363</v>
      </c>
      <c r="L16" s="31" t="s">
        <v>457</v>
      </c>
      <c r="M16" s="31" t="s">
        <v>5405</v>
      </c>
      <c r="N16" s="31" t="s">
        <v>5364</v>
      </c>
      <c r="O16" s="31" t="s">
        <v>5365</v>
      </c>
      <c r="P16" s="31" t="s">
        <v>5366</v>
      </c>
      <c r="Q16" s="31" t="s">
        <v>5367</v>
      </c>
      <c r="R16" s="31" t="s">
        <v>5368</v>
      </c>
      <c r="S16" s="31" t="s">
        <v>5369</v>
      </c>
      <c r="T16" s="31" t="s">
        <v>5370</v>
      </c>
      <c r="U16" s="31" t="s">
        <v>74</v>
      </c>
      <c r="V16" s="31" t="s">
        <v>2444</v>
      </c>
      <c r="W16" s="31" t="s">
        <v>2340</v>
      </c>
      <c r="X16" s="31"/>
      <c r="Y16" s="31"/>
      <c r="Z16" s="31" t="s">
        <v>75</v>
      </c>
      <c r="AA16" s="31" t="s">
        <v>2449</v>
      </c>
      <c r="AB16" s="31" t="s">
        <v>2343</v>
      </c>
      <c r="AC16" s="31"/>
    </row>
    <row r="17" spans="1:29" ht="75">
      <c r="A17" s="30" t="s">
        <v>5453</v>
      </c>
      <c r="B17" s="30" t="s">
        <v>15</v>
      </c>
      <c r="C17" s="30" t="s">
        <v>407</v>
      </c>
      <c r="D17" s="31" t="s">
        <v>79</v>
      </c>
      <c r="E17" s="31" t="s">
        <v>5357</v>
      </c>
      <c r="F17" s="31" t="s">
        <v>82</v>
      </c>
      <c r="G17" s="31" t="s">
        <v>5454</v>
      </c>
      <c r="H17" s="31" t="s">
        <v>5455</v>
      </c>
      <c r="I17" s="31" t="s">
        <v>5456</v>
      </c>
      <c r="J17" s="31" t="s">
        <v>5390</v>
      </c>
      <c r="K17" s="31" t="s">
        <v>5363</v>
      </c>
      <c r="L17" s="31" t="s">
        <v>438</v>
      </c>
      <c r="M17" s="31" t="s">
        <v>438</v>
      </c>
      <c r="N17" s="31" t="s">
        <v>5364</v>
      </c>
      <c r="O17" s="31" t="s">
        <v>5365</v>
      </c>
      <c r="P17" s="31" t="s">
        <v>5366</v>
      </c>
      <c r="Q17" s="31" t="s">
        <v>5367</v>
      </c>
      <c r="R17" s="31" t="s">
        <v>5368</v>
      </c>
      <c r="S17" s="31" t="s">
        <v>5369</v>
      </c>
      <c r="T17" s="31" t="s">
        <v>5370</v>
      </c>
      <c r="U17" s="31" t="s">
        <v>80</v>
      </c>
      <c r="V17" s="31" t="s">
        <v>2489</v>
      </c>
      <c r="W17" s="31" t="s">
        <v>2490</v>
      </c>
      <c r="X17" s="31"/>
      <c r="Y17" s="31"/>
      <c r="Z17" s="31" t="s">
        <v>79</v>
      </c>
      <c r="AA17" s="31" t="s">
        <v>2493</v>
      </c>
      <c r="AB17" s="31" t="s">
        <v>2494</v>
      </c>
      <c r="AC17" s="31"/>
    </row>
    <row r="18" spans="1:29" ht="60">
      <c r="A18" s="30" t="s">
        <v>5457</v>
      </c>
      <c r="B18" s="30" t="s">
        <v>15</v>
      </c>
      <c r="C18" s="30" t="s">
        <v>407</v>
      </c>
      <c r="D18" s="31" t="s">
        <v>79</v>
      </c>
      <c r="E18" s="31" t="s">
        <v>5357</v>
      </c>
      <c r="F18" s="31" t="s">
        <v>5458</v>
      </c>
      <c r="G18" s="31" t="s">
        <v>5459</v>
      </c>
      <c r="H18" s="31" t="s">
        <v>5460</v>
      </c>
      <c r="I18" s="31" t="s">
        <v>5461</v>
      </c>
      <c r="J18" s="31" t="s">
        <v>5390</v>
      </c>
      <c r="K18" s="31" t="s">
        <v>5363</v>
      </c>
      <c r="L18" s="31" t="s">
        <v>438</v>
      </c>
      <c r="M18" s="31" t="s">
        <v>5383</v>
      </c>
      <c r="N18" s="31" t="s">
        <v>5364</v>
      </c>
      <c r="O18" s="31" t="s">
        <v>5365</v>
      </c>
      <c r="P18" s="31" t="s">
        <v>5366</v>
      </c>
      <c r="Q18" s="31" t="s">
        <v>5367</v>
      </c>
      <c r="R18" s="31" t="s">
        <v>5368</v>
      </c>
      <c r="S18" s="31" t="s">
        <v>5369</v>
      </c>
      <c r="T18" s="31" t="s">
        <v>5370</v>
      </c>
      <c r="U18" s="31" t="s">
        <v>84</v>
      </c>
      <c r="V18" s="31" t="s">
        <v>2520</v>
      </c>
      <c r="W18" s="31" t="s">
        <v>2521</v>
      </c>
      <c r="X18" s="31"/>
      <c r="Y18" s="31"/>
      <c r="Z18" s="31" t="s">
        <v>85</v>
      </c>
      <c r="AA18" s="31" t="s">
        <v>2524</v>
      </c>
      <c r="AB18" s="31" t="s">
        <v>2343</v>
      </c>
      <c r="AC18" s="31"/>
    </row>
    <row r="19" spans="1:29" ht="60">
      <c r="A19" s="30" t="s">
        <v>5462</v>
      </c>
      <c r="B19" s="30" t="s">
        <v>15</v>
      </c>
      <c r="C19" s="30" t="s">
        <v>407</v>
      </c>
      <c r="D19" s="31" t="s">
        <v>79</v>
      </c>
      <c r="E19" s="31" t="s">
        <v>5357</v>
      </c>
      <c r="F19" s="31" t="s">
        <v>5463</v>
      </c>
      <c r="G19" s="31" t="s">
        <v>5459</v>
      </c>
      <c r="H19" s="31" t="s">
        <v>5464</v>
      </c>
      <c r="I19" s="31" t="s">
        <v>5465</v>
      </c>
      <c r="J19" s="31" t="s">
        <v>5390</v>
      </c>
      <c r="K19" s="31" t="s">
        <v>5363</v>
      </c>
      <c r="L19" s="31" t="s">
        <v>457</v>
      </c>
      <c r="M19" s="31" t="s">
        <v>438</v>
      </c>
      <c r="N19" s="31" t="s">
        <v>5364</v>
      </c>
      <c r="O19" s="31" t="s">
        <v>5365</v>
      </c>
      <c r="P19" s="31" t="s">
        <v>5366</v>
      </c>
      <c r="Q19" s="31" t="s">
        <v>5367</v>
      </c>
      <c r="R19" s="31" t="s">
        <v>5368</v>
      </c>
      <c r="S19" s="31" t="s">
        <v>5369</v>
      </c>
      <c r="T19" s="31" t="s">
        <v>5370</v>
      </c>
      <c r="U19" s="31" t="s">
        <v>84</v>
      </c>
      <c r="V19" s="31" t="s">
        <v>2520</v>
      </c>
      <c r="W19" s="31" t="s">
        <v>2521</v>
      </c>
      <c r="X19" s="31"/>
      <c r="Y19" s="31"/>
      <c r="Z19" s="31" t="s">
        <v>85</v>
      </c>
      <c r="AA19" s="31" t="s">
        <v>2524</v>
      </c>
      <c r="AB19" s="31" t="s">
        <v>2343</v>
      </c>
      <c r="AC19" s="31"/>
    </row>
    <row r="20" spans="1:29" ht="90">
      <c r="A20" s="30" t="s">
        <v>5466</v>
      </c>
      <c r="B20" s="30" t="s">
        <v>15</v>
      </c>
      <c r="C20" s="30" t="s">
        <v>89</v>
      </c>
      <c r="D20" s="31" t="s">
        <v>5419</v>
      </c>
      <c r="E20" s="31" t="s">
        <v>5357</v>
      </c>
      <c r="F20" s="31" t="s">
        <v>4236</v>
      </c>
      <c r="G20" s="31" t="s">
        <v>5467</v>
      </c>
      <c r="H20" s="31" t="s">
        <v>5468</v>
      </c>
      <c r="I20" s="31" t="s">
        <v>5469</v>
      </c>
      <c r="J20" s="31" t="s">
        <v>5390</v>
      </c>
      <c r="K20" s="31" t="s">
        <v>5363</v>
      </c>
      <c r="L20" s="31" t="s">
        <v>457</v>
      </c>
      <c r="M20" s="31" t="s">
        <v>5405</v>
      </c>
      <c r="N20" s="31" t="s">
        <v>5364</v>
      </c>
      <c r="O20" s="31" t="s">
        <v>5365</v>
      </c>
      <c r="P20" s="31" t="s">
        <v>5366</v>
      </c>
      <c r="Q20" s="31" t="s">
        <v>5367</v>
      </c>
      <c r="R20" s="31" t="s">
        <v>5368</v>
      </c>
      <c r="S20" s="31" t="s">
        <v>5369</v>
      </c>
      <c r="T20" s="31" t="s">
        <v>5370</v>
      </c>
      <c r="U20" s="31" t="s">
        <v>95</v>
      </c>
      <c r="V20" s="31" t="s">
        <v>2776</v>
      </c>
      <c r="W20" s="31" t="s">
        <v>2785</v>
      </c>
      <c r="X20" s="31"/>
      <c r="Y20" s="31"/>
      <c r="Z20" s="31" t="s">
        <v>96</v>
      </c>
      <c r="AA20" s="31" t="s">
        <v>2778</v>
      </c>
      <c r="AB20" s="31" t="s">
        <v>2494</v>
      </c>
      <c r="AC20" s="31"/>
    </row>
    <row r="21" spans="1:29" ht="45">
      <c r="A21" s="30" t="s">
        <v>5470</v>
      </c>
      <c r="B21" s="30" t="s">
        <v>15</v>
      </c>
      <c r="C21" s="30" t="s">
        <v>100</v>
      </c>
      <c r="D21" s="31" t="s">
        <v>101</v>
      </c>
      <c r="E21" s="31" t="s">
        <v>5357</v>
      </c>
      <c r="F21" s="31" t="s">
        <v>5471</v>
      </c>
      <c r="G21" s="31" t="s">
        <v>5472</v>
      </c>
      <c r="H21" s="31" t="s">
        <v>5473</v>
      </c>
      <c r="I21" s="31" t="s">
        <v>5474</v>
      </c>
      <c r="J21" s="31" t="s">
        <v>5390</v>
      </c>
      <c r="K21" s="31" t="s">
        <v>5363</v>
      </c>
      <c r="L21" s="31" t="s">
        <v>457</v>
      </c>
      <c r="M21" s="31" t="s">
        <v>5405</v>
      </c>
      <c r="N21" s="31" t="s">
        <v>5475</v>
      </c>
      <c r="O21" s="31" t="s">
        <v>5365</v>
      </c>
      <c r="P21" s="31" t="s">
        <v>5366</v>
      </c>
      <c r="Q21" s="31" t="s">
        <v>5367</v>
      </c>
      <c r="R21" s="31" t="s">
        <v>5368</v>
      </c>
      <c r="S21" s="31" t="s">
        <v>5369</v>
      </c>
      <c r="T21" s="31" t="s">
        <v>5370</v>
      </c>
      <c r="U21" s="31" t="s">
        <v>102</v>
      </c>
      <c r="V21" s="31" t="s">
        <v>2550</v>
      </c>
      <c r="W21" s="31" t="s">
        <v>2551</v>
      </c>
      <c r="X21" s="31"/>
      <c r="Y21" s="31"/>
      <c r="Z21" s="31" t="s">
        <v>103</v>
      </c>
      <c r="AA21" s="31" t="s">
        <v>2553</v>
      </c>
      <c r="AB21" s="31" t="s">
        <v>2554</v>
      </c>
      <c r="AC21" s="31"/>
    </row>
    <row r="22" spans="1:29" ht="75">
      <c r="A22" s="30" t="s">
        <v>5476</v>
      </c>
      <c r="B22" s="30" t="s">
        <v>15</v>
      </c>
      <c r="C22" s="30" t="s">
        <v>100</v>
      </c>
      <c r="D22" s="31" t="s">
        <v>101</v>
      </c>
      <c r="E22" s="31" t="s">
        <v>5357</v>
      </c>
      <c r="F22" s="31" t="s">
        <v>4354</v>
      </c>
      <c r="G22" s="31" t="s">
        <v>5477</v>
      </c>
      <c r="H22" s="31" t="s">
        <v>5478</v>
      </c>
      <c r="I22" s="31" t="s">
        <v>5479</v>
      </c>
      <c r="J22" s="31" t="s">
        <v>5390</v>
      </c>
      <c r="K22" s="31" t="s">
        <v>5363</v>
      </c>
      <c r="L22" s="31" t="s">
        <v>457</v>
      </c>
      <c r="M22" s="31" t="s">
        <v>5405</v>
      </c>
      <c r="N22" s="31" t="s">
        <v>5475</v>
      </c>
      <c r="O22" s="31" t="s">
        <v>5365</v>
      </c>
      <c r="P22" s="31" t="s">
        <v>5366</v>
      </c>
      <c r="Q22" s="31" t="s">
        <v>5367</v>
      </c>
      <c r="R22" s="31" t="s">
        <v>5368</v>
      </c>
      <c r="S22" s="31" t="s">
        <v>5369</v>
      </c>
      <c r="T22" s="31" t="s">
        <v>5370</v>
      </c>
      <c r="U22" s="31" t="s">
        <v>107</v>
      </c>
      <c r="V22" s="31" t="s">
        <v>2811</v>
      </c>
      <c r="W22" s="31" t="s">
        <v>2823</v>
      </c>
      <c r="X22" s="31"/>
      <c r="Y22" s="31"/>
      <c r="Z22" s="31" t="s">
        <v>108</v>
      </c>
      <c r="AA22" s="31" t="s">
        <v>2812</v>
      </c>
      <c r="AB22" s="31" t="s">
        <v>2827</v>
      </c>
      <c r="AC22" s="31"/>
    </row>
    <row r="23" spans="1:29" ht="45">
      <c r="A23" s="30" t="s">
        <v>5480</v>
      </c>
      <c r="B23" s="30" t="s">
        <v>15</v>
      </c>
      <c r="C23" s="30" t="s">
        <v>123</v>
      </c>
      <c r="D23" s="31" t="s">
        <v>5407</v>
      </c>
      <c r="E23" s="31" t="s">
        <v>5357</v>
      </c>
      <c r="F23" s="31" t="s">
        <v>2583</v>
      </c>
      <c r="G23" s="31" t="s">
        <v>5481</v>
      </c>
      <c r="H23" s="31" t="s">
        <v>5482</v>
      </c>
      <c r="I23" s="31" t="s">
        <v>5483</v>
      </c>
      <c r="J23" s="31" t="s">
        <v>5390</v>
      </c>
      <c r="K23" s="31" t="s">
        <v>5363</v>
      </c>
      <c r="L23" s="31" t="s">
        <v>457</v>
      </c>
      <c r="M23" s="31" t="s">
        <v>5405</v>
      </c>
      <c r="N23" s="31" t="s">
        <v>5475</v>
      </c>
      <c r="O23" s="31" t="s">
        <v>5365</v>
      </c>
      <c r="P23" s="31" t="s">
        <v>5366</v>
      </c>
      <c r="Q23" s="31" t="s">
        <v>5367</v>
      </c>
      <c r="R23" s="31" t="s">
        <v>5368</v>
      </c>
      <c r="S23" s="31" t="s">
        <v>5369</v>
      </c>
      <c r="T23" s="31" t="s">
        <v>5370</v>
      </c>
      <c r="U23" s="31" t="s">
        <v>125</v>
      </c>
      <c r="V23" s="31" t="s">
        <v>2580</v>
      </c>
      <c r="W23" s="31" t="s">
        <v>2581</v>
      </c>
      <c r="X23" s="31"/>
      <c r="Y23" s="31"/>
      <c r="Z23" s="31" t="s">
        <v>126</v>
      </c>
      <c r="AA23" s="31" t="s">
        <v>2583</v>
      </c>
      <c r="AB23" s="31" t="s">
        <v>2584</v>
      </c>
      <c r="AC23" s="31"/>
    </row>
    <row r="24" spans="1:29" ht="45">
      <c r="A24" s="30" t="s">
        <v>5484</v>
      </c>
      <c r="B24" s="30" t="s">
        <v>15</v>
      </c>
      <c r="C24" s="30" t="s">
        <v>123</v>
      </c>
      <c r="D24" s="31" t="s">
        <v>5419</v>
      </c>
      <c r="E24" s="31" t="s">
        <v>5357</v>
      </c>
      <c r="F24" s="31" t="s">
        <v>4254</v>
      </c>
      <c r="G24" s="31" t="s">
        <v>5485</v>
      </c>
      <c r="H24" s="31" t="s">
        <v>5486</v>
      </c>
      <c r="I24" s="31" t="s">
        <v>5487</v>
      </c>
      <c r="J24" s="31" t="s">
        <v>5390</v>
      </c>
      <c r="K24" s="31" t="s">
        <v>5363</v>
      </c>
      <c r="L24" s="31" t="s">
        <v>457</v>
      </c>
      <c r="M24" s="31" t="s">
        <v>5405</v>
      </c>
      <c r="N24" s="31" t="s">
        <v>5475</v>
      </c>
      <c r="O24" s="31" t="s">
        <v>5365</v>
      </c>
      <c r="P24" s="31" t="s">
        <v>5366</v>
      </c>
      <c r="Q24" s="31" t="s">
        <v>5367</v>
      </c>
      <c r="R24" s="31" t="s">
        <v>5368</v>
      </c>
      <c r="S24" s="31" t="s">
        <v>5369</v>
      </c>
      <c r="T24" s="31" t="s">
        <v>5370</v>
      </c>
      <c r="U24" s="31" t="s">
        <v>130</v>
      </c>
      <c r="V24" s="31" t="s">
        <v>2603</v>
      </c>
      <c r="W24" s="31" t="s">
        <v>2838</v>
      </c>
      <c r="X24" s="31"/>
      <c r="Y24" s="31"/>
      <c r="Z24" s="31" t="s">
        <v>131</v>
      </c>
      <c r="AA24" s="31" t="s">
        <v>2605</v>
      </c>
      <c r="AB24" s="31" t="s">
        <v>2584</v>
      </c>
      <c r="AC24" s="31"/>
    </row>
    <row r="25" spans="1:29" ht="75">
      <c r="A25" s="30" t="s">
        <v>5488</v>
      </c>
      <c r="B25" s="30" t="s">
        <v>15</v>
      </c>
      <c r="C25" s="30" t="s">
        <v>144</v>
      </c>
      <c r="D25" s="31" t="s">
        <v>5489</v>
      </c>
      <c r="E25" s="31" t="s">
        <v>5357</v>
      </c>
      <c r="F25" s="31" t="s">
        <v>5490</v>
      </c>
      <c r="G25" s="31" t="s">
        <v>5409</v>
      </c>
      <c r="H25" s="31" t="s">
        <v>5491</v>
      </c>
      <c r="I25" s="31" t="s">
        <v>5492</v>
      </c>
      <c r="J25" s="31" t="s">
        <v>5390</v>
      </c>
      <c r="K25" s="31" t="s">
        <v>5363</v>
      </c>
      <c r="L25" s="31" t="s">
        <v>457</v>
      </c>
      <c r="M25" s="31" t="s">
        <v>5405</v>
      </c>
      <c r="N25" s="31" t="s">
        <v>5475</v>
      </c>
      <c r="O25" s="31" t="s">
        <v>5365</v>
      </c>
      <c r="P25" s="31" t="s">
        <v>5366</v>
      </c>
      <c r="Q25" s="31" t="s">
        <v>5367</v>
      </c>
      <c r="R25" s="31" t="s">
        <v>5368</v>
      </c>
      <c r="S25" s="31" t="s">
        <v>5369</v>
      </c>
      <c r="T25" s="31" t="s">
        <v>5370</v>
      </c>
      <c r="U25" s="31" t="s">
        <v>146</v>
      </c>
      <c r="V25" s="31" t="s">
        <v>2612</v>
      </c>
      <c r="W25" s="31"/>
      <c r="X25" s="31"/>
      <c r="Y25" s="31"/>
      <c r="Z25" s="31" t="s">
        <v>147</v>
      </c>
      <c r="AA25" s="31" t="s">
        <v>147</v>
      </c>
      <c r="AB25" s="31"/>
      <c r="AC25" s="31"/>
    </row>
    <row r="26" spans="1:29" ht="30">
      <c r="A26" s="30" t="s">
        <v>5493</v>
      </c>
      <c r="B26" s="30" t="s">
        <v>15</v>
      </c>
      <c r="C26" s="30" t="s">
        <v>144</v>
      </c>
      <c r="D26" s="31" t="s">
        <v>5489</v>
      </c>
      <c r="E26" s="31" t="s">
        <v>5357</v>
      </c>
      <c r="F26" s="31" t="s">
        <v>5494</v>
      </c>
      <c r="G26" s="31" t="s">
        <v>5495</v>
      </c>
      <c r="H26" s="31" t="s">
        <v>5496</v>
      </c>
      <c r="I26" s="31" t="s">
        <v>5497</v>
      </c>
      <c r="J26" s="31" t="s">
        <v>5390</v>
      </c>
      <c r="K26" s="31" t="s">
        <v>5363</v>
      </c>
      <c r="L26" s="31" t="s">
        <v>496</v>
      </c>
      <c r="M26" s="31" t="s">
        <v>5405</v>
      </c>
      <c r="N26" s="31" t="s">
        <v>5475</v>
      </c>
      <c r="O26" s="31" t="s">
        <v>5365</v>
      </c>
      <c r="P26" s="31" t="s">
        <v>5366</v>
      </c>
      <c r="Q26" s="31" t="s">
        <v>5367</v>
      </c>
      <c r="R26" s="31" t="s">
        <v>5368</v>
      </c>
      <c r="S26" s="31" t="s">
        <v>5369</v>
      </c>
      <c r="T26" s="31" t="s">
        <v>5370</v>
      </c>
      <c r="U26" s="31" t="s">
        <v>146</v>
      </c>
      <c r="V26" s="31" t="s">
        <v>2612</v>
      </c>
      <c r="W26" s="31"/>
      <c r="X26" s="31"/>
      <c r="Y26" s="31"/>
      <c r="Z26" s="31" t="s">
        <v>147</v>
      </c>
      <c r="AA26" s="31" t="s">
        <v>147</v>
      </c>
      <c r="AB26" s="31"/>
      <c r="AC26" s="31"/>
    </row>
    <row r="27" spans="1:29" ht="90">
      <c r="A27" s="30" t="s">
        <v>5498</v>
      </c>
      <c r="B27" s="30" t="s">
        <v>15</v>
      </c>
      <c r="C27" s="30" t="s">
        <v>169</v>
      </c>
      <c r="D27" s="31" t="s">
        <v>170</v>
      </c>
      <c r="E27" s="31" t="s">
        <v>5357</v>
      </c>
      <c r="F27" s="31" t="s">
        <v>5499</v>
      </c>
      <c r="G27" s="31" t="s">
        <v>5500</v>
      </c>
      <c r="H27" s="31" t="s">
        <v>5501</v>
      </c>
      <c r="I27" s="31" t="s">
        <v>5502</v>
      </c>
      <c r="J27" s="31" t="s">
        <v>5390</v>
      </c>
      <c r="K27" s="31" t="s">
        <v>5363</v>
      </c>
      <c r="L27" s="31" t="s">
        <v>438</v>
      </c>
      <c r="M27" s="31" t="s">
        <v>5383</v>
      </c>
      <c r="N27" s="31" t="s">
        <v>5364</v>
      </c>
      <c r="O27" s="31" t="s">
        <v>5365</v>
      </c>
      <c r="P27" s="31" t="s">
        <v>5366</v>
      </c>
      <c r="Q27" s="31" t="s">
        <v>5367</v>
      </c>
      <c r="R27" s="31" t="s">
        <v>5368</v>
      </c>
      <c r="S27" s="31" t="s">
        <v>5369</v>
      </c>
      <c r="T27" s="31" t="s">
        <v>5370</v>
      </c>
      <c r="U27" s="31" t="s">
        <v>171</v>
      </c>
      <c r="V27" s="31" t="s">
        <v>2648</v>
      </c>
      <c r="W27" s="31" t="s">
        <v>2521</v>
      </c>
      <c r="X27" s="31"/>
      <c r="Y27" s="31"/>
      <c r="Z27" s="31" t="s">
        <v>172</v>
      </c>
      <c r="AA27" s="31" t="s">
        <v>2651</v>
      </c>
      <c r="AB27" s="31" t="s">
        <v>2343</v>
      </c>
      <c r="AC27" s="31"/>
    </row>
    <row r="28" spans="1:29" ht="30">
      <c r="A28" s="30" t="s">
        <v>5503</v>
      </c>
      <c r="B28" s="30" t="s">
        <v>15</v>
      </c>
      <c r="C28" s="30" t="s">
        <v>169</v>
      </c>
      <c r="D28" s="31" t="s">
        <v>170</v>
      </c>
      <c r="E28" s="31" t="s">
        <v>5357</v>
      </c>
      <c r="F28" s="31" t="s">
        <v>5504</v>
      </c>
      <c r="G28" s="31" t="s">
        <v>5505</v>
      </c>
      <c r="H28" s="31" t="s">
        <v>5506</v>
      </c>
      <c r="I28" s="31" t="s">
        <v>5507</v>
      </c>
      <c r="J28" s="31" t="s">
        <v>5390</v>
      </c>
      <c r="K28" s="31" t="s">
        <v>5363</v>
      </c>
      <c r="L28" s="31" t="s">
        <v>457</v>
      </c>
      <c r="M28" s="31" t="s">
        <v>5405</v>
      </c>
      <c r="N28" s="31" t="s">
        <v>5364</v>
      </c>
      <c r="O28" s="31" t="s">
        <v>5365</v>
      </c>
      <c r="P28" s="31" t="s">
        <v>5366</v>
      </c>
      <c r="Q28" s="31" t="s">
        <v>5367</v>
      </c>
      <c r="R28" s="31" t="s">
        <v>5368</v>
      </c>
      <c r="S28" s="31" t="s">
        <v>5369</v>
      </c>
      <c r="T28" s="31" t="s">
        <v>5370</v>
      </c>
      <c r="U28" s="31" t="s">
        <v>171</v>
      </c>
      <c r="V28" s="31" t="s">
        <v>2648</v>
      </c>
      <c r="W28" s="31"/>
      <c r="X28" s="31"/>
      <c r="Y28" s="31"/>
      <c r="Z28" s="31" t="s">
        <v>172</v>
      </c>
      <c r="AA28" s="31" t="s">
        <v>2651</v>
      </c>
      <c r="AB28" s="31" t="s">
        <v>2343</v>
      </c>
      <c r="AC28" s="31"/>
    </row>
    <row r="29" spans="1:29" ht="60">
      <c r="A29" s="30" t="s">
        <v>5508</v>
      </c>
      <c r="B29" s="30" t="s">
        <v>15</v>
      </c>
      <c r="C29" s="30" t="s">
        <v>531</v>
      </c>
      <c r="D29" s="31" t="s">
        <v>8</v>
      </c>
      <c r="E29" s="31" t="s">
        <v>5357</v>
      </c>
      <c r="F29" s="31" t="s">
        <v>5509</v>
      </c>
      <c r="G29" s="31" t="s">
        <v>5510</v>
      </c>
      <c r="H29" s="31" t="s">
        <v>5511</v>
      </c>
      <c r="I29" s="31" t="s">
        <v>5512</v>
      </c>
      <c r="J29" s="31" t="s">
        <v>5390</v>
      </c>
      <c r="K29" s="31" t="s">
        <v>5363</v>
      </c>
      <c r="L29" s="31" t="s">
        <v>438</v>
      </c>
      <c r="M29" s="31" t="s">
        <v>5383</v>
      </c>
      <c r="N29" s="31" t="s">
        <v>5364</v>
      </c>
      <c r="O29" s="31" t="s">
        <v>5365</v>
      </c>
      <c r="P29" s="31" t="s">
        <v>5366</v>
      </c>
      <c r="Q29" s="31" t="s">
        <v>5367</v>
      </c>
      <c r="R29" s="31" t="s">
        <v>5368</v>
      </c>
      <c r="S29" s="31" t="s">
        <v>5369</v>
      </c>
      <c r="T29" s="31" t="s">
        <v>5370</v>
      </c>
      <c r="U29" s="31" t="s">
        <v>187</v>
      </c>
      <c r="V29" s="31" t="s">
        <v>2716</v>
      </c>
      <c r="W29" s="31"/>
      <c r="X29" s="31"/>
      <c r="Y29" s="31"/>
      <c r="Z29" s="31" t="s">
        <v>188</v>
      </c>
      <c r="AA29" s="31" t="s">
        <v>2718</v>
      </c>
      <c r="AB29" s="31"/>
      <c r="AC29" s="31"/>
    </row>
    <row r="30" spans="1:29" ht="30">
      <c r="A30" s="30" t="s">
        <v>5513</v>
      </c>
      <c r="B30" s="30" t="s">
        <v>15</v>
      </c>
      <c r="C30" s="30" t="s">
        <v>531</v>
      </c>
      <c r="D30" s="31" t="s">
        <v>8</v>
      </c>
      <c r="E30" s="31" t="s">
        <v>5357</v>
      </c>
      <c r="F30" s="31" t="s">
        <v>5514</v>
      </c>
      <c r="G30" s="31" t="s">
        <v>5515</v>
      </c>
      <c r="H30" s="31" t="s">
        <v>5516</v>
      </c>
      <c r="I30" s="31" t="s">
        <v>5517</v>
      </c>
      <c r="J30" s="31" t="s">
        <v>5390</v>
      </c>
      <c r="K30" s="31" t="s">
        <v>5363</v>
      </c>
      <c r="L30" s="31" t="s">
        <v>438</v>
      </c>
      <c r="M30" s="31" t="s">
        <v>5383</v>
      </c>
      <c r="N30" s="31" t="s">
        <v>5364</v>
      </c>
      <c r="O30" s="31" t="s">
        <v>5365</v>
      </c>
      <c r="P30" s="31" t="s">
        <v>5366</v>
      </c>
      <c r="Q30" s="31" t="s">
        <v>5367</v>
      </c>
      <c r="R30" s="31" t="s">
        <v>5368</v>
      </c>
      <c r="S30" s="31" t="s">
        <v>5369</v>
      </c>
      <c r="T30" s="31" t="s">
        <v>5399</v>
      </c>
      <c r="U30" s="31" t="s">
        <v>187</v>
      </c>
      <c r="V30" s="31" t="s">
        <v>2716</v>
      </c>
      <c r="W30" s="31"/>
      <c r="X30" s="31"/>
      <c r="Y30" s="31"/>
      <c r="Z30" s="31" t="s">
        <v>188</v>
      </c>
      <c r="AA30" s="31" t="s">
        <v>2718</v>
      </c>
      <c r="AB30" s="31"/>
      <c r="AC30" s="31"/>
    </row>
    <row r="31" spans="1:29" ht="60">
      <c r="A31" s="30" t="s">
        <v>5518</v>
      </c>
      <c r="B31" s="30" t="s">
        <v>15</v>
      </c>
      <c r="C31" s="30" t="s">
        <v>531</v>
      </c>
      <c r="D31" s="31" t="s">
        <v>205</v>
      </c>
      <c r="E31" s="31" t="s">
        <v>5357</v>
      </c>
      <c r="F31" s="31" t="s">
        <v>5519</v>
      </c>
      <c r="G31" s="31" t="s">
        <v>5510</v>
      </c>
      <c r="H31" s="31" t="s">
        <v>5520</v>
      </c>
      <c r="I31" s="31" t="s">
        <v>5521</v>
      </c>
      <c r="J31" s="31" t="s">
        <v>5390</v>
      </c>
      <c r="K31" s="31" t="s">
        <v>5363</v>
      </c>
      <c r="L31" s="31" t="s">
        <v>438</v>
      </c>
      <c r="M31" s="31" t="s">
        <v>5383</v>
      </c>
      <c r="N31" s="31" t="s">
        <v>5364</v>
      </c>
      <c r="O31" s="31" t="s">
        <v>5365</v>
      </c>
      <c r="P31" s="31" t="s">
        <v>5366</v>
      </c>
      <c r="Q31" s="31" t="s">
        <v>5367</v>
      </c>
      <c r="R31" s="31" t="s">
        <v>5368</v>
      </c>
      <c r="S31" s="31" t="s">
        <v>5369</v>
      </c>
      <c r="T31" s="31" t="s">
        <v>5370</v>
      </c>
      <c r="U31" s="31" t="s">
        <v>206</v>
      </c>
      <c r="V31" s="31" t="s">
        <v>2737</v>
      </c>
      <c r="W31" s="31" t="s">
        <v>2752</v>
      </c>
      <c r="X31" s="31"/>
      <c r="Y31" s="31"/>
      <c r="Z31" s="31" t="s">
        <v>207</v>
      </c>
      <c r="AA31" s="31" t="s">
        <v>207</v>
      </c>
      <c r="AB31" s="31" t="s">
        <v>2757</v>
      </c>
      <c r="AC31" s="31"/>
    </row>
    <row r="32" spans="1:29" ht="60">
      <c r="A32" s="30" t="s">
        <v>5522</v>
      </c>
      <c r="B32" s="30" t="s">
        <v>15</v>
      </c>
      <c r="C32" s="30" t="s">
        <v>5523</v>
      </c>
      <c r="D32" s="31" t="s">
        <v>5524</v>
      </c>
      <c r="E32" s="31" t="s">
        <v>5525</v>
      </c>
      <c r="F32" s="31" t="s">
        <v>5526</v>
      </c>
      <c r="G32" s="31" t="s">
        <v>5527</v>
      </c>
      <c r="H32" s="31" t="s">
        <v>5528</v>
      </c>
      <c r="I32" s="31" t="s">
        <v>5529</v>
      </c>
      <c r="J32" s="31" t="s">
        <v>5390</v>
      </c>
      <c r="K32" s="31" t="s">
        <v>5363</v>
      </c>
      <c r="L32" s="31" t="s">
        <v>438</v>
      </c>
      <c r="M32" s="31" t="s">
        <v>5383</v>
      </c>
      <c r="N32" s="31" t="s">
        <v>5364</v>
      </c>
      <c r="O32" s="31" t="s">
        <v>5365</v>
      </c>
      <c r="P32" s="31" t="s">
        <v>5366</v>
      </c>
      <c r="Q32" s="31" t="s">
        <v>5367</v>
      </c>
      <c r="R32" s="31" t="s">
        <v>5368</v>
      </c>
      <c r="S32" s="31" t="s">
        <v>5369</v>
      </c>
      <c r="T32" s="31" t="s">
        <v>5399</v>
      </c>
      <c r="U32" s="31" t="s">
        <v>32</v>
      </c>
      <c r="V32" s="31" t="s">
        <v>2254</v>
      </c>
      <c r="W32" s="31" t="s">
        <v>2255</v>
      </c>
      <c r="X32" s="31"/>
      <c r="Y32" s="31"/>
      <c r="Z32" s="31" t="s">
        <v>33</v>
      </c>
      <c r="AA32" s="31" t="s">
        <v>2260</v>
      </c>
      <c r="AB32" s="31" t="s">
        <v>2261</v>
      </c>
      <c r="AC32" s="31"/>
    </row>
    <row r="33" spans="1:29" ht="30">
      <c r="A33" s="30" t="s">
        <v>5530</v>
      </c>
      <c r="B33" s="30" t="s">
        <v>15</v>
      </c>
      <c r="C33" s="30" t="s">
        <v>5523</v>
      </c>
      <c r="D33" s="31" t="s">
        <v>12</v>
      </c>
      <c r="E33" s="31" t="s">
        <v>5525</v>
      </c>
      <c r="F33" s="31" t="s">
        <v>5531</v>
      </c>
      <c r="G33" s="31" t="s">
        <v>5532</v>
      </c>
      <c r="H33" s="31" t="s">
        <v>5533</v>
      </c>
      <c r="I33" s="31" t="s">
        <v>5534</v>
      </c>
      <c r="J33" s="31" t="s">
        <v>5390</v>
      </c>
      <c r="K33" s="31" t="s">
        <v>5363</v>
      </c>
      <c r="L33" s="31" t="s">
        <v>438</v>
      </c>
      <c r="M33" s="31" t="s">
        <v>5383</v>
      </c>
      <c r="N33" s="31" t="s">
        <v>5364</v>
      </c>
      <c r="O33" s="31" t="s">
        <v>5365</v>
      </c>
      <c r="P33" s="31" t="s">
        <v>5366</v>
      </c>
      <c r="Q33" s="31" t="s">
        <v>5367</v>
      </c>
      <c r="R33" s="31" t="s">
        <v>5368</v>
      </c>
      <c r="S33" s="31" t="s">
        <v>5369</v>
      </c>
      <c r="T33" s="31" t="s">
        <v>5399</v>
      </c>
      <c r="U33" s="31" t="s">
        <v>14</v>
      </c>
      <c r="V33" s="31" t="s">
        <v>2078</v>
      </c>
      <c r="W33" s="31" t="s">
        <v>2079</v>
      </c>
      <c r="X33" s="31"/>
      <c r="Y33" s="31"/>
      <c r="Z33" s="31" t="s">
        <v>13</v>
      </c>
      <c r="AA33" s="31" t="s">
        <v>13</v>
      </c>
      <c r="AB33" s="31" t="s">
        <v>2085</v>
      </c>
      <c r="AC33" s="31"/>
    </row>
    <row r="34" spans="1:29" ht="30">
      <c r="A34" s="30" t="s">
        <v>5535</v>
      </c>
      <c r="B34" s="30" t="s">
        <v>15</v>
      </c>
      <c r="C34" s="30" t="s">
        <v>5536</v>
      </c>
      <c r="D34" s="31" t="s">
        <v>5407</v>
      </c>
      <c r="E34" s="31" t="s">
        <v>5537</v>
      </c>
      <c r="F34" s="31" t="s">
        <v>5538</v>
      </c>
      <c r="G34" s="31" t="s">
        <v>5539</v>
      </c>
      <c r="H34" s="31" t="s">
        <v>5540</v>
      </c>
      <c r="I34" s="31" t="s">
        <v>5541</v>
      </c>
      <c r="J34" s="31" t="s">
        <v>5390</v>
      </c>
      <c r="K34" s="31" t="s">
        <v>5363</v>
      </c>
      <c r="L34" s="31" t="s">
        <v>457</v>
      </c>
      <c r="M34" s="31" t="s">
        <v>5405</v>
      </c>
      <c r="N34" s="31" t="s">
        <v>5475</v>
      </c>
      <c r="O34" s="31" t="s">
        <v>5365</v>
      </c>
      <c r="P34" s="31" t="s">
        <v>5366</v>
      </c>
      <c r="Q34" s="31" t="s">
        <v>5367</v>
      </c>
      <c r="R34" s="31" t="s">
        <v>5368</v>
      </c>
      <c r="S34" s="31" t="s">
        <v>5369</v>
      </c>
      <c r="T34" s="31" t="s">
        <v>5399</v>
      </c>
      <c r="U34" s="31" t="s">
        <v>32</v>
      </c>
      <c r="V34" s="31" t="s">
        <v>2254</v>
      </c>
      <c r="W34" s="31" t="s">
        <v>2255</v>
      </c>
      <c r="X34" s="31"/>
      <c r="Y34" s="31"/>
      <c r="Z34" s="31" t="s">
        <v>33</v>
      </c>
      <c r="AA34" s="31" t="s">
        <v>2260</v>
      </c>
      <c r="AB34" s="31" t="s">
        <v>2261</v>
      </c>
      <c r="AC34" s="31"/>
    </row>
    <row r="35" spans="1:29" ht="30">
      <c r="A35" s="30" t="s">
        <v>5542</v>
      </c>
      <c r="B35" s="30" t="s">
        <v>15</v>
      </c>
      <c r="C35" s="30" t="s">
        <v>5536</v>
      </c>
      <c r="D35" s="31" t="s">
        <v>22</v>
      </c>
      <c r="E35" s="31" t="s">
        <v>5537</v>
      </c>
      <c r="F35" s="31" t="s">
        <v>5543</v>
      </c>
      <c r="G35" s="31" t="s">
        <v>5544</v>
      </c>
      <c r="H35" s="31" t="s">
        <v>5545</v>
      </c>
      <c r="I35" s="31" t="s">
        <v>5546</v>
      </c>
      <c r="J35" s="31" t="s">
        <v>5390</v>
      </c>
      <c r="K35" s="31" t="s">
        <v>5363</v>
      </c>
      <c r="L35" s="31" t="s">
        <v>457</v>
      </c>
      <c r="M35" s="31" t="s">
        <v>5405</v>
      </c>
      <c r="N35" s="31" t="s">
        <v>5475</v>
      </c>
      <c r="O35" s="31" t="s">
        <v>5365</v>
      </c>
      <c r="P35" s="31" t="s">
        <v>5366</v>
      </c>
      <c r="Q35" s="31" t="s">
        <v>5367</v>
      </c>
      <c r="R35" s="31" t="s">
        <v>5368</v>
      </c>
      <c r="S35" s="31" t="s">
        <v>5369</v>
      </c>
      <c r="T35" s="31" t="s">
        <v>5399</v>
      </c>
      <c r="U35" s="31" t="s">
        <v>24</v>
      </c>
      <c r="V35" s="31" t="s">
        <v>2161</v>
      </c>
      <c r="W35" s="31" t="s">
        <v>2162</v>
      </c>
      <c r="X35" s="31"/>
      <c r="Y35" s="31"/>
      <c r="Z35" s="31" t="s">
        <v>22</v>
      </c>
      <c r="AA35" s="31" t="s">
        <v>2165</v>
      </c>
      <c r="AB35" s="31" t="s">
        <v>2166</v>
      </c>
      <c r="AC35" s="31"/>
    </row>
    <row r="36" spans="1:29" ht="30">
      <c r="A36" s="30" t="s">
        <v>5547</v>
      </c>
      <c r="B36" s="30" t="s">
        <v>15</v>
      </c>
      <c r="C36" s="30" t="s">
        <v>5548</v>
      </c>
      <c r="D36" s="31" t="s">
        <v>5549</v>
      </c>
      <c r="E36" s="31" t="s">
        <v>5550</v>
      </c>
      <c r="F36" s="31" t="s">
        <v>5551</v>
      </c>
      <c r="G36" s="31" t="s">
        <v>5552</v>
      </c>
      <c r="H36" s="31" t="s">
        <v>5553</v>
      </c>
      <c r="I36" s="31" t="s">
        <v>5554</v>
      </c>
      <c r="J36" s="31" t="s">
        <v>5390</v>
      </c>
      <c r="K36" s="31" t="s">
        <v>5363</v>
      </c>
      <c r="L36" s="31" t="s">
        <v>496</v>
      </c>
      <c r="M36" s="31" t="s">
        <v>5405</v>
      </c>
      <c r="N36" s="31" t="s">
        <v>5475</v>
      </c>
      <c r="O36" s="31" t="s">
        <v>5365</v>
      </c>
      <c r="P36" s="31" t="s">
        <v>5555</v>
      </c>
      <c r="Q36" s="31" t="s">
        <v>5367</v>
      </c>
      <c r="R36" s="31" t="s">
        <v>5556</v>
      </c>
      <c r="S36" s="31" t="s">
        <v>5369</v>
      </c>
      <c r="T36" s="31" t="s">
        <v>5370</v>
      </c>
      <c r="U36" s="31"/>
      <c r="V36" s="31"/>
      <c r="W36" s="31"/>
      <c r="X36" s="31"/>
      <c r="Y36" s="31"/>
      <c r="Z36" s="31"/>
      <c r="AA36" s="31"/>
      <c r="AB36" s="31"/>
      <c r="AC36" s="31"/>
    </row>
    <row r="37" spans="1:29" ht="30">
      <c r="A37" s="30" t="s">
        <v>5557</v>
      </c>
      <c r="B37" s="30" t="s">
        <v>15</v>
      </c>
      <c r="C37" s="30" t="s">
        <v>5548</v>
      </c>
      <c r="D37" s="31" t="s">
        <v>5549</v>
      </c>
      <c r="E37" s="31" t="s">
        <v>5550</v>
      </c>
      <c r="F37" s="31" t="s">
        <v>5558</v>
      </c>
      <c r="G37" s="31" t="s">
        <v>5559</v>
      </c>
      <c r="H37" s="31" t="s">
        <v>5560</v>
      </c>
      <c r="I37" s="31" t="s">
        <v>5561</v>
      </c>
      <c r="J37" s="31" t="s">
        <v>5390</v>
      </c>
      <c r="K37" s="31" t="s">
        <v>5363</v>
      </c>
      <c r="L37" s="31" t="s">
        <v>496</v>
      </c>
      <c r="M37" s="31" t="s">
        <v>5405</v>
      </c>
      <c r="N37" s="31" t="s">
        <v>5475</v>
      </c>
      <c r="O37" s="31" t="s">
        <v>5365</v>
      </c>
      <c r="P37" s="31" t="s">
        <v>5562</v>
      </c>
      <c r="Q37" s="31" t="s">
        <v>5367</v>
      </c>
      <c r="R37" s="31" t="s">
        <v>5368</v>
      </c>
      <c r="S37" s="31" t="s">
        <v>5369</v>
      </c>
      <c r="T37" s="31" t="s">
        <v>5370</v>
      </c>
      <c r="U37" s="31"/>
      <c r="V37" s="31"/>
      <c r="W37" s="31"/>
      <c r="X37" s="31"/>
      <c r="Y37" s="31"/>
      <c r="Z37" s="31"/>
      <c r="AA37" s="31"/>
      <c r="AB37" s="31"/>
      <c r="AC37" s="31"/>
    </row>
    <row r="38" spans="1:29" ht="45">
      <c r="A38" s="30" t="s">
        <v>5563</v>
      </c>
      <c r="B38" s="30" t="s">
        <v>15</v>
      </c>
      <c r="C38" s="30" t="s">
        <v>467</v>
      </c>
      <c r="D38" s="31" t="s">
        <v>5444</v>
      </c>
      <c r="E38" s="31" t="s">
        <v>5357</v>
      </c>
      <c r="F38" s="31" t="s">
        <v>5564</v>
      </c>
      <c r="G38" s="31" t="s">
        <v>5565</v>
      </c>
      <c r="H38" s="31" t="s">
        <v>5566</v>
      </c>
      <c r="I38" s="31" t="s">
        <v>5567</v>
      </c>
      <c r="J38" s="31" t="s">
        <v>5390</v>
      </c>
      <c r="K38" s="31" t="s">
        <v>5363</v>
      </c>
      <c r="L38" s="31" t="s">
        <v>457</v>
      </c>
      <c r="M38" s="31" t="s">
        <v>5405</v>
      </c>
      <c r="N38" s="31" t="s">
        <v>5475</v>
      </c>
      <c r="O38" s="31" t="s">
        <v>5365</v>
      </c>
      <c r="P38" s="31" t="s">
        <v>5366</v>
      </c>
      <c r="Q38" s="31" t="s">
        <v>5367</v>
      </c>
      <c r="R38" s="31" t="s">
        <v>5368</v>
      </c>
      <c r="S38" s="31" t="s">
        <v>5369</v>
      </c>
      <c r="T38" s="31" t="s">
        <v>5370</v>
      </c>
      <c r="U38" s="31" t="s">
        <v>60</v>
      </c>
      <c r="V38" s="31" t="s">
        <v>3044</v>
      </c>
      <c r="W38" s="31" t="s">
        <v>2332</v>
      </c>
      <c r="X38" s="31"/>
      <c r="Y38" s="31"/>
      <c r="Z38" s="31" t="s">
        <v>61</v>
      </c>
      <c r="AA38" s="31" t="s">
        <v>3048</v>
      </c>
      <c r="AB38" s="31" t="s">
        <v>2335</v>
      </c>
      <c r="AC38" s="31"/>
    </row>
    <row r="39" spans="1:29" ht="30">
      <c r="A39" s="30" t="s">
        <v>5568</v>
      </c>
      <c r="B39" s="30" t="s">
        <v>15</v>
      </c>
      <c r="C39" s="30" t="s">
        <v>2059</v>
      </c>
      <c r="D39" s="31" t="s">
        <v>5569</v>
      </c>
      <c r="E39" s="31" t="s">
        <v>5385</v>
      </c>
      <c r="F39" s="31" t="s">
        <v>5570</v>
      </c>
      <c r="G39" s="31" t="s">
        <v>5387</v>
      </c>
      <c r="H39" s="31" t="s">
        <v>5571</v>
      </c>
      <c r="I39" s="31" t="s">
        <v>5572</v>
      </c>
      <c r="J39" s="31" t="s">
        <v>5390</v>
      </c>
      <c r="K39" s="31" t="s">
        <v>5363</v>
      </c>
      <c r="L39" s="31" t="s">
        <v>496</v>
      </c>
      <c r="M39" s="31" t="s">
        <v>5405</v>
      </c>
      <c r="N39" s="31" t="s">
        <v>5475</v>
      </c>
      <c r="O39" s="31" t="s">
        <v>5365</v>
      </c>
      <c r="P39" s="31" t="s">
        <v>5366</v>
      </c>
      <c r="Q39" s="31" t="s">
        <v>5367</v>
      </c>
      <c r="R39" s="31" t="s">
        <v>5368</v>
      </c>
      <c r="S39" s="31" t="s">
        <v>5369</v>
      </c>
      <c r="T39" s="31" t="s">
        <v>5370</v>
      </c>
      <c r="U39" s="31" t="s">
        <v>14</v>
      </c>
      <c r="V39" s="31" t="s">
        <v>2078</v>
      </c>
      <c r="W39" s="31"/>
      <c r="X39" s="31"/>
      <c r="Y39" s="31"/>
      <c r="Z39" s="31" t="s">
        <v>13</v>
      </c>
      <c r="AA39" s="31" t="s">
        <v>13</v>
      </c>
      <c r="AB39" s="31" t="s">
        <v>2085</v>
      </c>
      <c r="AC39" s="31"/>
    </row>
    <row r="40" spans="1:29" ht="75">
      <c r="A40" s="30" t="s">
        <v>5573</v>
      </c>
      <c r="B40" s="30" t="s">
        <v>15</v>
      </c>
      <c r="C40" s="30" t="s">
        <v>30</v>
      </c>
      <c r="D40" s="31" t="s">
        <v>5419</v>
      </c>
      <c r="E40" s="31" t="s">
        <v>5357</v>
      </c>
      <c r="F40" s="31" t="s">
        <v>5574</v>
      </c>
      <c r="G40" s="31" t="s">
        <v>5431</v>
      </c>
      <c r="H40" s="31" t="s">
        <v>5575</v>
      </c>
      <c r="I40" s="31" t="s">
        <v>5576</v>
      </c>
      <c r="J40" s="31" t="s">
        <v>5412</v>
      </c>
      <c r="K40" s="31" t="s">
        <v>5363</v>
      </c>
      <c r="L40" s="31" t="s">
        <v>496</v>
      </c>
      <c r="M40" s="31" t="s">
        <v>5391</v>
      </c>
      <c r="N40" s="31" t="s">
        <v>5475</v>
      </c>
      <c r="O40" s="31" t="s">
        <v>5365</v>
      </c>
      <c r="P40" s="31" t="s">
        <v>5366</v>
      </c>
      <c r="Q40" s="31" t="s">
        <v>5367</v>
      </c>
      <c r="R40" s="31" t="s">
        <v>5368</v>
      </c>
      <c r="S40" s="31" t="s">
        <v>5369</v>
      </c>
      <c r="T40" s="31" t="s">
        <v>5370</v>
      </c>
      <c r="U40" s="31" t="s">
        <v>43</v>
      </c>
      <c r="V40" s="31" t="s">
        <v>2305</v>
      </c>
      <c r="W40" s="31" t="s">
        <v>2365</v>
      </c>
      <c r="X40" s="31"/>
      <c r="Y40" s="31"/>
      <c r="Z40" s="31" t="s">
        <v>44</v>
      </c>
      <c r="AA40" s="31" t="s">
        <v>44</v>
      </c>
      <c r="AB40" s="31" t="s">
        <v>2261</v>
      </c>
      <c r="AC40" s="31"/>
    </row>
    <row r="41" spans="1:29" ht="30">
      <c r="A41" s="30" t="s">
        <v>5577</v>
      </c>
      <c r="B41" s="30" t="s">
        <v>15</v>
      </c>
      <c r="C41" s="30" t="s">
        <v>407</v>
      </c>
      <c r="D41" s="31" t="s">
        <v>79</v>
      </c>
      <c r="E41" s="31" t="s">
        <v>5357</v>
      </c>
      <c r="F41" s="31" t="s">
        <v>5578</v>
      </c>
      <c r="G41" s="31" t="s">
        <v>5579</v>
      </c>
      <c r="H41" s="31" t="s">
        <v>5580</v>
      </c>
      <c r="I41" s="31" t="s">
        <v>5581</v>
      </c>
      <c r="J41" s="31" t="s">
        <v>5390</v>
      </c>
      <c r="K41" s="31" t="s">
        <v>5363</v>
      </c>
      <c r="L41" s="31" t="s">
        <v>457</v>
      </c>
      <c r="M41" s="31" t="s">
        <v>5405</v>
      </c>
      <c r="N41" s="31" t="s">
        <v>5364</v>
      </c>
      <c r="O41" s="31" t="s">
        <v>5365</v>
      </c>
      <c r="P41" s="31" t="s">
        <v>5366</v>
      </c>
      <c r="Q41" s="31" t="s">
        <v>5367</v>
      </c>
      <c r="R41" s="31" t="s">
        <v>5368</v>
      </c>
      <c r="S41" s="31" t="s">
        <v>5369</v>
      </c>
      <c r="T41" s="31" t="s">
        <v>5370</v>
      </c>
      <c r="U41" s="31" t="s">
        <v>84</v>
      </c>
      <c r="V41" s="31" t="s">
        <v>2520</v>
      </c>
      <c r="W41" s="31" t="s">
        <v>2521</v>
      </c>
      <c r="X41" s="31"/>
      <c r="Y41" s="31"/>
      <c r="Z41" s="31" t="s">
        <v>85</v>
      </c>
      <c r="AA41" s="31" t="s">
        <v>2524</v>
      </c>
      <c r="AB41" s="31" t="s">
        <v>2343</v>
      </c>
      <c r="AC41" s="31"/>
    </row>
    <row r="42" spans="1:29" ht="45">
      <c r="A42" s="30" t="s">
        <v>5582</v>
      </c>
      <c r="B42" s="30" t="s">
        <v>15</v>
      </c>
      <c r="C42" s="30" t="s">
        <v>123</v>
      </c>
      <c r="D42" s="31" t="s">
        <v>134</v>
      </c>
      <c r="E42" s="31" t="s">
        <v>5357</v>
      </c>
      <c r="F42" s="31" t="s">
        <v>5583</v>
      </c>
      <c r="G42" s="31" t="s">
        <v>5584</v>
      </c>
      <c r="H42" s="31" t="s">
        <v>5585</v>
      </c>
      <c r="I42" s="31" t="s">
        <v>5586</v>
      </c>
      <c r="J42" s="31" t="s">
        <v>5390</v>
      </c>
      <c r="K42" s="31" t="s">
        <v>5363</v>
      </c>
      <c r="L42" s="31" t="s">
        <v>457</v>
      </c>
      <c r="M42" s="31" t="s">
        <v>5405</v>
      </c>
      <c r="N42" s="31" t="s">
        <v>5475</v>
      </c>
      <c r="O42" s="31" t="s">
        <v>5365</v>
      </c>
      <c r="P42" s="31" t="s">
        <v>5366</v>
      </c>
      <c r="Q42" s="31" t="s">
        <v>5367</v>
      </c>
      <c r="R42" s="31" t="s">
        <v>5368</v>
      </c>
      <c r="S42" s="31" t="s">
        <v>5369</v>
      </c>
      <c r="T42" s="31" t="s">
        <v>5370</v>
      </c>
      <c r="U42" s="31" t="s">
        <v>135</v>
      </c>
      <c r="V42" s="31" t="s">
        <v>2868</v>
      </c>
      <c r="W42" s="31"/>
      <c r="X42" s="31"/>
      <c r="Y42" s="31"/>
      <c r="Z42" s="31" t="s">
        <v>136</v>
      </c>
      <c r="AA42" s="31" t="s">
        <v>2872</v>
      </c>
      <c r="AB42" s="31"/>
      <c r="AC42" s="31"/>
    </row>
    <row r="43" spans="1:29" ht="45">
      <c r="A43" s="30" t="s">
        <v>5587</v>
      </c>
      <c r="B43" s="30" t="s">
        <v>15</v>
      </c>
      <c r="C43" s="30" t="s">
        <v>123</v>
      </c>
      <c r="D43" s="31" t="s">
        <v>134</v>
      </c>
      <c r="E43" s="31" t="s">
        <v>5357</v>
      </c>
      <c r="F43" s="31" t="s">
        <v>5588</v>
      </c>
      <c r="G43" s="31" t="s">
        <v>5589</v>
      </c>
      <c r="H43" s="31" t="s">
        <v>5590</v>
      </c>
      <c r="I43" s="31" t="s">
        <v>5591</v>
      </c>
      <c r="J43" s="31" t="s">
        <v>5390</v>
      </c>
      <c r="K43" s="31" t="s">
        <v>5363</v>
      </c>
      <c r="L43" s="31" t="s">
        <v>496</v>
      </c>
      <c r="M43" s="31" t="s">
        <v>5405</v>
      </c>
      <c r="N43" s="31" t="s">
        <v>5475</v>
      </c>
      <c r="O43" s="31" t="s">
        <v>5365</v>
      </c>
      <c r="P43" s="31" t="s">
        <v>5366</v>
      </c>
      <c r="Q43" s="31" t="s">
        <v>5367</v>
      </c>
      <c r="R43" s="31" t="s">
        <v>5368</v>
      </c>
      <c r="S43" s="31" t="s">
        <v>5369</v>
      </c>
      <c r="T43" s="31" t="s">
        <v>5370</v>
      </c>
      <c r="U43" s="31" t="s">
        <v>140</v>
      </c>
      <c r="V43" s="31" t="s">
        <v>3073</v>
      </c>
      <c r="W43" s="31"/>
      <c r="X43" s="31"/>
      <c r="Y43" s="31"/>
      <c r="Z43" s="31" t="s">
        <v>141</v>
      </c>
      <c r="AA43" s="31" t="s">
        <v>3077</v>
      </c>
      <c r="AB43" s="31"/>
      <c r="AC43" s="31"/>
    </row>
    <row r="44" spans="1:29" ht="60">
      <c r="A44" s="30" t="s">
        <v>5592</v>
      </c>
      <c r="B44" s="30" t="s">
        <v>15</v>
      </c>
      <c r="C44" s="30" t="s">
        <v>144</v>
      </c>
      <c r="D44" s="31" t="s">
        <v>157</v>
      </c>
      <c r="E44" s="31" t="s">
        <v>5357</v>
      </c>
      <c r="F44" s="31" t="s">
        <v>5593</v>
      </c>
      <c r="G44" s="31" t="s">
        <v>5594</v>
      </c>
      <c r="H44" s="31" t="s">
        <v>5595</v>
      </c>
      <c r="I44" s="31" t="s">
        <v>5596</v>
      </c>
      <c r="J44" s="31" t="s">
        <v>5390</v>
      </c>
      <c r="K44" s="31" t="s">
        <v>5363</v>
      </c>
      <c r="L44" s="31" t="s">
        <v>496</v>
      </c>
      <c r="M44" s="31" t="s">
        <v>5405</v>
      </c>
      <c r="N44" s="31" t="s">
        <v>5475</v>
      </c>
      <c r="O44" s="31" t="s">
        <v>5365</v>
      </c>
      <c r="P44" s="31" t="s">
        <v>5366</v>
      </c>
      <c r="Q44" s="31" t="s">
        <v>5367</v>
      </c>
      <c r="R44" s="31" t="s">
        <v>5368</v>
      </c>
      <c r="S44" s="31" t="s">
        <v>5369</v>
      </c>
      <c r="T44" s="31" t="s">
        <v>5370</v>
      </c>
      <c r="U44" s="31" t="s">
        <v>158</v>
      </c>
      <c r="V44" s="31" t="s">
        <v>2906</v>
      </c>
      <c r="W44" s="31"/>
      <c r="X44" s="31"/>
      <c r="Y44" s="31"/>
      <c r="Z44" s="31" t="s">
        <v>159</v>
      </c>
      <c r="AA44" s="31" t="s">
        <v>159</v>
      </c>
      <c r="AB44" s="31"/>
      <c r="AC44" s="31"/>
    </row>
    <row r="45" spans="1:29" ht="75">
      <c r="A45" s="30" t="s">
        <v>5597</v>
      </c>
      <c r="B45" s="30" t="s">
        <v>15</v>
      </c>
      <c r="C45" s="30" t="s">
        <v>144</v>
      </c>
      <c r="D45" s="31" t="s">
        <v>163</v>
      </c>
      <c r="E45" s="31" t="s">
        <v>5357</v>
      </c>
      <c r="F45" s="31" t="s">
        <v>5598</v>
      </c>
      <c r="G45" s="31" t="s">
        <v>5409</v>
      </c>
      <c r="H45" s="31" t="s">
        <v>5599</v>
      </c>
      <c r="I45" s="31" t="s">
        <v>5600</v>
      </c>
      <c r="J45" s="31" t="s">
        <v>5390</v>
      </c>
      <c r="K45" s="31" t="s">
        <v>5363</v>
      </c>
      <c r="L45" s="31" t="s">
        <v>496</v>
      </c>
      <c r="M45" s="31" t="s">
        <v>5405</v>
      </c>
      <c r="N45" s="31" t="s">
        <v>5475</v>
      </c>
      <c r="O45" s="31" t="s">
        <v>5365</v>
      </c>
      <c r="P45" s="31" t="s">
        <v>5366</v>
      </c>
      <c r="Q45" s="31" t="s">
        <v>5367</v>
      </c>
      <c r="R45" s="31" t="s">
        <v>5368</v>
      </c>
      <c r="S45" s="31" t="s">
        <v>5369</v>
      </c>
      <c r="T45" s="31" t="s">
        <v>5370</v>
      </c>
      <c r="U45" s="31" t="s">
        <v>164</v>
      </c>
      <c r="V45" s="31" t="s">
        <v>2917</v>
      </c>
      <c r="W45" s="31"/>
      <c r="X45" s="31"/>
      <c r="Y45" s="31"/>
      <c r="Z45" s="31" t="s">
        <v>165</v>
      </c>
      <c r="AA45" s="31" t="s">
        <v>165</v>
      </c>
      <c r="AB45" s="31"/>
      <c r="AC45" s="31"/>
    </row>
    <row r="46" spans="1:29" ht="30">
      <c r="A46" s="30" t="s">
        <v>5601</v>
      </c>
      <c r="B46" s="30" t="s">
        <v>15</v>
      </c>
      <c r="C46" s="30" t="s">
        <v>5602</v>
      </c>
      <c r="D46" s="31" t="s">
        <v>12</v>
      </c>
      <c r="E46" s="31" t="s">
        <v>5603</v>
      </c>
      <c r="F46" s="31" t="s">
        <v>5604</v>
      </c>
      <c r="G46" s="31" t="s">
        <v>5605</v>
      </c>
      <c r="H46" s="31" t="s">
        <v>5606</v>
      </c>
      <c r="I46" s="31" t="s">
        <v>5607</v>
      </c>
      <c r="J46" s="31" t="s">
        <v>5390</v>
      </c>
      <c r="K46" s="31" t="s">
        <v>5363</v>
      </c>
      <c r="L46" s="31" t="s">
        <v>438</v>
      </c>
      <c r="M46" s="31" t="s">
        <v>438</v>
      </c>
      <c r="N46" s="31" t="s">
        <v>5364</v>
      </c>
      <c r="O46" s="31" t="s">
        <v>5365</v>
      </c>
      <c r="P46" s="31"/>
      <c r="Q46" s="31"/>
      <c r="R46" s="31"/>
      <c r="S46" s="31" t="s">
        <v>5369</v>
      </c>
      <c r="T46" s="31" t="s">
        <v>5399</v>
      </c>
      <c r="U46" s="31"/>
      <c r="V46" s="31" t="s">
        <v>2078</v>
      </c>
      <c r="W46" s="31" t="s">
        <v>2079</v>
      </c>
      <c r="X46" s="31"/>
      <c r="Y46" s="31"/>
      <c r="Z46" s="31"/>
      <c r="AA46" s="31" t="s">
        <v>13</v>
      </c>
      <c r="AB46" s="31" t="s">
        <v>2085</v>
      </c>
      <c r="AC46" s="31"/>
    </row>
    <row r="47" spans="1:29" ht="60">
      <c r="A47" s="30" t="s">
        <v>5608</v>
      </c>
      <c r="B47" s="30" t="s">
        <v>15</v>
      </c>
      <c r="C47" s="30" t="s">
        <v>5602</v>
      </c>
      <c r="D47" s="31" t="s">
        <v>31</v>
      </c>
      <c r="E47" s="31" t="s">
        <v>5603</v>
      </c>
      <c r="F47" s="31" t="s">
        <v>5609</v>
      </c>
      <c r="G47" s="31" t="s">
        <v>5610</v>
      </c>
      <c r="H47" s="31" t="s">
        <v>5611</v>
      </c>
      <c r="I47" s="31" t="s">
        <v>5612</v>
      </c>
      <c r="J47" s="31" t="s">
        <v>5390</v>
      </c>
      <c r="K47" s="31" t="s">
        <v>5363</v>
      </c>
      <c r="L47" s="31" t="s">
        <v>457</v>
      </c>
      <c r="M47" s="31" t="s">
        <v>5405</v>
      </c>
      <c r="N47" s="31" t="s">
        <v>5364</v>
      </c>
      <c r="O47" s="31" t="s">
        <v>5365</v>
      </c>
      <c r="P47" s="31"/>
      <c r="Q47" s="31"/>
      <c r="R47" s="31"/>
      <c r="S47" s="31" t="s">
        <v>5369</v>
      </c>
      <c r="T47" s="31" t="s">
        <v>5399</v>
      </c>
      <c r="U47" s="31"/>
      <c r="V47" s="31" t="s">
        <v>2254</v>
      </c>
      <c r="W47" s="31" t="s">
        <v>2255</v>
      </c>
      <c r="X47" s="31"/>
      <c r="Y47" s="31"/>
      <c r="Z47" s="31"/>
      <c r="AA47" s="31" t="s">
        <v>2260</v>
      </c>
      <c r="AB47" s="31" t="s">
        <v>2261</v>
      </c>
      <c r="AC47" s="31"/>
    </row>
    <row r="48" spans="1:29" ht="60">
      <c r="A48" s="30" t="s">
        <v>5613</v>
      </c>
      <c r="B48" s="30" t="s">
        <v>15</v>
      </c>
      <c r="C48" s="30" t="s">
        <v>100</v>
      </c>
      <c r="D48" s="31" t="s">
        <v>112</v>
      </c>
      <c r="E48" s="31" t="s">
        <v>5357</v>
      </c>
      <c r="F48" s="31" t="s">
        <v>4011</v>
      </c>
      <c r="G48" s="31" t="s">
        <v>5614</v>
      </c>
      <c r="H48" s="31" t="s">
        <v>5615</v>
      </c>
      <c r="I48" s="31" t="s">
        <v>5616</v>
      </c>
      <c r="J48" s="31" t="s">
        <v>5390</v>
      </c>
      <c r="K48" s="31" t="s">
        <v>5363</v>
      </c>
      <c r="L48" s="31" t="s">
        <v>496</v>
      </c>
      <c r="M48" s="31" t="s">
        <v>5405</v>
      </c>
      <c r="N48" s="31" t="s">
        <v>5475</v>
      </c>
      <c r="O48" s="31" t="s">
        <v>5365</v>
      </c>
      <c r="P48" s="31" t="s">
        <v>5366</v>
      </c>
      <c r="Q48" s="31" t="s">
        <v>5367</v>
      </c>
      <c r="R48" s="31" t="s">
        <v>5368</v>
      </c>
      <c r="S48" s="31" t="s">
        <v>5369</v>
      </c>
      <c r="T48" s="31" t="s">
        <v>5370</v>
      </c>
      <c r="U48" s="31" t="s">
        <v>113</v>
      </c>
      <c r="V48" s="31" t="s">
        <v>2937</v>
      </c>
      <c r="W48" s="31"/>
      <c r="X48" s="31"/>
      <c r="Y48" s="31"/>
      <c r="Z48" s="31" t="s">
        <v>114</v>
      </c>
      <c r="AA48" s="31" t="s">
        <v>114</v>
      </c>
      <c r="AB48" s="31"/>
      <c r="AC48" s="31"/>
    </row>
    <row r="49" spans="1:29" ht="60">
      <c r="A49" s="30" t="s">
        <v>5617</v>
      </c>
      <c r="B49" s="30" t="s">
        <v>15</v>
      </c>
      <c r="C49" s="30" t="s">
        <v>100</v>
      </c>
      <c r="D49" s="31" t="s">
        <v>118</v>
      </c>
      <c r="E49" s="31" t="s">
        <v>5357</v>
      </c>
      <c r="F49" s="31" t="s">
        <v>5618</v>
      </c>
      <c r="G49" s="31" t="s">
        <v>5594</v>
      </c>
      <c r="H49" s="31" t="s">
        <v>5619</v>
      </c>
      <c r="I49" s="31" t="s">
        <v>5620</v>
      </c>
      <c r="J49" s="31" t="s">
        <v>5390</v>
      </c>
      <c r="K49" s="31" t="s">
        <v>5363</v>
      </c>
      <c r="L49" s="31" t="s">
        <v>496</v>
      </c>
      <c r="M49" s="31" t="s">
        <v>5405</v>
      </c>
      <c r="N49" s="31" t="s">
        <v>5475</v>
      </c>
      <c r="O49" s="31" t="s">
        <v>5365</v>
      </c>
      <c r="P49" s="31" t="s">
        <v>5366</v>
      </c>
      <c r="Q49" s="31" t="s">
        <v>5367</v>
      </c>
      <c r="R49" s="31" t="s">
        <v>5368</v>
      </c>
      <c r="S49" s="31" t="s">
        <v>5369</v>
      </c>
      <c r="T49" s="31" t="s">
        <v>5370</v>
      </c>
      <c r="U49" s="31" t="s">
        <v>119</v>
      </c>
      <c r="V49" s="31" t="s">
        <v>2958</v>
      </c>
      <c r="W49" s="31"/>
      <c r="X49" s="31"/>
      <c r="Y49" s="31"/>
      <c r="Z49" s="31" t="s">
        <v>120</v>
      </c>
      <c r="AA49" s="31" t="s">
        <v>120</v>
      </c>
      <c r="AB49" s="31"/>
      <c r="AC49" s="31"/>
    </row>
    <row r="50" spans="1:29" ht="30">
      <c r="A50" s="30" t="s">
        <v>5621</v>
      </c>
      <c r="B50" s="30" t="s">
        <v>15</v>
      </c>
      <c r="C50" s="30" t="s">
        <v>531</v>
      </c>
      <c r="D50" s="31" t="s">
        <v>199</v>
      </c>
      <c r="E50" s="31" t="s">
        <v>5357</v>
      </c>
      <c r="F50" s="31" t="s">
        <v>4521</v>
      </c>
      <c r="G50" s="31" t="s">
        <v>5622</v>
      </c>
      <c r="H50" s="31" t="s">
        <v>5623</v>
      </c>
      <c r="I50" s="31" t="s">
        <v>5624</v>
      </c>
      <c r="J50" s="31" t="s">
        <v>5390</v>
      </c>
      <c r="K50" s="31" t="s">
        <v>5363</v>
      </c>
      <c r="L50" s="31" t="s">
        <v>496</v>
      </c>
      <c r="M50" s="31" t="s">
        <v>5405</v>
      </c>
      <c r="N50" s="31" t="s">
        <v>5475</v>
      </c>
      <c r="O50" s="31" t="s">
        <v>5365</v>
      </c>
      <c r="P50" s="31" t="s">
        <v>5366</v>
      </c>
      <c r="Q50" s="31" t="s">
        <v>5367</v>
      </c>
      <c r="R50" s="31" t="s">
        <v>5368</v>
      </c>
      <c r="S50" s="31" t="s">
        <v>5369</v>
      </c>
      <c r="T50" s="31" t="s">
        <v>5370</v>
      </c>
      <c r="U50" s="31" t="s">
        <v>200</v>
      </c>
      <c r="V50" s="31" t="s">
        <v>3000</v>
      </c>
      <c r="W50" s="31"/>
      <c r="X50" s="31"/>
      <c r="Y50" s="31"/>
      <c r="Z50" s="31" t="s">
        <v>201</v>
      </c>
      <c r="AA50" s="31" t="s">
        <v>201</v>
      </c>
      <c r="AB50" s="31"/>
      <c r="AC50" s="31"/>
    </row>
    <row r="51" spans="1:29" ht="60">
      <c r="A51" s="30" t="s">
        <v>5625</v>
      </c>
      <c r="B51" s="30" t="s">
        <v>15</v>
      </c>
      <c r="C51" s="30" t="s">
        <v>531</v>
      </c>
      <c r="D51" s="31" t="s">
        <v>205</v>
      </c>
      <c r="E51" s="31" t="s">
        <v>5357</v>
      </c>
      <c r="F51" s="31" t="s">
        <v>5626</v>
      </c>
      <c r="G51" s="31" t="s">
        <v>5510</v>
      </c>
      <c r="H51" s="31" t="s">
        <v>5627</v>
      </c>
      <c r="I51" s="31" t="s">
        <v>5628</v>
      </c>
      <c r="J51" s="31" t="s">
        <v>5390</v>
      </c>
      <c r="K51" s="31" t="s">
        <v>5363</v>
      </c>
      <c r="L51" s="31" t="s">
        <v>438</v>
      </c>
      <c r="M51" s="31" t="s">
        <v>5383</v>
      </c>
      <c r="N51" s="31" t="s">
        <v>5364</v>
      </c>
      <c r="O51" s="31" t="s">
        <v>5365</v>
      </c>
      <c r="P51" s="31" t="s">
        <v>5366</v>
      </c>
      <c r="Q51" s="31" t="s">
        <v>5367</v>
      </c>
      <c r="R51" s="31" t="s">
        <v>5368</v>
      </c>
      <c r="S51" s="31" t="s">
        <v>5369</v>
      </c>
      <c r="T51" s="31" t="s">
        <v>5370</v>
      </c>
      <c r="U51" s="31" t="s">
        <v>206</v>
      </c>
      <c r="V51" s="31" t="s">
        <v>2737</v>
      </c>
      <c r="W51" s="31" t="s">
        <v>2752</v>
      </c>
      <c r="X51" s="31"/>
      <c r="Y51" s="31"/>
      <c r="Z51" s="31" t="s">
        <v>207</v>
      </c>
      <c r="AA51" s="31" t="s">
        <v>207</v>
      </c>
      <c r="AB51" s="31" t="s">
        <v>2757</v>
      </c>
      <c r="AC51" s="31"/>
    </row>
    <row r="52" spans="1:29">
      <c r="A52" s="30" t="s">
        <v>5629</v>
      </c>
      <c r="B52" s="30" t="s">
        <v>15</v>
      </c>
      <c r="C52" s="30" t="s">
        <v>467</v>
      </c>
      <c r="D52" s="31" t="s">
        <v>5444</v>
      </c>
      <c r="E52" s="31" t="s">
        <v>5357</v>
      </c>
      <c r="F52" s="31" t="s">
        <v>5630</v>
      </c>
      <c r="G52" s="31" t="s">
        <v>5631</v>
      </c>
      <c r="H52" s="31" t="s">
        <v>5632</v>
      </c>
      <c r="I52" s="31" t="s">
        <v>5633</v>
      </c>
      <c r="J52" s="31"/>
      <c r="K52" s="31" t="s">
        <v>5634</v>
      </c>
      <c r="L52" s="31" t="s">
        <v>457</v>
      </c>
      <c r="M52" s="31" t="s">
        <v>5405</v>
      </c>
      <c r="N52" s="31" t="s">
        <v>5364</v>
      </c>
      <c r="O52" s="31" t="s">
        <v>5365</v>
      </c>
      <c r="P52" s="31" t="s">
        <v>5366</v>
      </c>
      <c r="Q52" s="31" t="s">
        <v>5367</v>
      </c>
      <c r="R52" s="31" t="s">
        <v>5368</v>
      </c>
      <c r="S52" s="31" t="s">
        <v>5369</v>
      </c>
      <c r="T52" s="31" t="s">
        <v>5370</v>
      </c>
      <c r="U52" s="31" t="s">
        <v>60</v>
      </c>
      <c r="V52" s="31" t="s">
        <v>3044</v>
      </c>
      <c r="W52" s="31" t="s">
        <v>2551</v>
      </c>
      <c r="X52" s="31"/>
      <c r="Y52" s="31"/>
      <c r="Z52" s="31" t="s">
        <v>61</v>
      </c>
      <c r="AA52" s="31" t="s">
        <v>3048</v>
      </c>
      <c r="AB52" s="31" t="s">
        <v>2554</v>
      </c>
      <c r="AC52" s="31"/>
    </row>
    <row r="53" spans="1:29" ht="60">
      <c r="A53" s="30" t="s">
        <v>5635</v>
      </c>
      <c r="B53" s="30" t="s">
        <v>15</v>
      </c>
      <c r="C53" s="30" t="s">
        <v>467</v>
      </c>
      <c r="D53" s="31" t="s">
        <v>5636</v>
      </c>
      <c r="E53" s="31" t="s">
        <v>5357</v>
      </c>
      <c r="F53" s="31" t="s">
        <v>5637</v>
      </c>
      <c r="G53" s="31" t="s">
        <v>5638</v>
      </c>
      <c r="H53" s="31" t="s">
        <v>5639</v>
      </c>
      <c r="I53" s="31" t="s">
        <v>5640</v>
      </c>
      <c r="J53" s="31"/>
      <c r="K53" s="31" t="s">
        <v>5634</v>
      </c>
      <c r="L53" s="31" t="s">
        <v>438</v>
      </c>
      <c r="M53" s="31" t="s">
        <v>438</v>
      </c>
      <c r="N53" s="31" t="s">
        <v>5364</v>
      </c>
      <c r="O53" s="31" t="s">
        <v>5365</v>
      </c>
      <c r="P53" s="31" t="s">
        <v>5366</v>
      </c>
      <c r="Q53" s="31" t="s">
        <v>5367</v>
      </c>
      <c r="R53" s="31" t="s">
        <v>5368</v>
      </c>
      <c r="S53" s="31" t="s">
        <v>5369</v>
      </c>
      <c r="T53" s="31" t="s">
        <v>5370</v>
      </c>
      <c r="U53" s="31" t="s">
        <v>1466</v>
      </c>
      <c r="V53" s="31" t="s">
        <v>3060</v>
      </c>
      <c r="W53" s="31" t="s">
        <v>2823</v>
      </c>
      <c r="X53" s="31"/>
      <c r="Y53" s="31"/>
      <c r="Z53" s="31"/>
      <c r="AA53" s="31" t="s">
        <v>68</v>
      </c>
      <c r="AB53" s="31" t="s">
        <v>2827</v>
      </c>
      <c r="AC53" s="31"/>
    </row>
    <row r="54" spans="1:29" ht="30">
      <c r="A54" s="30" t="s">
        <v>5641</v>
      </c>
      <c r="B54" s="30" t="s">
        <v>15</v>
      </c>
      <c r="C54" s="30" t="s">
        <v>467</v>
      </c>
      <c r="D54" s="31" t="s">
        <v>5642</v>
      </c>
      <c r="E54" s="31" t="s">
        <v>5357</v>
      </c>
      <c r="F54" s="31" t="s">
        <v>5643</v>
      </c>
      <c r="G54" s="31" t="s">
        <v>5644</v>
      </c>
      <c r="H54" s="31" t="s">
        <v>5645</v>
      </c>
      <c r="I54" s="31" t="s">
        <v>5646</v>
      </c>
      <c r="J54" s="31"/>
      <c r="K54" s="31" t="s">
        <v>5634</v>
      </c>
      <c r="L54" s="31" t="s">
        <v>438</v>
      </c>
      <c r="M54" s="31" t="s">
        <v>438</v>
      </c>
      <c r="N54" s="31" t="s">
        <v>5364</v>
      </c>
      <c r="O54" s="31" t="s">
        <v>5365</v>
      </c>
      <c r="P54" s="31" t="s">
        <v>5366</v>
      </c>
      <c r="Q54" s="31" t="s">
        <v>5367</v>
      </c>
      <c r="R54" s="31" t="s">
        <v>5368</v>
      </c>
      <c r="S54" s="31" t="s">
        <v>5369</v>
      </c>
      <c r="T54" s="31" t="s">
        <v>5370</v>
      </c>
      <c r="U54" s="31" t="s">
        <v>60</v>
      </c>
      <c r="V54" s="31" t="s">
        <v>2444</v>
      </c>
      <c r="W54" s="31" t="s">
        <v>2581</v>
      </c>
      <c r="X54" s="31"/>
      <c r="Y54" s="31"/>
      <c r="Z54" s="31" t="s">
        <v>61</v>
      </c>
      <c r="AA54" s="31" t="s">
        <v>2449</v>
      </c>
      <c r="AB54" s="31" t="s">
        <v>2584</v>
      </c>
      <c r="AC54" s="31"/>
    </row>
    <row r="55" spans="1:29">
      <c r="A55" s="30" t="s">
        <v>5647</v>
      </c>
      <c r="B55" s="30" t="s">
        <v>15</v>
      </c>
      <c r="C55" s="30" t="s">
        <v>467</v>
      </c>
      <c r="D55" s="31" t="s">
        <v>5393</v>
      </c>
      <c r="E55" s="31" t="s">
        <v>5357</v>
      </c>
      <c r="F55" s="31" t="s">
        <v>5648</v>
      </c>
      <c r="G55" s="31" t="s">
        <v>5649</v>
      </c>
      <c r="H55" s="31" t="s">
        <v>5650</v>
      </c>
      <c r="I55" s="31" t="s">
        <v>5651</v>
      </c>
      <c r="J55" s="31"/>
      <c r="K55" s="31" t="s">
        <v>5634</v>
      </c>
      <c r="L55" s="31" t="s">
        <v>457</v>
      </c>
      <c r="M55" s="31" t="s">
        <v>5405</v>
      </c>
      <c r="N55" s="31" t="s">
        <v>5364</v>
      </c>
      <c r="O55" s="31" t="s">
        <v>5365</v>
      </c>
      <c r="P55" s="31" t="s">
        <v>5366</v>
      </c>
      <c r="Q55" s="31" t="s">
        <v>5367</v>
      </c>
      <c r="R55" s="31" t="s">
        <v>5368</v>
      </c>
      <c r="S55" s="31" t="s">
        <v>5369</v>
      </c>
      <c r="T55" s="31" t="s">
        <v>5370</v>
      </c>
      <c r="U55" s="31" t="s">
        <v>60</v>
      </c>
      <c r="V55" s="31" t="s">
        <v>3044</v>
      </c>
      <c r="W55" s="31" t="s">
        <v>2838</v>
      </c>
      <c r="X55" s="31"/>
      <c r="Y55" s="31"/>
      <c r="Z55" s="31" t="s">
        <v>61</v>
      </c>
      <c r="AA55" s="31" t="s">
        <v>3048</v>
      </c>
      <c r="AB55" s="31" t="s">
        <v>2584</v>
      </c>
      <c r="AC55" s="31"/>
    </row>
    <row r="56" spans="1:29">
      <c r="A56" s="30" t="s">
        <v>5652</v>
      </c>
      <c r="B56" s="30" t="s">
        <v>15</v>
      </c>
      <c r="C56" s="30" t="s">
        <v>467</v>
      </c>
      <c r="D56" s="31" t="s">
        <v>5653</v>
      </c>
      <c r="E56" s="31" t="s">
        <v>5385</v>
      </c>
      <c r="F56" s="31" t="s">
        <v>5654</v>
      </c>
      <c r="G56" s="31" t="s">
        <v>5655</v>
      </c>
      <c r="H56" s="31" t="s">
        <v>5656</v>
      </c>
      <c r="I56" s="31" t="s">
        <v>1457</v>
      </c>
      <c r="J56" s="31"/>
      <c r="K56" s="31" t="s">
        <v>5634</v>
      </c>
      <c r="L56" s="31" t="s">
        <v>496</v>
      </c>
      <c r="M56" s="31" t="s">
        <v>5391</v>
      </c>
      <c r="N56" s="31" t="s">
        <v>5364</v>
      </c>
      <c r="O56" s="31" t="s">
        <v>5365</v>
      </c>
      <c r="P56" s="31" t="s">
        <v>5366</v>
      </c>
      <c r="Q56" s="31" t="s">
        <v>5367</v>
      </c>
      <c r="R56" s="31" t="s">
        <v>5368</v>
      </c>
      <c r="S56" s="31" t="s">
        <v>5369</v>
      </c>
      <c r="T56" s="31" t="s">
        <v>5370</v>
      </c>
      <c r="U56" s="31" t="s">
        <v>1450</v>
      </c>
      <c r="V56" s="31" t="s">
        <v>3044</v>
      </c>
      <c r="W56" s="31"/>
      <c r="X56" s="31"/>
      <c r="Y56" s="31"/>
      <c r="Z56" s="31"/>
      <c r="AA56" s="31" t="s">
        <v>3048</v>
      </c>
      <c r="AB56" s="31" t="s">
        <v>2335</v>
      </c>
      <c r="AC56" s="31"/>
    </row>
    <row r="57" spans="1:29" ht="45">
      <c r="A57" s="30" t="s">
        <v>5657</v>
      </c>
      <c r="B57" s="30" t="s">
        <v>15</v>
      </c>
      <c r="C57" s="30" t="s">
        <v>467</v>
      </c>
      <c r="D57" s="31" t="s">
        <v>5658</v>
      </c>
      <c r="E57" s="31" t="s">
        <v>5659</v>
      </c>
      <c r="F57" s="31" t="s">
        <v>5660</v>
      </c>
      <c r="G57" s="31" t="s">
        <v>5661</v>
      </c>
      <c r="H57" s="31" t="s">
        <v>5662</v>
      </c>
      <c r="I57" s="31" t="s">
        <v>5663</v>
      </c>
      <c r="J57" s="31"/>
      <c r="K57" s="31" t="s">
        <v>5634</v>
      </c>
      <c r="L57" s="31" t="s">
        <v>457</v>
      </c>
      <c r="M57" s="31" t="s">
        <v>5405</v>
      </c>
      <c r="N57" s="31" t="s">
        <v>5364</v>
      </c>
      <c r="O57" s="31" t="s">
        <v>5365</v>
      </c>
      <c r="P57" s="31" t="s">
        <v>5366</v>
      </c>
      <c r="Q57" s="31" t="s">
        <v>5367</v>
      </c>
      <c r="R57" s="31" t="s">
        <v>5368</v>
      </c>
      <c r="S57" s="31" t="s">
        <v>5369</v>
      </c>
      <c r="T57" s="31" t="s">
        <v>5370</v>
      </c>
      <c r="U57" s="31" t="s">
        <v>1458</v>
      </c>
      <c r="V57" s="31" t="s">
        <v>3044</v>
      </c>
      <c r="W57" s="31" t="s">
        <v>2551</v>
      </c>
      <c r="X57" s="31"/>
      <c r="Y57" s="31"/>
      <c r="Z57" s="31"/>
      <c r="AA57" s="31" t="s">
        <v>3048</v>
      </c>
      <c r="AB57" s="31" t="s">
        <v>2554</v>
      </c>
      <c r="AC57" s="31"/>
    </row>
    <row r="58" spans="1:29">
      <c r="A58" s="30" t="s">
        <v>5664</v>
      </c>
      <c r="B58" s="30" t="s">
        <v>15</v>
      </c>
      <c r="C58" s="30" t="s">
        <v>407</v>
      </c>
      <c r="D58" s="31" t="s">
        <v>5444</v>
      </c>
      <c r="E58" s="31" t="s">
        <v>5357</v>
      </c>
      <c r="F58" s="31" t="s">
        <v>4281</v>
      </c>
      <c r="G58" s="31" t="s">
        <v>5446</v>
      </c>
      <c r="H58" s="31" t="s">
        <v>5665</v>
      </c>
      <c r="I58" s="31" t="s">
        <v>5666</v>
      </c>
      <c r="J58" s="31"/>
      <c r="K58" s="31" t="s">
        <v>5634</v>
      </c>
      <c r="L58" s="31" t="s">
        <v>438</v>
      </c>
      <c r="M58" s="31" t="s">
        <v>438</v>
      </c>
      <c r="N58" s="31" t="s">
        <v>5364</v>
      </c>
      <c r="O58" s="31" t="s">
        <v>5365</v>
      </c>
      <c r="P58" s="31" t="s">
        <v>5366</v>
      </c>
      <c r="Q58" s="31" t="s">
        <v>5367</v>
      </c>
      <c r="R58" s="31" t="s">
        <v>5368</v>
      </c>
      <c r="S58" s="31" t="s">
        <v>5369</v>
      </c>
      <c r="T58" s="31" t="s">
        <v>5370</v>
      </c>
      <c r="U58" s="31" t="s">
        <v>74</v>
      </c>
      <c r="V58" s="31" t="s">
        <v>2489</v>
      </c>
      <c r="W58" s="31" t="s">
        <v>4280</v>
      </c>
      <c r="X58" s="31"/>
      <c r="Y58" s="31"/>
      <c r="Z58" s="31" t="s">
        <v>75</v>
      </c>
      <c r="AA58" s="31" t="s">
        <v>2493</v>
      </c>
      <c r="AB58" s="31" t="s">
        <v>2343</v>
      </c>
      <c r="AC58" s="31"/>
    </row>
    <row r="59" spans="1:29">
      <c r="A59" s="30" t="s">
        <v>5667</v>
      </c>
      <c r="B59" s="30" t="s">
        <v>15</v>
      </c>
      <c r="C59" s="30" t="s">
        <v>407</v>
      </c>
      <c r="D59" s="31" t="s">
        <v>5444</v>
      </c>
      <c r="E59" s="31" t="s">
        <v>5357</v>
      </c>
      <c r="F59" s="31" t="s">
        <v>5668</v>
      </c>
      <c r="G59" s="31" t="s">
        <v>5669</v>
      </c>
      <c r="H59" s="31" t="s">
        <v>5670</v>
      </c>
      <c r="I59" s="31" t="s">
        <v>5671</v>
      </c>
      <c r="J59" s="31"/>
      <c r="K59" s="31" t="s">
        <v>5634</v>
      </c>
      <c r="L59" s="31" t="s">
        <v>457</v>
      </c>
      <c r="M59" s="31" t="s">
        <v>5405</v>
      </c>
      <c r="N59" s="31" t="s">
        <v>5364</v>
      </c>
      <c r="O59" s="31" t="s">
        <v>5365</v>
      </c>
      <c r="P59" s="31" t="s">
        <v>5366</v>
      </c>
      <c r="Q59" s="31" t="s">
        <v>5367</v>
      </c>
      <c r="R59" s="31" t="s">
        <v>5368</v>
      </c>
      <c r="S59" s="31" t="s">
        <v>5369</v>
      </c>
      <c r="T59" s="31" t="s">
        <v>5370</v>
      </c>
      <c r="U59" s="31" t="s">
        <v>1533</v>
      </c>
      <c r="V59" s="31" t="s">
        <v>2489</v>
      </c>
      <c r="W59" s="31" t="s">
        <v>4280</v>
      </c>
      <c r="X59" s="31"/>
      <c r="Y59" s="31"/>
      <c r="Z59" s="31"/>
      <c r="AA59" s="31" t="s">
        <v>2493</v>
      </c>
      <c r="AB59" s="31" t="s">
        <v>2343</v>
      </c>
      <c r="AC59" s="31"/>
    </row>
    <row r="60" spans="1:29" ht="75">
      <c r="A60" s="30" t="s">
        <v>5672</v>
      </c>
      <c r="B60" s="30" t="s">
        <v>15</v>
      </c>
      <c r="C60" s="30" t="s">
        <v>407</v>
      </c>
      <c r="D60" s="31" t="s">
        <v>5419</v>
      </c>
      <c r="E60" s="31" t="s">
        <v>5357</v>
      </c>
      <c r="F60" s="31" t="s">
        <v>5673</v>
      </c>
      <c r="G60" s="31" t="s">
        <v>5674</v>
      </c>
      <c r="H60" s="31" t="s">
        <v>5675</v>
      </c>
      <c r="I60" s="31" t="s">
        <v>5676</v>
      </c>
      <c r="J60" s="31"/>
      <c r="K60" s="31" t="s">
        <v>5634</v>
      </c>
      <c r="L60" s="31" t="s">
        <v>438</v>
      </c>
      <c r="M60" s="31" t="s">
        <v>438</v>
      </c>
      <c r="N60" s="31" t="s">
        <v>5364</v>
      </c>
      <c r="O60" s="31" t="s">
        <v>5365</v>
      </c>
      <c r="P60" s="31" t="s">
        <v>5366</v>
      </c>
      <c r="Q60" s="31" t="s">
        <v>5367</v>
      </c>
      <c r="R60" s="31" t="s">
        <v>5368</v>
      </c>
      <c r="S60" s="31" t="s">
        <v>5369</v>
      </c>
      <c r="T60" s="31" t="s">
        <v>5370</v>
      </c>
      <c r="U60" s="31" t="s">
        <v>80</v>
      </c>
      <c r="V60" s="31" t="s">
        <v>2520</v>
      </c>
      <c r="W60" s="31" t="s">
        <v>4296</v>
      </c>
      <c r="X60" s="31"/>
      <c r="Y60" s="31"/>
      <c r="Z60" s="31" t="s">
        <v>79</v>
      </c>
      <c r="AA60" s="31" t="s">
        <v>2524</v>
      </c>
      <c r="AB60" s="31" t="s">
        <v>2343</v>
      </c>
      <c r="AC60" s="31"/>
    </row>
    <row r="61" spans="1:29" ht="45">
      <c r="A61" s="30" t="s">
        <v>5677</v>
      </c>
      <c r="B61" s="30" t="s">
        <v>15</v>
      </c>
      <c r="C61" s="30" t="s">
        <v>407</v>
      </c>
      <c r="D61" s="31" t="s">
        <v>5419</v>
      </c>
      <c r="E61" s="31" t="s">
        <v>5357</v>
      </c>
      <c r="F61" s="31" t="s">
        <v>5678</v>
      </c>
      <c r="G61" s="31" t="s">
        <v>5679</v>
      </c>
      <c r="H61" s="31" t="s">
        <v>5680</v>
      </c>
      <c r="I61" s="31" t="s">
        <v>5681</v>
      </c>
      <c r="J61" s="31"/>
      <c r="K61" s="31" t="s">
        <v>5634</v>
      </c>
      <c r="L61" s="31" t="s">
        <v>457</v>
      </c>
      <c r="M61" s="31" t="s">
        <v>5405</v>
      </c>
      <c r="N61" s="31" t="s">
        <v>5364</v>
      </c>
      <c r="O61" s="31" t="s">
        <v>5365</v>
      </c>
      <c r="P61" s="31" t="s">
        <v>5366</v>
      </c>
      <c r="Q61" s="31" t="s">
        <v>5367</v>
      </c>
      <c r="R61" s="31" t="s">
        <v>5368</v>
      </c>
      <c r="S61" s="31" t="s">
        <v>5369</v>
      </c>
      <c r="T61" s="31" t="s">
        <v>5370</v>
      </c>
      <c r="U61" s="31" t="s">
        <v>80</v>
      </c>
      <c r="V61" s="31" t="s">
        <v>2520</v>
      </c>
      <c r="W61" s="31" t="s">
        <v>4296</v>
      </c>
      <c r="X61" s="31"/>
      <c r="Y61" s="31"/>
      <c r="Z61" s="31" t="s">
        <v>79</v>
      </c>
      <c r="AA61" s="31" t="s">
        <v>2524</v>
      </c>
      <c r="AB61" s="31" t="s">
        <v>2343</v>
      </c>
      <c r="AC61" s="31"/>
    </row>
    <row r="62" spans="1:29" ht="45">
      <c r="A62" s="30" t="s">
        <v>5682</v>
      </c>
      <c r="B62" s="30" t="s">
        <v>15</v>
      </c>
      <c r="C62" s="30" t="s">
        <v>407</v>
      </c>
      <c r="D62" s="31" t="s">
        <v>5440</v>
      </c>
      <c r="E62" s="31" t="s">
        <v>5357</v>
      </c>
      <c r="F62" s="31" t="s">
        <v>4304</v>
      </c>
      <c r="G62" s="31" t="s">
        <v>5683</v>
      </c>
      <c r="H62" s="31" t="s">
        <v>5684</v>
      </c>
      <c r="I62" s="31" t="s">
        <v>5685</v>
      </c>
      <c r="J62" s="31"/>
      <c r="K62" s="31" t="s">
        <v>5634</v>
      </c>
      <c r="L62" s="31" t="s">
        <v>457</v>
      </c>
      <c r="M62" s="31" t="s">
        <v>5405</v>
      </c>
      <c r="N62" s="31" t="s">
        <v>5364</v>
      </c>
      <c r="O62" s="31" t="s">
        <v>5365</v>
      </c>
      <c r="P62" s="31" t="s">
        <v>5366</v>
      </c>
      <c r="Q62" s="31" t="s">
        <v>5367</v>
      </c>
      <c r="R62" s="31" t="s">
        <v>5368</v>
      </c>
      <c r="S62" s="31" t="s">
        <v>5369</v>
      </c>
      <c r="T62" s="31" t="s">
        <v>5370</v>
      </c>
      <c r="U62" s="31" t="s">
        <v>74</v>
      </c>
      <c r="V62" s="31" t="s">
        <v>2763</v>
      </c>
      <c r="W62" s="31" t="s">
        <v>4303</v>
      </c>
      <c r="X62" s="31"/>
      <c r="Y62" s="31"/>
      <c r="Z62" s="31" t="s">
        <v>75</v>
      </c>
      <c r="AA62" s="31" t="s">
        <v>2766</v>
      </c>
      <c r="AB62" s="31" t="s">
        <v>4290</v>
      </c>
      <c r="AC62" s="31"/>
    </row>
    <row r="63" spans="1:29" ht="30">
      <c r="A63" s="30" t="s">
        <v>5686</v>
      </c>
      <c r="B63" s="30" t="s">
        <v>15</v>
      </c>
      <c r="C63" s="30" t="s">
        <v>407</v>
      </c>
      <c r="D63" s="31" t="s">
        <v>5687</v>
      </c>
      <c r="E63" s="31" t="s">
        <v>5357</v>
      </c>
      <c r="F63" s="31" t="s">
        <v>4310</v>
      </c>
      <c r="G63" s="31" t="s">
        <v>5683</v>
      </c>
      <c r="H63" s="31" t="s">
        <v>5688</v>
      </c>
      <c r="I63" s="31" t="s">
        <v>5689</v>
      </c>
      <c r="J63" s="31"/>
      <c r="K63" s="31" t="s">
        <v>5634</v>
      </c>
      <c r="L63" s="31" t="s">
        <v>457</v>
      </c>
      <c r="M63" s="31" t="s">
        <v>438</v>
      </c>
      <c r="N63" s="31" t="s">
        <v>5364</v>
      </c>
      <c r="O63" s="31" t="s">
        <v>5365</v>
      </c>
      <c r="P63" s="31" t="s">
        <v>5366</v>
      </c>
      <c r="Q63" s="31" t="s">
        <v>5367</v>
      </c>
      <c r="R63" s="31" t="s">
        <v>5368</v>
      </c>
      <c r="S63" s="31" t="s">
        <v>5369</v>
      </c>
      <c r="T63" s="31" t="s">
        <v>5370</v>
      </c>
      <c r="U63" s="31" t="s">
        <v>74</v>
      </c>
      <c r="V63" s="31" t="s">
        <v>2776</v>
      </c>
      <c r="W63" s="31" t="s">
        <v>4309</v>
      </c>
      <c r="X63" s="31"/>
      <c r="Y63" s="31"/>
      <c r="Z63" s="31" t="s">
        <v>75</v>
      </c>
      <c r="AA63" s="31" t="s">
        <v>2778</v>
      </c>
      <c r="AB63" s="31" t="s">
        <v>4290</v>
      </c>
      <c r="AC63" s="31"/>
    </row>
    <row r="64" spans="1:29">
      <c r="A64" s="30" t="s">
        <v>5690</v>
      </c>
      <c r="B64" s="30" t="s">
        <v>15</v>
      </c>
      <c r="C64" s="30" t="s">
        <v>407</v>
      </c>
      <c r="D64" s="31" t="s">
        <v>5393</v>
      </c>
      <c r="E64" s="31" t="s">
        <v>5357</v>
      </c>
      <c r="F64" s="31" t="s">
        <v>5691</v>
      </c>
      <c r="G64" s="31" t="s">
        <v>5446</v>
      </c>
      <c r="H64" s="31" t="s">
        <v>5692</v>
      </c>
      <c r="I64" s="31" t="s">
        <v>5693</v>
      </c>
      <c r="J64" s="31"/>
      <c r="K64" s="31" t="s">
        <v>5634</v>
      </c>
      <c r="L64" s="31" t="s">
        <v>438</v>
      </c>
      <c r="M64" s="31" t="s">
        <v>438</v>
      </c>
      <c r="N64" s="31" t="s">
        <v>5364</v>
      </c>
      <c r="O64" s="31" t="s">
        <v>5365</v>
      </c>
      <c r="P64" s="31" t="s">
        <v>5366</v>
      </c>
      <c r="Q64" s="31" t="s">
        <v>5367</v>
      </c>
      <c r="R64" s="31" t="s">
        <v>5368</v>
      </c>
      <c r="S64" s="31" t="s">
        <v>5369</v>
      </c>
      <c r="T64" s="31" t="s">
        <v>5370</v>
      </c>
      <c r="U64" s="31" t="s">
        <v>74</v>
      </c>
      <c r="V64" s="31" t="s">
        <v>2489</v>
      </c>
      <c r="W64" s="31" t="s">
        <v>4315</v>
      </c>
      <c r="X64" s="31"/>
      <c r="Y64" s="31"/>
      <c r="Z64" s="31" t="s">
        <v>75</v>
      </c>
      <c r="AA64" s="31" t="s">
        <v>2493</v>
      </c>
      <c r="AB64" s="31" t="s">
        <v>4317</v>
      </c>
      <c r="AC64" s="31"/>
    </row>
    <row r="65" spans="1:29">
      <c r="A65" s="30" t="s">
        <v>5694</v>
      </c>
      <c r="B65" s="30" t="s">
        <v>15</v>
      </c>
      <c r="C65" s="30" t="s">
        <v>407</v>
      </c>
      <c r="D65" s="31" t="s">
        <v>5653</v>
      </c>
      <c r="E65" s="31" t="s">
        <v>5385</v>
      </c>
      <c r="F65" s="31" t="s">
        <v>5695</v>
      </c>
      <c r="G65" s="31" t="s">
        <v>1526</v>
      </c>
      <c r="H65" s="31" t="s">
        <v>5696</v>
      </c>
      <c r="I65" s="31" t="s">
        <v>5697</v>
      </c>
      <c r="J65" s="31"/>
      <c r="K65" s="31" t="s">
        <v>5634</v>
      </c>
      <c r="L65" s="31" t="s">
        <v>496</v>
      </c>
      <c r="M65" s="31" t="s">
        <v>5391</v>
      </c>
      <c r="N65" s="31" t="s">
        <v>5364</v>
      </c>
      <c r="O65" s="31" t="s">
        <v>5365</v>
      </c>
      <c r="P65" s="31" t="s">
        <v>5366</v>
      </c>
      <c r="Q65" s="31" t="s">
        <v>5367</v>
      </c>
      <c r="R65" s="31" t="s">
        <v>5368</v>
      </c>
      <c r="S65" s="31" t="s">
        <v>5369</v>
      </c>
      <c r="T65" s="31" t="s">
        <v>5370</v>
      </c>
      <c r="U65" s="31" t="s">
        <v>1520</v>
      </c>
      <c r="V65" s="31" t="s">
        <v>2489</v>
      </c>
      <c r="W65" s="31"/>
      <c r="X65" s="31"/>
      <c r="Y65" s="31"/>
      <c r="Z65" s="31"/>
      <c r="AA65" s="31" t="s">
        <v>2493</v>
      </c>
      <c r="AB65" s="31" t="s">
        <v>2494</v>
      </c>
      <c r="AC65" s="31"/>
    </row>
    <row r="66" spans="1:29" ht="30">
      <c r="A66" s="30" t="s">
        <v>5698</v>
      </c>
      <c r="B66" s="30" t="s">
        <v>15</v>
      </c>
      <c r="C66" s="30" t="s">
        <v>407</v>
      </c>
      <c r="D66" s="31" t="s">
        <v>79</v>
      </c>
      <c r="E66" s="31" t="s">
        <v>5385</v>
      </c>
      <c r="F66" s="31" t="s">
        <v>5699</v>
      </c>
      <c r="G66" s="31" t="s">
        <v>5700</v>
      </c>
      <c r="H66" s="31" t="s">
        <v>5701</v>
      </c>
      <c r="I66" s="31" t="s">
        <v>5702</v>
      </c>
      <c r="J66" s="31"/>
      <c r="K66" s="31" t="s">
        <v>5634</v>
      </c>
      <c r="L66" s="31" t="s">
        <v>457</v>
      </c>
      <c r="M66" s="31" t="s">
        <v>5405</v>
      </c>
      <c r="N66" s="31" t="s">
        <v>5364</v>
      </c>
      <c r="O66" s="31" t="s">
        <v>5365</v>
      </c>
      <c r="P66" s="31" t="s">
        <v>5366</v>
      </c>
      <c r="Q66" s="31" t="s">
        <v>5367</v>
      </c>
      <c r="R66" s="31" t="s">
        <v>5368</v>
      </c>
      <c r="S66" s="31" t="s">
        <v>5369</v>
      </c>
      <c r="T66" s="31" t="s">
        <v>5370</v>
      </c>
      <c r="U66" s="31" t="s">
        <v>1546</v>
      </c>
      <c r="V66" s="31" t="s">
        <v>2520</v>
      </c>
      <c r="W66" s="31"/>
      <c r="X66" s="31"/>
      <c r="Y66" s="31"/>
      <c r="Z66" s="31"/>
      <c r="AA66" s="31" t="s">
        <v>2524</v>
      </c>
      <c r="AB66" s="31" t="s">
        <v>2343</v>
      </c>
      <c r="AC66" s="31"/>
    </row>
    <row r="67" spans="1:29" ht="30">
      <c r="A67" s="30" t="s">
        <v>5703</v>
      </c>
      <c r="B67" s="30" t="s">
        <v>15</v>
      </c>
      <c r="C67" s="30" t="s">
        <v>407</v>
      </c>
      <c r="D67" s="31" t="s">
        <v>79</v>
      </c>
      <c r="E67" s="31" t="s">
        <v>5385</v>
      </c>
      <c r="F67" s="31" t="s">
        <v>5704</v>
      </c>
      <c r="G67" s="31" t="s">
        <v>5705</v>
      </c>
      <c r="H67" s="31" t="s">
        <v>5706</v>
      </c>
      <c r="I67" s="31" t="s">
        <v>5707</v>
      </c>
      <c r="J67" s="31"/>
      <c r="K67" s="31" t="s">
        <v>5634</v>
      </c>
      <c r="L67" s="31" t="s">
        <v>496</v>
      </c>
      <c r="M67" s="31" t="s">
        <v>5391</v>
      </c>
      <c r="N67" s="31" t="s">
        <v>5364</v>
      </c>
      <c r="O67" s="31" t="s">
        <v>5365</v>
      </c>
      <c r="P67" s="31" t="s">
        <v>5366</v>
      </c>
      <c r="Q67" s="31" t="s">
        <v>5367</v>
      </c>
      <c r="R67" s="31" t="s">
        <v>5368</v>
      </c>
      <c r="S67" s="31" t="s">
        <v>5369</v>
      </c>
      <c r="T67" s="31" t="s">
        <v>5370</v>
      </c>
      <c r="U67" s="31" t="s">
        <v>1564</v>
      </c>
      <c r="V67" s="31" t="s">
        <v>2520</v>
      </c>
      <c r="W67" s="31"/>
      <c r="X67" s="31"/>
      <c r="Y67" s="31"/>
      <c r="Z67" s="31"/>
      <c r="AA67" s="31" t="s">
        <v>2524</v>
      </c>
      <c r="AB67" s="31" t="s">
        <v>2343</v>
      </c>
      <c r="AC67" s="31"/>
    </row>
    <row r="68" spans="1:29">
      <c r="A68" s="30" t="s">
        <v>5708</v>
      </c>
      <c r="B68" s="30" t="s">
        <v>15</v>
      </c>
      <c r="C68" s="30" t="s">
        <v>89</v>
      </c>
      <c r="D68" s="31" t="s">
        <v>5444</v>
      </c>
      <c r="E68" s="31" t="s">
        <v>5357</v>
      </c>
      <c r="F68" s="31" t="s">
        <v>2766</v>
      </c>
      <c r="G68" s="31" t="s">
        <v>5709</v>
      </c>
      <c r="H68" s="31" t="s">
        <v>5710</v>
      </c>
      <c r="I68" s="31" t="s">
        <v>5711</v>
      </c>
      <c r="J68" s="31"/>
      <c r="K68" s="31" t="s">
        <v>5634</v>
      </c>
      <c r="L68" s="31" t="s">
        <v>438</v>
      </c>
      <c r="M68" s="31" t="s">
        <v>438</v>
      </c>
      <c r="N68" s="31" t="s">
        <v>5364</v>
      </c>
      <c r="O68" s="31" t="s">
        <v>5365</v>
      </c>
      <c r="P68" s="31" t="s">
        <v>5366</v>
      </c>
      <c r="Q68" s="31" t="s">
        <v>5367</v>
      </c>
      <c r="R68" s="31" t="s">
        <v>5368</v>
      </c>
      <c r="S68" s="31" t="s">
        <v>5369</v>
      </c>
      <c r="T68" s="31" t="s">
        <v>5370</v>
      </c>
      <c r="U68" s="31" t="s">
        <v>91</v>
      </c>
      <c r="V68" s="31" t="s">
        <v>2550</v>
      </c>
      <c r="W68" s="31" t="s">
        <v>4322</v>
      </c>
      <c r="X68" s="31"/>
      <c r="Y68" s="31"/>
      <c r="Z68" s="31" t="s">
        <v>92</v>
      </c>
      <c r="AA68" s="31" t="s">
        <v>2553</v>
      </c>
      <c r="AB68" s="31" t="s">
        <v>2494</v>
      </c>
      <c r="AC68" s="31"/>
    </row>
    <row r="69" spans="1:29">
      <c r="A69" s="30" t="s">
        <v>5712</v>
      </c>
      <c r="B69" s="30" t="s">
        <v>15</v>
      </c>
      <c r="C69" s="30" t="s">
        <v>89</v>
      </c>
      <c r="D69" s="31" t="s">
        <v>5713</v>
      </c>
      <c r="E69" s="31" t="s">
        <v>5357</v>
      </c>
      <c r="F69" s="31" t="s">
        <v>2761</v>
      </c>
      <c r="G69" s="31" t="s">
        <v>5714</v>
      </c>
      <c r="H69" s="31" t="s">
        <v>5715</v>
      </c>
      <c r="I69" s="31" t="s">
        <v>5716</v>
      </c>
      <c r="J69" s="31"/>
      <c r="K69" s="31" t="s">
        <v>5634</v>
      </c>
      <c r="L69" s="31" t="s">
        <v>457</v>
      </c>
      <c r="M69" s="31" t="s">
        <v>5405</v>
      </c>
      <c r="N69" s="31" t="s">
        <v>5364</v>
      </c>
      <c r="O69" s="31" t="s">
        <v>5365</v>
      </c>
      <c r="P69" s="31" t="s">
        <v>5366</v>
      </c>
      <c r="Q69" s="31" t="s">
        <v>5367</v>
      </c>
      <c r="R69" s="31" t="s">
        <v>5368</v>
      </c>
      <c r="S69" s="31" t="s">
        <v>5369</v>
      </c>
      <c r="T69" s="31" t="s">
        <v>5370</v>
      </c>
      <c r="U69" s="31" t="s">
        <v>1610</v>
      </c>
      <c r="V69" s="31" t="s">
        <v>2550</v>
      </c>
      <c r="W69" s="31" t="s">
        <v>4322</v>
      </c>
      <c r="X69" s="31"/>
      <c r="Y69" s="31"/>
      <c r="Z69" s="31"/>
      <c r="AA69" s="31" t="s">
        <v>2553</v>
      </c>
      <c r="AB69" s="31" t="s">
        <v>2494</v>
      </c>
      <c r="AC69" s="31"/>
    </row>
    <row r="70" spans="1:29" ht="60">
      <c r="A70" s="30" t="s">
        <v>5717</v>
      </c>
      <c r="B70" s="30" t="s">
        <v>15</v>
      </c>
      <c r="C70" s="30" t="s">
        <v>89</v>
      </c>
      <c r="D70" s="31" t="s">
        <v>5419</v>
      </c>
      <c r="E70" s="31" t="s">
        <v>5357</v>
      </c>
      <c r="F70" s="31" t="s">
        <v>5718</v>
      </c>
      <c r="G70" s="31" t="s">
        <v>5719</v>
      </c>
      <c r="H70" s="31" t="s">
        <v>5720</v>
      </c>
      <c r="I70" s="31" t="s">
        <v>5721</v>
      </c>
      <c r="J70" s="31"/>
      <c r="K70" s="31" t="s">
        <v>5634</v>
      </c>
      <c r="L70" s="31" t="s">
        <v>438</v>
      </c>
      <c r="M70" s="31" t="s">
        <v>438</v>
      </c>
      <c r="N70" s="31" t="s">
        <v>5364</v>
      </c>
      <c r="O70" s="31" t="s">
        <v>5365</v>
      </c>
      <c r="P70" s="31" t="s">
        <v>5366</v>
      </c>
      <c r="Q70" s="31" t="s">
        <v>5367</v>
      </c>
      <c r="R70" s="31" t="s">
        <v>5368</v>
      </c>
      <c r="S70" s="31" t="s">
        <v>5369</v>
      </c>
      <c r="T70" s="31" t="s">
        <v>5370</v>
      </c>
      <c r="U70" s="31" t="s">
        <v>95</v>
      </c>
      <c r="V70" s="31" t="s">
        <v>2811</v>
      </c>
      <c r="W70" s="31" t="s">
        <v>4333</v>
      </c>
      <c r="X70" s="31"/>
      <c r="Y70" s="31"/>
      <c r="Z70" s="31" t="s">
        <v>96</v>
      </c>
      <c r="AA70" s="31" t="s">
        <v>2812</v>
      </c>
      <c r="AB70" s="31" t="s">
        <v>2494</v>
      </c>
      <c r="AC70" s="31"/>
    </row>
    <row r="71" spans="1:29" ht="30">
      <c r="A71" s="30" t="s">
        <v>5722</v>
      </c>
      <c r="B71" s="30" t="s">
        <v>15</v>
      </c>
      <c r="C71" s="30" t="s">
        <v>89</v>
      </c>
      <c r="D71" s="31" t="s">
        <v>5419</v>
      </c>
      <c r="E71" s="31" t="s">
        <v>5357</v>
      </c>
      <c r="F71" s="31" t="s">
        <v>5723</v>
      </c>
      <c r="G71" s="31" t="s">
        <v>5719</v>
      </c>
      <c r="H71" s="31" t="s">
        <v>5724</v>
      </c>
      <c r="I71" s="31" t="s">
        <v>5725</v>
      </c>
      <c r="J71" s="31"/>
      <c r="K71" s="31" t="s">
        <v>5634</v>
      </c>
      <c r="L71" s="31" t="s">
        <v>457</v>
      </c>
      <c r="M71" s="31" t="s">
        <v>5405</v>
      </c>
      <c r="N71" s="31" t="s">
        <v>5364</v>
      </c>
      <c r="O71" s="31" t="s">
        <v>5365</v>
      </c>
      <c r="P71" s="31" t="s">
        <v>5366</v>
      </c>
      <c r="Q71" s="31" t="s">
        <v>5367</v>
      </c>
      <c r="R71" s="31" t="s">
        <v>5368</v>
      </c>
      <c r="S71" s="31" t="s">
        <v>5369</v>
      </c>
      <c r="T71" s="31" t="s">
        <v>5370</v>
      </c>
      <c r="U71" s="31" t="s">
        <v>1623</v>
      </c>
      <c r="V71" s="31" t="s">
        <v>2811</v>
      </c>
      <c r="W71" s="31"/>
      <c r="X71" s="31"/>
      <c r="Y71" s="31"/>
      <c r="Z71" s="31"/>
      <c r="AA71" s="31" t="s">
        <v>2812</v>
      </c>
      <c r="AB71" s="31" t="s">
        <v>2827</v>
      </c>
      <c r="AC71" s="31"/>
    </row>
    <row r="72" spans="1:29" ht="30">
      <c r="A72" s="30" t="s">
        <v>5726</v>
      </c>
      <c r="B72" s="30" t="s">
        <v>15</v>
      </c>
      <c r="C72" s="30" t="s">
        <v>89</v>
      </c>
      <c r="D72" s="31" t="s">
        <v>5440</v>
      </c>
      <c r="E72" s="31" t="s">
        <v>5357</v>
      </c>
      <c r="F72" s="31" t="s">
        <v>4338</v>
      </c>
      <c r="G72" s="31" t="s">
        <v>5727</v>
      </c>
      <c r="H72" s="31" t="s">
        <v>5728</v>
      </c>
      <c r="I72" s="31" t="s">
        <v>5729</v>
      </c>
      <c r="J72" s="31"/>
      <c r="K72" s="31" t="s">
        <v>5634</v>
      </c>
      <c r="L72" s="31" t="s">
        <v>457</v>
      </c>
      <c r="M72" s="31" t="s">
        <v>5405</v>
      </c>
      <c r="N72" s="31" t="s">
        <v>5364</v>
      </c>
      <c r="O72" s="31" t="s">
        <v>5365</v>
      </c>
      <c r="P72" s="31" t="s">
        <v>5366</v>
      </c>
      <c r="Q72" s="31" t="s">
        <v>5367</v>
      </c>
      <c r="R72" s="31" t="s">
        <v>5368</v>
      </c>
      <c r="S72" s="31" t="s">
        <v>5369</v>
      </c>
      <c r="T72" s="31" t="s">
        <v>5370</v>
      </c>
      <c r="U72" s="31" t="s">
        <v>95</v>
      </c>
      <c r="V72" s="31" t="s">
        <v>2937</v>
      </c>
      <c r="W72" s="31" t="s">
        <v>4337</v>
      </c>
      <c r="X72" s="31"/>
      <c r="Y72" s="31"/>
      <c r="Z72" s="31" t="s">
        <v>96</v>
      </c>
      <c r="AA72" s="31" t="s">
        <v>114</v>
      </c>
      <c r="AB72" s="31" t="s">
        <v>4330</v>
      </c>
      <c r="AC72" s="31"/>
    </row>
    <row r="73" spans="1:29" ht="30">
      <c r="A73" s="30" t="s">
        <v>5730</v>
      </c>
      <c r="B73" s="30" t="s">
        <v>15</v>
      </c>
      <c r="C73" s="30" t="s">
        <v>89</v>
      </c>
      <c r="D73" s="31" t="s">
        <v>5687</v>
      </c>
      <c r="E73" s="31" t="s">
        <v>5357</v>
      </c>
      <c r="F73" s="31" t="s">
        <v>4343</v>
      </c>
      <c r="G73" s="31" t="s">
        <v>92</v>
      </c>
      <c r="H73" s="31" t="s">
        <v>5731</v>
      </c>
      <c r="I73" s="31" t="s">
        <v>5732</v>
      </c>
      <c r="J73" s="31"/>
      <c r="K73" s="31" t="s">
        <v>5634</v>
      </c>
      <c r="L73" s="31" t="s">
        <v>457</v>
      </c>
      <c r="M73" s="31" t="s">
        <v>438</v>
      </c>
      <c r="N73" s="31" t="s">
        <v>5364</v>
      </c>
      <c r="O73" s="31" t="s">
        <v>5365</v>
      </c>
      <c r="P73" s="31" t="s">
        <v>5366</v>
      </c>
      <c r="Q73" s="31" t="s">
        <v>5367</v>
      </c>
      <c r="R73" s="31" t="s">
        <v>5368</v>
      </c>
      <c r="S73" s="31" t="s">
        <v>5369</v>
      </c>
      <c r="T73" s="31" t="s">
        <v>5370</v>
      </c>
      <c r="U73" s="31" t="s">
        <v>91</v>
      </c>
      <c r="V73" s="31" t="s">
        <v>2958</v>
      </c>
      <c r="W73" s="31" t="s">
        <v>4342</v>
      </c>
      <c r="X73" s="31"/>
      <c r="Y73" s="31"/>
      <c r="Z73" s="31" t="s">
        <v>92</v>
      </c>
      <c r="AA73" s="31" t="s">
        <v>120</v>
      </c>
      <c r="AB73" s="31" t="s">
        <v>4330</v>
      </c>
      <c r="AC73" s="31"/>
    </row>
    <row r="74" spans="1:29">
      <c r="A74" s="30" t="s">
        <v>5733</v>
      </c>
      <c r="B74" s="30" t="s">
        <v>15</v>
      </c>
      <c r="C74" s="30" t="s">
        <v>89</v>
      </c>
      <c r="D74" s="31" t="s">
        <v>5653</v>
      </c>
      <c r="E74" s="31" t="s">
        <v>5385</v>
      </c>
      <c r="F74" s="31" t="s">
        <v>5734</v>
      </c>
      <c r="G74" s="31" t="s">
        <v>1605</v>
      </c>
      <c r="H74" s="31" t="s">
        <v>5710</v>
      </c>
      <c r="I74" s="31" t="s">
        <v>5735</v>
      </c>
      <c r="J74" s="31"/>
      <c r="K74" s="31" t="s">
        <v>5634</v>
      </c>
      <c r="L74" s="31" t="s">
        <v>496</v>
      </c>
      <c r="M74" s="31" t="s">
        <v>5391</v>
      </c>
      <c r="N74" s="31" t="s">
        <v>5364</v>
      </c>
      <c r="O74" s="31" t="s">
        <v>5365</v>
      </c>
      <c r="P74" s="31" t="s">
        <v>5366</v>
      </c>
      <c r="Q74" s="31" t="s">
        <v>5367</v>
      </c>
      <c r="R74" s="31" t="s">
        <v>5368</v>
      </c>
      <c r="S74" s="31" t="s">
        <v>5369</v>
      </c>
      <c r="T74" s="31" t="s">
        <v>5370</v>
      </c>
      <c r="U74" s="31" t="s">
        <v>1599</v>
      </c>
      <c r="V74" s="31" t="s">
        <v>2550</v>
      </c>
      <c r="W74" s="31"/>
      <c r="X74" s="31"/>
      <c r="Y74" s="31"/>
      <c r="Z74" s="31"/>
      <c r="AA74" s="31" t="s">
        <v>2553</v>
      </c>
      <c r="AB74" s="31" t="s">
        <v>2554</v>
      </c>
      <c r="AC74" s="31"/>
    </row>
    <row r="75" spans="1:29">
      <c r="A75" s="30" t="s">
        <v>5736</v>
      </c>
      <c r="B75" s="30" t="s">
        <v>15</v>
      </c>
      <c r="C75" s="30" t="s">
        <v>123</v>
      </c>
      <c r="D75" s="31" t="s">
        <v>5444</v>
      </c>
      <c r="E75" s="31" t="s">
        <v>5357</v>
      </c>
      <c r="F75" s="31" t="s">
        <v>2583</v>
      </c>
      <c r="G75" s="31" t="s">
        <v>5737</v>
      </c>
      <c r="H75" s="31" t="s">
        <v>5738</v>
      </c>
      <c r="I75" s="31" t="s">
        <v>5739</v>
      </c>
      <c r="J75" s="31"/>
      <c r="K75" s="31" t="s">
        <v>5634</v>
      </c>
      <c r="L75" s="31" t="s">
        <v>438</v>
      </c>
      <c r="M75" s="31" t="s">
        <v>438</v>
      </c>
      <c r="N75" s="31" t="s">
        <v>5364</v>
      </c>
      <c r="O75" s="31" t="s">
        <v>5365</v>
      </c>
      <c r="P75" s="31" t="s">
        <v>5366</v>
      </c>
      <c r="Q75" s="31" t="s">
        <v>5367</v>
      </c>
      <c r="R75" s="31" t="s">
        <v>5368</v>
      </c>
      <c r="S75" s="31" t="s">
        <v>5369</v>
      </c>
      <c r="T75" s="31" t="s">
        <v>5370</v>
      </c>
      <c r="U75" s="31" t="s">
        <v>102</v>
      </c>
      <c r="V75" s="31" t="s">
        <v>2612</v>
      </c>
      <c r="W75" s="31" t="s">
        <v>4376</v>
      </c>
      <c r="X75" s="31"/>
      <c r="Y75" s="31"/>
      <c r="Z75" s="31" t="s">
        <v>103</v>
      </c>
      <c r="AA75" s="31" t="s">
        <v>147</v>
      </c>
      <c r="AB75" s="31" t="s">
        <v>2584</v>
      </c>
      <c r="AC75" s="31"/>
    </row>
    <row r="76" spans="1:29">
      <c r="A76" s="30" t="s">
        <v>5740</v>
      </c>
      <c r="B76" s="30" t="s">
        <v>15</v>
      </c>
      <c r="C76" s="30" t="s">
        <v>123</v>
      </c>
      <c r="D76" s="31" t="s">
        <v>5713</v>
      </c>
      <c r="E76" s="31" t="s">
        <v>5357</v>
      </c>
      <c r="F76" s="31" t="s">
        <v>5741</v>
      </c>
      <c r="G76" s="31" t="s">
        <v>5742</v>
      </c>
      <c r="H76" s="31" t="s">
        <v>5743</v>
      </c>
      <c r="I76" s="31" t="s">
        <v>5744</v>
      </c>
      <c r="J76" s="31"/>
      <c r="K76" s="31" t="s">
        <v>5634</v>
      </c>
      <c r="L76" s="31" t="s">
        <v>457</v>
      </c>
      <c r="M76" s="31" t="s">
        <v>5405</v>
      </c>
      <c r="N76" s="31" t="s">
        <v>5364</v>
      </c>
      <c r="O76" s="31" t="s">
        <v>5365</v>
      </c>
      <c r="P76" s="31" t="s">
        <v>5366</v>
      </c>
      <c r="Q76" s="31" t="s">
        <v>5367</v>
      </c>
      <c r="R76" s="31" t="s">
        <v>5368</v>
      </c>
      <c r="S76" s="31" t="s">
        <v>5369</v>
      </c>
      <c r="T76" s="31" t="s">
        <v>5370</v>
      </c>
      <c r="U76" s="31" t="s">
        <v>102</v>
      </c>
      <c r="V76" s="31" t="s">
        <v>2612</v>
      </c>
      <c r="W76" s="31" t="s">
        <v>4376</v>
      </c>
      <c r="X76" s="31"/>
      <c r="Y76" s="31"/>
      <c r="Z76" s="31" t="s">
        <v>103</v>
      </c>
      <c r="AA76" s="31" t="s">
        <v>147</v>
      </c>
      <c r="AB76" s="31" t="s">
        <v>2584</v>
      </c>
      <c r="AC76" s="31"/>
    </row>
    <row r="77" spans="1:29" ht="30">
      <c r="A77" s="30" t="s">
        <v>5745</v>
      </c>
      <c r="B77" s="30" t="s">
        <v>15</v>
      </c>
      <c r="C77" s="30" t="s">
        <v>123</v>
      </c>
      <c r="D77" s="31" t="s">
        <v>5419</v>
      </c>
      <c r="E77" s="31" t="s">
        <v>5357</v>
      </c>
      <c r="F77" s="31" t="s">
        <v>5746</v>
      </c>
      <c r="G77" s="31" t="s">
        <v>5747</v>
      </c>
      <c r="H77" s="31" t="s">
        <v>5748</v>
      </c>
      <c r="I77" s="31" t="s">
        <v>5749</v>
      </c>
      <c r="J77" s="31"/>
      <c r="K77" s="31" t="s">
        <v>5634</v>
      </c>
      <c r="L77" s="31" t="s">
        <v>438</v>
      </c>
      <c r="M77" s="31" t="s">
        <v>438</v>
      </c>
      <c r="N77" s="31" t="s">
        <v>5364</v>
      </c>
      <c r="O77" s="31" t="s">
        <v>5365</v>
      </c>
      <c r="P77" s="31" t="s">
        <v>5366</v>
      </c>
      <c r="Q77" s="31" t="s">
        <v>5367</v>
      </c>
      <c r="R77" s="31" t="s">
        <v>5368</v>
      </c>
      <c r="S77" s="31" t="s">
        <v>5369</v>
      </c>
      <c r="T77" s="31" t="s">
        <v>5370</v>
      </c>
      <c r="U77" s="31" t="s">
        <v>107</v>
      </c>
      <c r="V77" s="31" t="s">
        <v>2891</v>
      </c>
      <c r="W77" s="31" t="s">
        <v>4389</v>
      </c>
      <c r="X77" s="31"/>
      <c r="Y77" s="31"/>
      <c r="Z77" s="31" t="s">
        <v>108</v>
      </c>
      <c r="AA77" s="31" t="s">
        <v>2894</v>
      </c>
      <c r="AB77" s="31" t="s">
        <v>2584</v>
      </c>
      <c r="AC77" s="31"/>
    </row>
    <row r="78" spans="1:29" ht="30">
      <c r="A78" s="30" t="s">
        <v>5750</v>
      </c>
      <c r="B78" s="30" t="s">
        <v>15</v>
      </c>
      <c r="C78" s="30" t="s">
        <v>123</v>
      </c>
      <c r="D78" s="31" t="s">
        <v>5440</v>
      </c>
      <c r="E78" s="31" t="s">
        <v>5357</v>
      </c>
      <c r="F78" s="31" t="s">
        <v>4259</v>
      </c>
      <c r="G78" s="31" t="s">
        <v>5751</v>
      </c>
      <c r="H78" s="31" t="s">
        <v>5752</v>
      </c>
      <c r="I78" s="31" t="s">
        <v>5753</v>
      </c>
      <c r="J78" s="31"/>
      <c r="K78" s="31" t="s">
        <v>5634</v>
      </c>
      <c r="L78" s="31" t="s">
        <v>457</v>
      </c>
      <c r="M78" s="31" t="s">
        <v>5405</v>
      </c>
      <c r="N78" s="31" t="s">
        <v>5364</v>
      </c>
      <c r="O78" s="31" t="s">
        <v>5365</v>
      </c>
      <c r="P78" s="31" t="s">
        <v>5366</v>
      </c>
      <c r="Q78" s="31" t="s">
        <v>5367</v>
      </c>
      <c r="R78" s="31" t="s">
        <v>5368</v>
      </c>
      <c r="S78" s="31" t="s">
        <v>5369</v>
      </c>
      <c r="T78" s="31" t="s">
        <v>5370</v>
      </c>
      <c r="U78" s="31" t="s">
        <v>107</v>
      </c>
      <c r="V78" s="31" t="s">
        <v>2906</v>
      </c>
      <c r="W78" s="31" t="s">
        <v>4394</v>
      </c>
      <c r="X78" s="31"/>
      <c r="Y78" s="31"/>
      <c r="Z78" s="31" t="s">
        <v>108</v>
      </c>
      <c r="AA78" s="31" t="s">
        <v>159</v>
      </c>
      <c r="AB78" s="31" t="s">
        <v>4385</v>
      </c>
      <c r="AC78" s="31"/>
    </row>
    <row r="79" spans="1:29" ht="30">
      <c r="A79" s="30" t="s">
        <v>5754</v>
      </c>
      <c r="B79" s="30" t="s">
        <v>15</v>
      </c>
      <c r="C79" s="30" t="s">
        <v>123</v>
      </c>
      <c r="D79" s="31" t="s">
        <v>5687</v>
      </c>
      <c r="E79" s="31" t="s">
        <v>5357</v>
      </c>
      <c r="F79" s="31" t="s">
        <v>5755</v>
      </c>
      <c r="G79" s="31" t="s">
        <v>126</v>
      </c>
      <c r="H79" s="31" t="s">
        <v>5731</v>
      </c>
      <c r="I79" s="31" t="s">
        <v>5756</v>
      </c>
      <c r="J79" s="31"/>
      <c r="K79" s="31" t="s">
        <v>5634</v>
      </c>
      <c r="L79" s="31" t="s">
        <v>457</v>
      </c>
      <c r="M79" s="31" t="s">
        <v>438</v>
      </c>
      <c r="N79" s="31" t="s">
        <v>5364</v>
      </c>
      <c r="O79" s="31" t="s">
        <v>5365</v>
      </c>
      <c r="P79" s="31" t="s">
        <v>5366</v>
      </c>
      <c r="Q79" s="31" t="s">
        <v>5367</v>
      </c>
      <c r="R79" s="31" t="s">
        <v>5368</v>
      </c>
      <c r="S79" s="31" t="s">
        <v>5369</v>
      </c>
      <c r="T79" s="31" t="s">
        <v>5370</v>
      </c>
      <c r="U79" s="31" t="s">
        <v>102</v>
      </c>
      <c r="V79" s="31" t="s">
        <v>2917</v>
      </c>
      <c r="W79" s="31" t="s">
        <v>4399</v>
      </c>
      <c r="X79" s="31"/>
      <c r="Y79" s="31"/>
      <c r="Z79" s="31" t="s">
        <v>103</v>
      </c>
      <c r="AA79" s="31" t="s">
        <v>165</v>
      </c>
      <c r="AB79" s="31" t="s">
        <v>4385</v>
      </c>
      <c r="AC79" s="31"/>
    </row>
    <row r="80" spans="1:29">
      <c r="A80" s="30" t="s">
        <v>5757</v>
      </c>
      <c r="B80" s="30" t="s">
        <v>15</v>
      </c>
      <c r="C80" s="30" t="s">
        <v>123</v>
      </c>
      <c r="D80" s="31" t="s">
        <v>5653</v>
      </c>
      <c r="E80" s="31" t="s">
        <v>5385</v>
      </c>
      <c r="F80" s="31" t="s">
        <v>5758</v>
      </c>
      <c r="G80" s="31" t="s">
        <v>1647</v>
      </c>
      <c r="H80" s="31" t="s">
        <v>5738</v>
      </c>
      <c r="I80" s="31" t="s">
        <v>5759</v>
      </c>
      <c r="J80" s="31"/>
      <c r="K80" s="31" t="s">
        <v>5634</v>
      </c>
      <c r="L80" s="31" t="s">
        <v>496</v>
      </c>
      <c r="M80" s="31" t="s">
        <v>5391</v>
      </c>
      <c r="N80" s="31" t="s">
        <v>5364</v>
      </c>
      <c r="O80" s="31" t="s">
        <v>5365</v>
      </c>
      <c r="P80" s="31" t="s">
        <v>5366</v>
      </c>
      <c r="Q80" s="31" t="s">
        <v>5367</v>
      </c>
      <c r="R80" s="31" t="s">
        <v>5368</v>
      </c>
      <c r="S80" s="31" t="s">
        <v>5369</v>
      </c>
      <c r="T80" s="31" t="s">
        <v>5370</v>
      </c>
      <c r="U80" s="31" t="s">
        <v>1641</v>
      </c>
      <c r="V80" s="31" t="s">
        <v>2612</v>
      </c>
      <c r="W80" s="31"/>
      <c r="X80" s="31"/>
      <c r="Y80" s="31"/>
      <c r="Z80" s="31"/>
      <c r="AA80" s="31" t="s">
        <v>147</v>
      </c>
      <c r="AB80" s="31"/>
      <c r="AC80" s="31"/>
    </row>
    <row r="81" spans="1:29" ht="30">
      <c r="A81" s="30" t="s">
        <v>5760</v>
      </c>
      <c r="B81" s="30" t="s">
        <v>15</v>
      </c>
      <c r="C81" s="30" t="s">
        <v>123</v>
      </c>
      <c r="D81" s="31" t="s">
        <v>5419</v>
      </c>
      <c r="E81" s="31" t="s">
        <v>5357</v>
      </c>
      <c r="F81" s="31" t="s">
        <v>5761</v>
      </c>
      <c r="G81" s="31" t="s">
        <v>5747</v>
      </c>
      <c r="H81" s="31" t="s">
        <v>5724</v>
      </c>
      <c r="I81" s="31" t="s">
        <v>5762</v>
      </c>
      <c r="J81" s="31"/>
      <c r="K81" s="31" t="s">
        <v>5634</v>
      </c>
      <c r="L81" s="31" t="s">
        <v>457</v>
      </c>
      <c r="M81" s="31" t="s">
        <v>5405</v>
      </c>
      <c r="N81" s="31" t="s">
        <v>5364</v>
      </c>
      <c r="O81" s="31" t="s">
        <v>5365</v>
      </c>
      <c r="P81" s="31" t="s">
        <v>5366</v>
      </c>
      <c r="Q81" s="31" t="s">
        <v>5367</v>
      </c>
      <c r="R81" s="31" t="s">
        <v>5368</v>
      </c>
      <c r="S81" s="31" t="s">
        <v>5369</v>
      </c>
      <c r="T81" s="31" t="s">
        <v>5370</v>
      </c>
      <c r="U81" s="31" t="s">
        <v>1655</v>
      </c>
      <c r="V81" s="31" t="s">
        <v>2891</v>
      </c>
      <c r="W81" s="31"/>
      <c r="X81" s="31"/>
      <c r="Y81" s="31"/>
      <c r="Z81" s="31"/>
      <c r="AA81" s="31" t="s">
        <v>2894</v>
      </c>
      <c r="AB81" s="31"/>
      <c r="AC81" s="31"/>
    </row>
    <row r="82" spans="1:29" ht="30">
      <c r="A82" s="30" t="s">
        <v>5763</v>
      </c>
      <c r="B82" s="30" t="s">
        <v>15</v>
      </c>
      <c r="C82" s="30" t="s">
        <v>3901</v>
      </c>
      <c r="D82" s="31" t="s">
        <v>5444</v>
      </c>
      <c r="E82" s="31" t="s">
        <v>5357</v>
      </c>
      <c r="F82" s="31" t="s">
        <v>4404</v>
      </c>
      <c r="G82" s="31" t="s">
        <v>5589</v>
      </c>
      <c r="H82" s="31" t="s">
        <v>5764</v>
      </c>
      <c r="I82" s="31" t="s">
        <v>5765</v>
      </c>
      <c r="J82" s="31"/>
      <c r="K82" s="31" t="s">
        <v>5634</v>
      </c>
      <c r="L82" s="31" t="s">
        <v>438</v>
      </c>
      <c r="M82" s="31" t="s">
        <v>438</v>
      </c>
      <c r="N82" s="31" t="s">
        <v>5364</v>
      </c>
      <c r="O82" s="31" t="s">
        <v>5365</v>
      </c>
      <c r="P82" s="31" t="s">
        <v>5366</v>
      </c>
      <c r="Q82" s="31" t="s">
        <v>5367</v>
      </c>
      <c r="R82" s="31" t="s">
        <v>5368</v>
      </c>
      <c r="S82" s="31" t="s">
        <v>5369</v>
      </c>
      <c r="T82" s="31" t="s">
        <v>5370</v>
      </c>
      <c r="U82" s="31" t="s">
        <v>113</v>
      </c>
      <c r="V82" s="31" t="s">
        <v>2648</v>
      </c>
      <c r="W82" s="31" t="s">
        <v>4052</v>
      </c>
      <c r="X82" s="31"/>
      <c r="Y82" s="31"/>
      <c r="Z82" s="31" t="s">
        <v>114</v>
      </c>
      <c r="AA82" s="31" t="s">
        <v>2651</v>
      </c>
      <c r="AB82" s="31" t="s">
        <v>4405</v>
      </c>
      <c r="AC82" s="31"/>
    </row>
    <row r="83" spans="1:29">
      <c r="A83" s="30" t="s">
        <v>5766</v>
      </c>
      <c r="B83" s="30" t="s">
        <v>15</v>
      </c>
      <c r="C83" s="30" t="s">
        <v>3901</v>
      </c>
      <c r="D83" s="31" t="s">
        <v>5713</v>
      </c>
      <c r="E83" s="31" t="s">
        <v>5357</v>
      </c>
      <c r="F83" s="31" t="s">
        <v>5767</v>
      </c>
      <c r="G83" s="31" t="s">
        <v>5768</v>
      </c>
      <c r="H83" s="31" t="s">
        <v>5769</v>
      </c>
      <c r="I83" s="31" t="s">
        <v>5770</v>
      </c>
      <c r="J83" s="31"/>
      <c r="K83" s="31" t="s">
        <v>5634</v>
      </c>
      <c r="L83" s="31" t="s">
        <v>457</v>
      </c>
      <c r="M83" s="31" t="s">
        <v>5405</v>
      </c>
      <c r="N83" s="31" t="s">
        <v>5364</v>
      </c>
      <c r="O83" s="31" t="s">
        <v>5365</v>
      </c>
      <c r="P83" s="31" t="s">
        <v>5366</v>
      </c>
      <c r="Q83" s="31" t="s">
        <v>5367</v>
      </c>
      <c r="R83" s="31" t="s">
        <v>5368</v>
      </c>
      <c r="S83" s="31" t="s">
        <v>5369</v>
      </c>
      <c r="T83" s="31" t="s">
        <v>5370</v>
      </c>
      <c r="U83" s="31" t="s">
        <v>113</v>
      </c>
      <c r="V83" s="31" t="s">
        <v>2648</v>
      </c>
      <c r="W83" s="31" t="s">
        <v>4052</v>
      </c>
      <c r="X83" s="31"/>
      <c r="Y83" s="31"/>
      <c r="Z83" s="31" t="s">
        <v>114</v>
      </c>
      <c r="AA83" s="31" t="s">
        <v>2651</v>
      </c>
      <c r="AB83" s="31" t="s">
        <v>4405</v>
      </c>
      <c r="AC83" s="31"/>
    </row>
    <row r="84" spans="1:29" ht="60">
      <c r="A84" s="30" t="s">
        <v>5771</v>
      </c>
      <c r="B84" s="30" t="s">
        <v>15</v>
      </c>
      <c r="C84" s="30" t="s">
        <v>3901</v>
      </c>
      <c r="D84" s="31" t="s">
        <v>5419</v>
      </c>
      <c r="E84" s="31" t="s">
        <v>5357</v>
      </c>
      <c r="F84" s="31" t="s">
        <v>4420</v>
      </c>
      <c r="G84" s="31" t="s">
        <v>5737</v>
      </c>
      <c r="H84" s="31" t="s">
        <v>5772</v>
      </c>
      <c r="I84" s="31" t="s">
        <v>5773</v>
      </c>
      <c r="J84" s="31"/>
      <c r="K84" s="31" t="s">
        <v>5634</v>
      </c>
      <c r="L84" s="31" t="s">
        <v>438</v>
      </c>
      <c r="M84" s="31" t="s">
        <v>438</v>
      </c>
      <c r="N84" s="31" t="s">
        <v>5364</v>
      </c>
      <c r="O84" s="31" t="s">
        <v>5365</v>
      </c>
      <c r="P84" s="31" t="s">
        <v>5366</v>
      </c>
      <c r="Q84" s="31" t="s">
        <v>5367</v>
      </c>
      <c r="R84" s="31" t="s">
        <v>5368</v>
      </c>
      <c r="S84" s="31" t="s">
        <v>5369</v>
      </c>
      <c r="T84" s="31" t="s">
        <v>5370</v>
      </c>
      <c r="U84" s="31" t="s">
        <v>113</v>
      </c>
      <c r="V84" s="31" t="s">
        <v>2696</v>
      </c>
      <c r="W84" s="31" t="s">
        <v>4070</v>
      </c>
      <c r="X84" s="31"/>
      <c r="Y84" s="31"/>
      <c r="Z84" s="31" t="s">
        <v>114</v>
      </c>
      <c r="AA84" s="31" t="s">
        <v>2699</v>
      </c>
      <c r="AB84" s="31" t="s">
        <v>4405</v>
      </c>
      <c r="AC84" s="31"/>
    </row>
    <row r="85" spans="1:29" ht="30">
      <c r="A85" s="30" t="s">
        <v>5774</v>
      </c>
      <c r="B85" s="30" t="s">
        <v>15</v>
      </c>
      <c r="C85" s="30" t="s">
        <v>3901</v>
      </c>
      <c r="D85" s="31" t="s">
        <v>5775</v>
      </c>
      <c r="E85" s="31" t="s">
        <v>5357</v>
      </c>
      <c r="F85" s="31" t="s">
        <v>4426</v>
      </c>
      <c r="G85" s="31" t="s">
        <v>5776</v>
      </c>
      <c r="H85" s="31" t="s">
        <v>5777</v>
      </c>
      <c r="I85" s="31" t="s">
        <v>5778</v>
      </c>
      <c r="J85" s="31"/>
      <c r="K85" s="31" t="s">
        <v>5634</v>
      </c>
      <c r="L85" s="31" t="s">
        <v>438</v>
      </c>
      <c r="M85" s="31" t="s">
        <v>438</v>
      </c>
      <c r="N85" s="31" t="s">
        <v>5364</v>
      </c>
      <c r="O85" s="31" t="s">
        <v>5365</v>
      </c>
      <c r="P85" s="31" t="s">
        <v>5366</v>
      </c>
      <c r="Q85" s="31" t="s">
        <v>5367</v>
      </c>
      <c r="R85" s="31" t="s">
        <v>5368</v>
      </c>
      <c r="S85" s="31" t="s">
        <v>5369</v>
      </c>
      <c r="T85" s="31" t="s">
        <v>5370</v>
      </c>
      <c r="U85" s="31" t="s">
        <v>1678</v>
      </c>
      <c r="V85" s="31" t="s">
        <v>2716</v>
      </c>
      <c r="W85" s="31" t="s">
        <v>4078</v>
      </c>
      <c r="X85" s="31"/>
      <c r="Y85" s="31"/>
      <c r="Z85" s="31"/>
      <c r="AA85" s="31" t="s">
        <v>2718</v>
      </c>
      <c r="AB85" s="31" t="s">
        <v>4427</v>
      </c>
      <c r="AC85" s="31"/>
    </row>
    <row r="86" spans="1:29" ht="30">
      <c r="A86" s="30" t="s">
        <v>5779</v>
      </c>
      <c r="B86" s="30" t="s">
        <v>15</v>
      </c>
      <c r="C86" s="30" t="s">
        <v>3901</v>
      </c>
      <c r="D86" s="31" t="s">
        <v>5780</v>
      </c>
      <c r="E86" s="31" t="s">
        <v>5357</v>
      </c>
      <c r="F86" s="31" t="s">
        <v>4412</v>
      </c>
      <c r="G86" s="31" t="s">
        <v>5781</v>
      </c>
      <c r="H86" s="31" t="s">
        <v>5782</v>
      </c>
      <c r="I86" s="31" t="s">
        <v>5783</v>
      </c>
      <c r="J86" s="31"/>
      <c r="K86" s="31" t="s">
        <v>5634</v>
      </c>
      <c r="L86" s="31" t="s">
        <v>457</v>
      </c>
      <c r="M86" s="31" t="s">
        <v>5405</v>
      </c>
      <c r="N86" s="31" t="s">
        <v>5364</v>
      </c>
      <c r="O86" s="31" t="s">
        <v>5365</v>
      </c>
      <c r="P86" s="31" t="s">
        <v>5366</v>
      </c>
      <c r="Q86" s="31" t="s">
        <v>5367</v>
      </c>
      <c r="R86" s="31" t="s">
        <v>5368</v>
      </c>
      <c r="S86" s="31" t="s">
        <v>5369</v>
      </c>
      <c r="T86" s="31" t="s">
        <v>5370</v>
      </c>
      <c r="U86" s="31" t="s">
        <v>119</v>
      </c>
      <c r="V86" s="31" t="s">
        <v>2972</v>
      </c>
      <c r="W86" s="31" t="s">
        <v>4061</v>
      </c>
      <c r="X86" s="31"/>
      <c r="Y86" s="31"/>
      <c r="Z86" s="31" t="s">
        <v>120</v>
      </c>
      <c r="AA86" s="31" t="s">
        <v>178</v>
      </c>
      <c r="AB86" s="31" t="s">
        <v>4413</v>
      </c>
      <c r="AC86" s="31"/>
    </row>
    <row r="87" spans="1:29" ht="30">
      <c r="A87" s="30" t="s">
        <v>5784</v>
      </c>
      <c r="B87" s="30" t="s">
        <v>15</v>
      </c>
      <c r="C87" s="30" t="s">
        <v>3901</v>
      </c>
      <c r="D87" s="31" t="s">
        <v>5653</v>
      </c>
      <c r="E87" s="31" t="s">
        <v>5385</v>
      </c>
      <c r="F87" s="31" t="s">
        <v>5785</v>
      </c>
      <c r="G87" s="31" t="s">
        <v>1677</v>
      </c>
      <c r="H87" s="31" t="s">
        <v>5764</v>
      </c>
      <c r="I87" s="31" t="s">
        <v>5786</v>
      </c>
      <c r="J87" s="31"/>
      <c r="K87" s="31" t="s">
        <v>5634</v>
      </c>
      <c r="L87" s="31" t="s">
        <v>496</v>
      </c>
      <c r="M87" s="31" t="s">
        <v>5391</v>
      </c>
      <c r="N87" s="31" t="s">
        <v>5364</v>
      </c>
      <c r="O87" s="31" t="s">
        <v>5365</v>
      </c>
      <c r="P87" s="31" t="s">
        <v>5366</v>
      </c>
      <c r="Q87" s="31" t="s">
        <v>5367</v>
      </c>
      <c r="R87" s="31" t="s">
        <v>5368</v>
      </c>
      <c r="S87" s="31" t="s">
        <v>5369</v>
      </c>
      <c r="T87" s="31" t="s">
        <v>5370</v>
      </c>
      <c r="U87" s="31" t="s">
        <v>1671</v>
      </c>
      <c r="V87" s="31" t="s">
        <v>2648</v>
      </c>
      <c r="W87" s="31"/>
      <c r="X87" s="31"/>
      <c r="Y87" s="31"/>
      <c r="Z87" s="31"/>
      <c r="AA87" s="31" t="s">
        <v>2651</v>
      </c>
      <c r="AB87" s="31" t="s">
        <v>2343</v>
      </c>
      <c r="AC87" s="31"/>
    </row>
    <row r="88" spans="1:29" ht="30">
      <c r="A88" s="30" t="s">
        <v>5787</v>
      </c>
      <c r="B88" s="30" t="s">
        <v>15</v>
      </c>
      <c r="C88" s="30" t="s">
        <v>5788</v>
      </c>
      <c r="D88" s="31" t="s">
        <v>5444</v>
      </c>
      <c r="E88" s="31" t="s">
        <v>5357</v>
      </c>
      <c r="F88" s="31" t="s">
        <v>2553</v>
      </c>
      <c r="G88" s="31" t="s">
        <v>5789</v>
      </c>
      <c r="H88" s="31" t="s">
        <v>5790</v>
      </c>
      <c r="I88" s="31" t="s">
        <v>5791</v>
      </c>
      <c r="J88" s="31"/>
      <c r="K88" s="31" t="s">
        <v>5634</v>
      </c>
      <c r="L88" s="31" t="s">
        <v>438</v>
      </c>
      <c r="M88" s="31" t="s">
        <v>438</v>
      </c>
      <c r="N88" s="31" t="s">
        <v>5364</v>
      </c>
      <c r="O88" s="31" t="s">
        <v>5365</v>
      </c>
      <c r="P88" s="31" t="s">
        <v>5366</v>
      </c>
      <c r="Q88" s="31" t="s">
        <v>5367</v>
      </c>
      <c r="R88" s="31" t="s">
        <v>5368</v>
      </c>
      <c r="S88" s="31" t="s">
        <v>5369</v>
      </c>
      <c r="T88" s="31" t="s">
        <v>5370</v>
      </c>
      <c r="U88" s="31" t="s">
        <v>125</v>
      </c>
      <c r="V88" s="31" t="s">
        <v>2580</v>
      </c>
      <c r="W88" s="31" t="s">
        <v>4145</v>
      </c>
      <c r="X88" s="31"/>
      <c r="Y88" s="31"/>
      <c r="Z88" s="31" t="s">
        <v>126</v>
      </c>
      <c r="AA88" s="31" t="s">
        <v>2583</v>
      </c>
      <c r="AB88" s="31" t="s">
        <v>2554</v>
      </c>
      <c r="AC88" s="31"/>
    </row>
    <row r="89" spans="1:29" ht="60">
      <c r="A89" s="30" t="s">
        <v>5792</v>
      </c>
      <c r="B89" s="30" t="s">
        <v>15</v>
      </c>
      <c r="C89" s="30" t="s">
        <v>5788</v>
      </c>
      <c r="D89" s="31" t="s">
        <v>5793</v>
      </c>
      <c r="E89" s="31" t="s">
        <v>5357</v>
      </c>
      <c r="F89" s="31" t="s">
        <v>4354</v>
      </c>
      <c r="G89" s="31" t="s">
        <v>5794</v>
      </c>
      <c r="H89" s="31" t="s">
        <v>5795</v>
      </c>
      <c r="I89" s="31" t="s">
        <v>5796</v>
      </c>
      <c r="J89" s="31"/>
      <c r="K89" s="31" t="s">
        <v>5634</v>
      </c>
      <c r="L89" s="31" t="s">
        <v>438</v>
      </c>
      <c r="M89" s="31" t="s">
        <v>438</v>
      </c>
      <c r="N89" s="31" t="s">
        <v>5364</v>
      </c>
      <c r="O89" s="31" t="s">
        <v>5365</v>
      </c>
      <c r="P89" s="31" t="s">
        <v>5366</v>
      </c>
      <c r="Q89" s="31" t="s">
        <v>5367</v>
      </c>
      <c r="R89" s="31" t="s">
        <v>5368</v>
      </c>
      <c r="S89" s="31" t="s">
        <v>5369</v>
      </c>
      <c r="T89" s="31" t="s">
        <v>5370</v>
      </c>
      <c r="U89" s="31" t="s">
        <v>1718</v>
      </c>
      <c r="V89" s="31" t="s">
        <v>2603</v>
      </c>
      <c r="W89" s="31" t="s">
        <v>4353</v>
      </c>
      <c r="X89" s="31"/>
      <c r="Y89" s="31"/>
      <c r="Z89" s="31"/>
      <c r="AA89" s="31" t="s">
        <v>2605</v>
      </c>
      <c r="AB89" s="31" t="s">
        <v>4355</v>
      </c>
      <c r="AC89" s="31"/>
    </row>
    <row r="90" spans="1:29" ht="45">
      <c r="A90" s="30" t="s">
        <v>5797</v>
      </c>
      <c r="B90" s="30" t="s">
        <v>15</v>
      </c>
      <c r="C90" s="30" t="s">
        <v>5788</v>
      </c>
      <c r="D90" s="31" t="s">
        <v>5798</v>
      </c>
      <c r="E90" s="31" t="s">
        <v>5357</v>
      </c>
      <c r="F90" s="31" t="s">
        <v>4362</v>
      </c>
      <c r="G90" s="31" t="s">
        <v>5799</v>
      </c>
      <c r="H90" s="31" t="s">
        <v>5800</v>
      </c>
      <c r="I90" s="31" t="s">
        <v>5801</v>
      </c>
      <c r="J90" s="31"/>
      <c r="K90" s="31" t="s">
        <v>5634</v>
      </c>
      <c r="L90" s="31" t="s">
        <v>438</v>
      </c>
      <c r="M90" s="31" t="s">
        <v>438</v>
      </c>
      <c r="N90" s="31" t="s">
        <v>5364</v>
      </c>
      <c r="O90" s="31" t="s">
        <v>5365</v>
      </c>
      <c r="P90" s="31" t="s">
        <v>5366</v>
      </c>
      <c r="Q90" s="31" t="s">
        <v>5367</v>
      </c>
      <c r="R90" s="31" t="s">
        <v>5368</v>
      </c>
      <c r="S90" s="31" t="s">
        <v>5369</v>
      </c>
      <c r="T90" s="31" t="s">
        <v>5370</v>
      </c>
      <c r="U90" s="31" t="s">
        <v>1726</v>
      </c>
      <c r="V90" s="31" t="s">
        <v>2868</v>
      </c>
      <c r="W90" s="31" t="s">
        <v>4361</v>
      </c>
      <c r="X90" s="31"/>
      <c r="Y90" s="31"/>
      <c r="Z90" s="31"/>
      <c r="AA90" s="31" t="s">
        <v>2872</v>
      </c>
      <c r="AB90" s="31" t="s">
        <v>4363</v>
      </c>
      <c r="AC90" s="31"/>
    </row>
    <row r="91" spans="1:29" ht="30">
      <c r="A91" s="30" t="s">
        <v>5802</v>
      </c>
      <c r="B91" s="30" t="s">
        <v>15</v>
      </c>
      <c r="C91" s="30" t="s">
        <v>5788</v>
      </c>
      <c r="D91" s="31" t="s">
        <v>5803</v>
      </c>
      <c r="E91" s="31" t="s">
        <v>5357</v>
      </c>
      <c r="F91" s="31" t="s">
        <v>5804</v>
      </c>
      <c r="G91" s="31" t="s">
        <v>5794</v>
      </c>
      <c r="H91" s="31" t="s">
        <v>5805</v>
      </c>
      <c r="I91" s="31" t="s">
        <v>5806</v>
      </c>
      <c r="J91" s="31"/>
      <c r="K91" s="31" t="s">
        <v>5634</v>
      </c>
      <c r="L91" s="31" t="s">
        <v>457</v>
      </c>
      <c r="M91" s="31" t="s">
        <v>5405</v>
      </c>
      <c r="N91" s="31" t="s">
        <v>5364</v>
      </c>
      <c r="O91" s="31" t="s">
        <v>5365</v>
      </c>
      <c r="P91" s="31" t="s">
        <v>5366</v>
      </c>
      <c r="Q91" s="31" t="s">
        <v>5367</v>
      </c>
      <c r="R91" s="31" t="s">
        <v>5368</v>
      </c>
      <c r="S91" s="31" t="s">
        <v>5369</v>
      </c>
      <c r="T91" s="31" t="s">
        <v>5370</v>
      </c>
      <c r="U91" s="31" t="s">
        <v>130</v>
      </c>
      <c r="V91" s="31" t="s">
        <v>3073</v>
      </c>
      <c r="W91" s="31" t="s">
        <v>4368</v>
      </c>
      <c r="X91" s="31"/>
      <c r="Y91" s="31"/>
      <c r="Z91" s="31" t="s">
        <v>131</v>
      </c>
      <c r="AA91" s="31" t="s">
        <v>3077</v>
      </c>
      <c r="AB91" s="31" t="s">
        <v>4370</v>
      </c>
      <c r="AC91" s="31"/>
    </row>
    <row r="92" spans="1:29">
      <c r="A92" s="30" t="s">
        <v>5807</v>
      </c>
      <c r="B92" s="30" t="s">
        <v>15</v>
      </c>
      <c r="C92" s="30" t="s">
        <v>5788</v>
      </c>
      <c r="D92" s="31" t="s">
        <v>5713</v>
      </c>
      <c r="E92" s="31" t="s">
        <v>5357</v>
      </c>
      <c r="F92" s="31" t="s">
        <v>5808</v>
      </c>
      <c r="G92" s="31" t="s">
        <v>5809</v>
      </c>
      <c r="H92" s="31" t="s">
        <v>5810</v>
      </c>
      <c r="I92" s="31" t="s">
        <v>5811</v>
      </c>
      <c r="J92" s="31"/>
      <c r="K92" s="31" t="s">
        <v>5634</v>
      </c>
      <c r="L92" s="31" t="s">
        <v>457</v>
      </c>
      <c r="M92" s="31" t="s">
        <v>5405</v>
      </c>
      <c r="N92" s="31" t="s">
        <v>5364</v>
      </c>
      <c r="O92" s="31" t="s">
        <v>5365</v>
      </c>
      <c r="P92" s="31" t="s">
        <v>5366</v>
      </c>
      <c r="Q92" s="31" t="s">
        <v>5367</v>
      </c>
      <c r="R92" s="31" t="s">
        <v>5368</v>
      </c>
      <c r="S92" s="31" t="s">
        <v>5369</v>
      </c>
      <c r="T92" s="31" t="s">
        <v>5370</v>
      </c>
      <c r="U92" s="31" t="s">
        <v>125</v>
      </c>
      <c r="V92" s="31" t="s">
        <v>2580</v>
      </c>
      <c r="W92" s="31" t="s">
        <v>4145</v>
      </c>
      <c r="X92" s="31"/>
      <c r="Y92" s="31"/>
      <c r="Z92" s="31" t="s">
        <v>126</v>
      </c>
      <c r="AA92" s="31" t="s">
        <v>2583</v>
      </c>
      <c r="AB92" s="31" t="s">
        <v>2554</v>
      </c>
      <c r="AC92" s="31"/>
    </row>
    <row r="93" spans="1:29" ht="75">
      <c r="A93" s="30" t="s">
        <v>5812</v>
      </c>
      <c r="B93" s="30" t="s">
        <v>15</v>
      </c>
      <c r="C93" s="30" t="s">
        <v>145</v>
      </c>
      <c r="D93" s="31" t="s">
        <v>5489</v>
      </c>
      <c r="E93" s="31" t="s">
        <v>5357</v>
      </c>
      <c r="F93" s="31" t="s">
        <v>5490</v>
      </c>
      <c r="G93" s="31" t="s">
        <v>5638</v>
      </c>
      <c r="H93" s="31" t="s">
        <v>5813</v>
      </c>
      <c r="I93" s="31" t="s">
        <v>5814</v>
      </c>
      <c r="J93" s="31"/>
      <c r="K93" s="31" t="s">
        <v>5634</v>
      </c>
      <c r="L93" s="31" t="s">
        <v>438</v>
      </c>
      <c r="M93" s="31" t="s">
        <v>438</v>
      </c>
      <c r="N93" s="31" t="s">
        <v>5364</v>
      </c>
      <c r="O93" s="31" t="s">
        <v>5365</v>
      </c>
      <c r="P93" s="31" t="s">
        <v>5366</v>
      </c>
      <c r="Q93" s="31" t="s">
        <v>5367</v>
      </c>
      <c r="R93" s="31" t="s">
        <v>5368</v>
      </c>
      <c r="S93" s="31" t="s">
        <v>5369</v>
      </c>
      <c r="T93" s="31" t="s">
        <v>5370</v>
      </c>
      <c r="U93" s="31" t="s">
        <v>135</v>
      </c>
      <c r="V93" s="31" t="s">
        <v>2983</v>
      </c>
      <c r="W93" s="31" t="s">
        <v>4433</v>
      </c>
      <c r="X93" s="31"/>
      <c r="Y93" s="31"/>
      <c r="Z93" s="31" t="s">
        <v>136</v>
      </c>
      <c r="AA93" s="31" t="s">
        <v>195</v>
      </c>
      <c r="AB93" s="31" t="s">
        <v>4434</v>
      </c>
      <c r="AC93" s="31"/>
    </row>
    <row r="94" spans="1:29" ht="45">
      <c r="A94" s="30" t="s">
        <v>5815</v>
      </c>
      <c r="B94" s="30" t="s">
        <v>15</v>
      </c>
      <c r="C94" s="30" t="s">
        <v>145</v>
      </c>
      <c r="D94" s="31" t="s">
        <v>5489</v>
      </c>
      <c r="E94" s="31" t="s">
        <v>5357</v>
      </c>
      <c r="F94" s="31" t="s">
        <v>5816</v>
      </c>
      <c r="G94" s="31" t="s">
        <v>5638</v>
      </c>
      <c r="H94" s="31" t="s">
        <v>5817</v>
      </c>
      <c r="I94" s="31" t="s">
        <v>5818</v>
      </c>
      <c r="J94" s="31"/>
      <c r="K94" s="31" t="s">
        <v>5634</v>
      </c>
      <c r="L94" s="31" t="s">
        <v>457</v>
      </c>
      <c r="M94" s="31" t="s">
        <v>5405</v>
      </c>
      <c r="N94" s="31" t="s">
        <v>5364</v>
      </c>
      <c r="O94" s="31" t="s">
        <v>5365</v>
      </c>
      <c r="P94" s="31" t="s">
        <v>5366</v>
      </c>
      <c r="Q94" s="31" t="s">
        <v>5367</v>
      </c>
      <c r="R94" s="31" t="s">
        <v>5368</v>
      </c>
      <c r="S94" s="31" t="s">
        <v>5369</v>
      </c>
      <c r="T94" s="31" t="s">
        <v>5370</v>
      </c>
      <c r="U94" s="31" t="s">
        <v>135</v>
      </c>
      <c r="V94" s="31" t="s">
        <v>2983</v>
      </c>
      <c r="W94" s="31" t="s">
        <v>4433</v>
      </c>
      <c r="X94" s="31"/>
      <c r="Y94" s="31"/>
      <c r="Z94" s="31" t="s">
        <v>136</v>
      </c>
      <c r="AA94" s="31" t="s">
        <v>195</v>
      </c>
      <c r="AB94" s="31" t="s">
        <v>4434</v>
      </c>
      <c r="AC94" s="31"/>
    </row>
    <row r="95" spans="1:29" ht="30">
      <c r="A95" s="30" t="s">
        <v>5819</v>
      </c>
      <c r="B95" s="30" t="s">
        <v>15</v>
      </c>
      <c r="C95" s="30" t="s">
        <v>145</v>
      </c>
      <c r="D95" s="31" t="s">
        <v>5820</v>
      </c>
      <c r="E95" s="31" t="s">
        <v>5357</v>
      </c>
      <c r="F95" s="31" t="s">
        <v>5821</v>
      </c>
      <c r="G95" s="31" t="s">
        <v>5638</v>
      </c>
      <c r="H95" s="31" t="s">
        <v>5822</v>
      </c>
      <c r="I95" s="31" t="s">
        <v>5823</v>
      </c>
      <c r="J95" s="31"/>
      <c r="K95" s="31" t="s">
        <v>5634</v>
      </c>
      <c r="L95" s="31" t="s">
        <v>457</v>
      </c>
      <c r="M95" s="31" t="s">
        <v>5405</v>
      </c>
      <c r="N95" s="31" t="s">
        <v>5364</v>
      </c>
      <c r="O95" s="31" t="s">
        <v>5365</v>
      </c>
      <c r="P95" s="31" t="s">
        <v>5366</v>
      </c>
      <c r="Q95" s="31" t="s">
        <v>5367</v>
      </c>
      <c r="R95" s="31" t="s">
        <v>5368</v>
      </c>
      <c r="S95" s="31" t="s">
        <v>5369</v>
      </c>
      <c r="T95" s="31" t="s">
        <v>5370</v>
      </c>
      <c r="U95" s="31" t="s">
        <v>135</v>
      </c>
      <c r="V95" s="31" t="s">
        <v>2983</v>
      </c>
      <c r="W95" s="31" t="s">
        <v>4433</v>
      </c>
      <c r="X95" s="31"/>
      <c r="Y95" s="31"/>
      <c r="Z95" s="31" t="s">
        <v>136</v>
      </c>
      <c r="AA95" s="31" t="s">
        <v>195</v>
      </c>
      <c r="AB95" s="31" t="s">
        <v>4434</v>
      </c>
      <c r="AC95" s="31"/>
    </row>
    <row r="96" spans="1:29" ht="30">
      <c r="A96" s="30" t="s">
        <v>5824</v>
      </c>
      <c r="B96" s="30" t="s">
        <v>15</v>
      </c>
      <c r="C96" s="30" t="s">
        <v>145</v>
      </c>
      <c r="D96" s="31" t="s">
        <v>5825</v>
      </c>
      <c r="E96" s="31" t="s">
        <v>5357</v>
      </c>
      <c r="F96" s="31" t="s">
        <v>5826</v>
      </c>
      <c r="G96" s="31" t="s">
        <v>5827</v>
      </c>
      <c r="H96" s="31" t="s">
        <v>5828</v>
      </c>
      <c r="I96" s="31" t="s">
        <v>5829</v>
      </c>
      <c r="J96" s="31"/>
      <c r="K96" s="31" t="s">
        <v>5634</v>
      </c>
      <c r="L96" s="31" t="s">
        <v>457</v>
      </c>
      <c r="M96" s="31" t="s">
        <v>5405</v>
      </c>
      <c r="N96" s="31" t="s">
        <v>5364</v>
      </c>
      <c r="O96" s="31" t="s">
        <v>5365</v>
      </c>
      <c r="P96" s="31" t="s">
        <v>5366</v>
      </c>
      <c r="Q96" s="31" t="s">
        <v>5367</v>
      </c>
      <c r="R96" s="31" t="s">
        <v>5368</v>
      </c>
      <c r="S96" s="31" t="s">
        <v>5369</v>
      </c>
      <c r="T96" s="31" t="s">
        <v>5370</v>
      </c>
      <c r="U96" s="31" t="s">
        <v>1766</v>
      </c>
      <c r="V96" s="31" t="s">
        <v>2983</v>
      </c>
      <c r="W96" s="31"/>
      <c r="X96" s="31"/>
      <c r="Y96" s="31"/>
      <c r="Z96" s="31"/>
      <c r="AA96" s="31" t="s">
        <v>195</v>
      </c>
      <c r="AB96" s="31"/>
      <c r="AC96" s="31"/>
    </row>
    <row r="97" spans="1:29">
      <c r="A97" s="30" t="s">
        <v>5830</v>
      </c>
      <c r="B97" s="30" t="s">
        <v>15</v>
      </c>
      <c r="C97" s="30" t="s">
        <v>145</v>
      </c>
      <c r="D97" s="31" t="s">
        <v>5831</v>
      </c>
      <c r="E97" s="31" t="s">
        <v>5357</v>
      </c>
      <c r="F97" s="31" t="s">
        <v>4441</v>
      </c>
      <c r="G97" s="31" t="s">
        <v>5832</v>
      </c>
      <c r="H97" s="31" t="s">
        <v>5833</v>
      </c>
      <c r="I97" s="31" t="s">
        <v>5834</v>
      </c>
      <c r="J97" s="31"/>
      <c r="K97" s="31" t="s">
        <v>5634</v>
      </c>
      <c r="L97" s="31" t="s">
        <v>457</v>
      </c>
      <c r="M97" s="31" t="s">
        <v>5405</v>
      </c>
      <c r="N97" s="31" t="s">
        <v>5364</v>
      </c>
      <c r="O97" s="31" t="s">
        <v>5365</v>
      </c>
      <c r="P97" s="31" t="s">
        <v>5366</v>
      </c>
      <c r="Q97" s="31" t="s">
        <v>5367</v>
      </c>
      <c r="R97" s="31" t="s">
        <v>5368</v>
      </c>
      <c r="S97" s="31" t="s">
        <v>5369</v>
      </c>
      <c r="T97" s="31" t="s">
        <v>5370</v>
      </c>
      <c r="U97" s="31" t="s">
        <v>140</v>
      </c>
      <c r="V97" s="31" t="s">
        <v>3000</v>
      </c>
      <c r="W97" s="31" t="s">
        <v>4440</v>
      </c>
      <c r="X97" s="31"/>
      <c r="Y97" s="31"/>
      <c r="Z97" s="31" t="s">
        <v>141</v>
      </c>
      <c r="AA97" s="31" t="s">
        <v>201</v>
      </c>
      <c r="AB97" s="31" t="s">
        <v>4442</v>
      </c>
      <c r="AC97" s="31"/>
    </row>
    <row r="98" spans="1:29">
      <c r="A98" s="30" t="s">
        <v>5835</v>
      </c>
      <c r="B98" s="30" t="s">
        <v>15</v>
      </c>
      <c r="C98" s="30" t="s">
        <v>145</v>
      </c>
      <c r="D98" s="31" t="s">
        <v>5831</v>
      </c>
      <c r="E98" s="31" t="s">
        <v>5357</v>
      </c>
      <c r="F98" s="31" t="s">
        <v>5836</v>
      </c>
      <c r="G98" s="31" t="s">
        <v>5837</v>
      </c>
      <c r="H98" s="31" t="s">
        <v>5838</v>
      </c>
      <c r="I98" s="31" t="s">
        <v>5839</v>
      </c>
      <c r="J98" s="31"/>
      <c r="K98" s="31" t="s">
        <v>5634</v>
      </c>
      <c r="L98" s="31" t="s">
        <v>496</v>
      </c>
      <c r="M98" s="31" t="s">
        <v>5391</v>
      </c>
      <c r="N98" s="31" t="s">
        <v>5364</v>
      </c>
      <c r="O98" s="31" t="s">
        <v>5365</v>
      </c>
      <c r="P98" s="31" t="s">
        <v>5366</v>
      </c>
      <c r="Q98" s="31" t="s">
        <v>5367</v>
      </c>
      <c r="R98" s="31" t="s">
        <v>5368</v>
      </c>
      <c r="S98" s="31" t="s">
        <v>5369</v>
      </c>
      <c r="T98" s="31" t="s">
        <v>5370</v>
      </c>
      <c r="U98" s="31" t="s">
        <v>140</v>
      </c>
      <c r="V98" s="31" t="s">
        <v>3000</v>
      </c>
      <c r="W98" s="31" t="s">
        <v>4440</v>
      </c>
      <c r="X98" s="31"/>
      <c r="Y98" s="31"/>
      <c r="Z98" s="31" t="s">
        <v>141</v>
      </c>
      <c r="AA98" s="31" t="s">
        <v>201</v>
      </c>
      <c r="AB98" s="31" t="s">
        <v>4442</v>
      </c>
      <c r="AC98" s="31"/>
    </row>
    <row r="99" spans="1:29">
      <c r="A99" s="30" t="s">
        <v>5840</v>
      </c>
      <c r="B99" s="30" t="s">
        <v>15</v>
      </c>
      <c r="C99" s="30" t="s">
        <v>182</v>
      </c>
      <c r="D99" s="31" t="s">
        <v>5444</v>
      </c>
      <c r="E99" s="31" t="s">
        <v>5357</v>
      </c>
      <c r="F99" s="31" t="s">
        <v>4450</v>
      </c>
      <c r="G99" s="31" t="s">
        <v>5841</v>
      </c>
      <c r="H99" s="31" t="s">
        <v>5842</v>
      </c>
      <c r="I99" s="31" t="s">
        <v>5843</v>
      </c>
      <c r="J99" s="31"/>
      <c r="K99" s="31" t="s">
        <v>5634</v>
      </c>
      <c r="L99" s="31" t="s">
        <v>438</v>
      </c>
      <c r="M99" s="31" t="s">
        <v>438</v>
      </c>
      <c r="N99" s="31" t="s">
        <v>5364</v>
      </c>
      <c r="O99" s="31" t="s">
        <v>5365</v>
      </c>
      <c r="P99" s="31" t="s">
        <v>5366</v>
      </c>
      <c r="Q99" s="31" t="s">
        <v>5367</v>
      </c>
      <c r="R99" s="31" t="s">
        <v>5368</v>
      </c>
      <c r="S99" s="31" t="s">
        <v>5369</v>
      </c>
      <c r="T99" s="31" t="s">
        <v>5370</v>
      </c>
      <c r="U99" s="31" t="s">
        <v>171</v>
      </c>
      <c r="V99" s="31" t="s">
        <v>2737</v>
      </c>
      <c r="W99" s="31" t="s">
        <v>4449</v>
      </c>
      <c r="X99" s="31"/>
      <c r="Y99" s="31"/>
      <c r="Z99" s="31" t="s">
        <v>172</v>
      </c>
      <c r="AA99" s="31" t="s">
        <v>207</v>
      </c>
      <c r="AB99" s="31" t="s">
        <v>4451</v>
      </c>
      <c r="AC99" s="31"/>
    </row>
    <row r="100" spans="1:29" ht="30">
      <c r="A100" s="30" t="s">
        <v>5844</v>
      </c>
      <c r="B100" s="30" t="s">
        <v>15</v>
      </c>
      <c r="C100" s="30" t="s">
        <v>182</v>
      </c>
      <c r="D100" s="31" t="s">
        <v>5440</v>
      </c>
      <c r="E100" s="31" t="s">
        <v>5357</v>
      </c>
      <c r="F100" s="31" t="s">
        <v>5845</v>
      </c>
      <c r="G100" s="31" t="s">
        <v>5846</v>
      </c>
      <c r="H100" s="31" t="s">
        <v>5847</v>
      </c>
      <c r="I100" s="31" t="s">
        <v>5848</v>
      </c>
      <c r="J100" s="31"/>
      <c r="K100" s="31" t="s">
        <v>5634</v>
      </c>
      <c r="L100" s="31" t="s">
        <v>438</v>
      </c>
      <c r="M100" s="31" t="s">
        <v>438</v>
      </c>
      <c r="N100" s="31" t="s">
        <v>5364</v>
      </c>
      <c r="O100" s="31" t="s">
        <v>5365</v>
      </c>
      <c r="P100" s="31" t="s">
        <v>5366</v>
      </c>
      <c r="Q100" s="31" t="s">
        <v>5367</v>
      </c>
      <c r="R100" s="31" t="s">
        <v>5368</v>
      </c>
      <c r="S100" s="31" t="s">
        <v>5369</v>
      </c>
      <c r="T100" s="31" t="s">
        <v>5370</v>
      </c>
      <c r="U100" s="31" t="s">
        <v>171</v>
      </c>
      <c r="V100" s="31" t="s">
        <v>3497</v>
      </c>
      <c r="W100" s="31" t="s">
        <v>4457</v>
      </c>
      <c r="X100" s="31"/>
      <c r="Y100" s="31"/>
      <c r="Z100" s="31" t="s">
        <v>172</v>
      </c>
      <c r="AA100" s="31" t="s">
        <v>3498</v>
      </c>
      <c r="AB100" s="31" t="s">
        <v>4451</v>
      </c>
      <c r="AC100" s="31"/>
    </row>
    <row r="101" spans="1:29" ht="30">
      <c r="A101" s="30" t="s">
        <v>5849</v>
      </c>
      <c r="B101" s="30" t="s">
        <v>15</v>
      </c>
      <c r="C101" s="30" t="s">
        <v>182</v>
      </c>
      <c r="D101" s="31" t="s">
        <v>5440</v>
      </c>
      <c r="E101" s="31" t="s">
        <v>5357</v>
      </c>
      <c r="F101" s="31" t="s">
        <v>5850</v>
      </c>
      <c r="G101" s="31" t="s">
        <v>5851</v>
      </c>
      <c r="H101" s="31" t="s">
        <v>5852</v>
      </c>
      <c r="I101" s="31" t="s">
        <v>5853</v>
      </c>
      <c r="J101" s="31"/>
      <c r="K101" s="31" t="s">
        <v>5634</v>
      </c>
      <c r="L101" s="31" t="s">
        <v>457</v>
      </c>
      <c r="M101" s="31" t="s">
        <v>5405</v>
      </c>
      <c r="N101" s="31" t="s">
        <v>5364</v>
      </c>
      <c r="O101" s="31" t="s">
        <v>5365</v>
      </c>
      <c r="P101" s="31" t="s">
        <v>5366</v>
      </c>
      <c r="Q101" s="31" t="s">
        <v>5367</v>
      </c>
      <c r="R101" s="31" t="s">
        <v>5368</v>
      </c>
      <c r="S101" s="31" t="s">
        <v>5369</v>
      </c>
      <c r="T101" s="31" t="s">
        <v>5370</v>
      </c>
      <c r="U101" s="31" t="s">
        <v>171</v>
      </c>
      <c r="V101" s="31" t="s">
        <v>3497</v>
      </c>
      <c r="W101" s="31" t="s">
        <v>4457</v>
      </c>
      <c r="X101" s="31"/>
      <c r="Y101" s="31"/>
      <c r="Z101" s="31" t="s">
        <v>172</v>
      </c>
      <c r="AA101" s="31" t="s">
        <v>3498</v>
      </c>
      <c r="AB101" s="31" t="s">
        <v>4451</v>
      </c>
      <c r="AC101" s="31"/>
    </row>
    <row r="102" spans="1:29">
      <c r="A102" s="30" t="s">
        <v>5854</v>
      </c>
      <c r="B102" s="30" t="s">
        <v>15</v>
      </c>
      <c r="C102" s="30" t="s">
        <v>182</v>
      </c>
      <c r="D102" s="31" t="s">
        <v>5855</v>
      </c>
      <c r="E102" s="31" t="s">
        <v>5385</v>
      </c>
      <c r="F102" s="31" t="s">
        <v>5856</v>
      </c>
      <c r="G102" s="31" t="s">
        <v>1183</v>
      </c>
      <c r="H102" s="31" t="s">
        <v>5857</v>
      </c>
      <c r="I102" s="31" t="s">
        <v>5858</v>
      </c>
      <c r="J102" s="31"/>
      <c r="K102" s="31" t="s">
        <v>5634</v>
      </c>
      <c r="L102" s="31" t="s">
        <v>496</v>
      </c>
      <c r="M102" s="31" t="s">
        <v>5391</v>
      </c>
      <c r="N102" s="31" t="s">
        <v>5364</v>
      </c>
      <c r="O102" s="31" t="s">
        <v>5365</v>
      </c>
      <c r="P102" s="31" t="s">
        <v>5366</v>
      </c>
      <c r="Q102" s="31" t="s">
        <v>5367</v>
      </c>
      <c r="R102" s="31" t="s">
        <v>5368</v>
      </c>
      <c r="S102" s="31" t="s">
        <v>5369</v>
      </c>
      <c r="T102" s="31" t="s">
        <v>5370</v>
      </c>
      <c r="U102" s="31" t="s">
        <v>1842</v>
      </c>
      <c r="V102" s="31" t="s">
        <v>2737</v>
      </c>
      <c r="W102" s="31"/>
      <c r="X102" s="31"/>
      <c r="Y102" s="31"/>
      <c r="Z102" s="31"/>
      <c r="AA102" s="31" t="s">
        <v>207</v>
      </c>
      <c r="AB102" s="31" t="s">
        <v>2757</v>
      </c>
      <c r="AC102" s="31"/>
    </row>
    <row r="103" spans="1:29" ht="30">
      <c r="A103" s="30" t="s">
        <v>5859</v>
      </c>
      <c r="B103" s="30" t="s">
        <v>15</v>
      </c>
      <c r="C103" s="30" t="s">
        <v>182</v>
      </c>
      <c r="D103" s="31" t="s">
        <v>5860</v>
      </c>
      <c r="E103" s="31" t="s">
        <v>5385</v>
      </c>
      <c r="F103" s="31" t="s">
        <v>5861</v>
      </c>
      <c r="G103" s="31" t="s">
        <v>5862</v>
      </c>
      <c r="H103" s="31" t="s">
        <v>5863</v>
      </c>
      <c r="I103" s="31" t="s">
        <v>5864</v>
      </c>
      <c r="J103" s="31"/>
      <c r="K103" s="31" t="s">
        <v>5634</v>
      </c>
      <c r="L103" s="31" t="s">
        <v>496</v>
      </c>
      <c r="M103" s="31" t="s">
        <v>5391</v>
      </c>
      <c r="N103" s="31" t="s">
        <v>5364</v>
      </c>
      <c r="O103" s="31" t="s">
        <v>5365</v>
      </c>
      <c r="P103" s="31" t="s">
        <v>5366</v>
      </c>
      <c r="Q103" s="31" t="s">
        <v>5367</v>
      </c>
      <c r="R103" s="31" t="s">
        <v>5368</v>
      </c>
      <c r="S103" s="31" t="s">
        <v>5369</v>
      </c>
      <c r="T103" s="31" t="s">
        <v>5370</v>
      </c>
      <c r="U103" s="31" t="s">
        <v>1850</v>
      </c>
      <c r="V103" s="31" t="s">
        <v>3497</v>
      </c>
      <c r="W103" s="31"/>
      <c r="X103" s="31"/>
      <c r="Y103" s="31"/>
      <c r="Z103" s="31"/>
      <c r="AA103" s="31" t="s">
        <v>3498</v>
      </c>
      <c r="AB103" s="31"/>
      <c r="AC103" s="31"/>
    </row>
    <row r="104" spans="1:29">
      <c r="A104" s="30" t="s">
        <v>5865</v>
      </c>
      <c r="B104" s="30" t="s">
        <v>15</v>
      </c>
      <c r="C104" s="30" t="s">
        <v>3937</v>
      </c>
      <c r="D104" s="31" t="s">
        <v>5444</v>
      </c>
      <c r="E104" s="31" t="s">
        <v>5357</v>
      </c>
      <c r="F104" s="31" t="s">
        <v>5866</v>
      </c>
      <c r="G104" s="31" t="s">
        <v>5867</v>
      </c>
      <c r="H104" s="31" t="s">
        <v>5868</v>
      </c>
      <c r="I104" s="31" t="s">
        <v>5869</v>
      </c>
      <c r="J104" s="31"/>
      <c r="K104" s="31" t="s">
        <v>5634</v>
      </c>
      <c r="L104" s="31" t="s">
        <v>438</v>
      </c>
      <c r="M104" s="31" t="s">
        <v>438</v>
      </c>
      <c r="N104" s="31" t="s">
        <v>5364</v>
      </c>
      <c r="O104" s="31" t="s">
        <v>5365</v>
      </c>
      <c r="P104" s="31" t="s">
        <v>5366</v>
      </c>
      <c r="Q104" s="31" t="s">
        <v>5367</v>
      </c>
      <c r="R104" s="31" t="s">
        <v>5368</v>
      </c>
      <c r="S104" s="31" t="s">
        <v>5369</v>
      </c>
      <c r="T104" s="31" t="s">
        <v>5370</v>
      </c>
      <c r="U104" s="31" t="s">
        <v>177</v>
      </c>
      <c r="V104" s="31" t="s">
        <v>3507</v>
      </c>
      <c r="W104" s="31" t="s">
        <v>4464</v>
      </c>
      <c r="X104" s="31"/>
      <c r="Y104" s="31"/>
      <c r="Z104" s="31" t="s">
        <v>178</v>
      </c>
      <c r="AA104" s="31" t="s">
        <v>3508</v>
      </c>
      <c r="AB104" s="31" t="s">
        <v>4466</v>
      </c>
      <c r="AC104" s="31"/>
    </row>
    <row r="105" spans="1:29" ht="45">
      <c r="A105" s="30" t="s">
        <v>5870</v>
      </c>
      <c r="B105" s="30" t="s">
        <v>15</v>
      </c>
      <c r="C105" s="30" t="s">
        <v>3937</v>
      </c>
      <c r="D105" s="31" t="s">
        <v>5419</v>
      </c>
      <c r="E105" s="31" t="s">
        <v>5357</v>
      </c>
      <c r="F105" s="31" t="s">
        <v>4479</v>
      </c>
      <c r="G105" s="31" t="s">
        <v>5871</v>
      </c>
      <c r="H105" s="31" t="s">
        <v>5872</v>
      </c>
      <c r="I105" s="31" t="s">
        <v>5873</v>
      </c>
      <c r="J105" s="31"/>
      <c r="K105" s="31" t="s">
        <v>5634</v>
      </c>
      <c r="L105" s="31" t="s">
        <v>438</v>
      </c>
      <c r="M105" s="31" t="s">
        <v>438</v>
      </c>
      <c r="N105" s="31" t="s">
        <v>5364</v>
      </c>
      <c r="O105" s="31" t="s">
        <v>5365</v>
      </c>
      <c r="P105" s="31" t="s">
        <v>5366</v>
      </c>
      <c r="Q105" s="31" t="s">
        <v>5367</v>
      </c>
      <c r="R105" s="31" t="s">
        <v>5368</v>
      </c>
      <c r="S105" s="31" t="s">
        <v>5369</v>
      </c>
      <c r="T105" s="31" t="s">
        <v>5370</v>
      </c>
      <c r="U105" s="31" t="s">
        <v>1862</v>
      </c>
      <c r="V105" s="31" t="s">
        <v>3517</v>
      </c>
      <c r="W105" s="31" t="s">
        <v>4478</v>
      </c>
      <c r="X105" s="31"/>
      <c r="Y105" s="31"/>
      <c r="Z105" s="31"/>
      <c r="AA105" s="31" t="s">
        <v>3518</v>
      </c>
      <c r="AB105" s="31" t="s">
        <v>4480</v>
      </c>
      <c r="AC105" s="31"/>
    </row>
    <row r="106" spans="1:29" ht="45">
      <c r="A106" s="30" t="s">
        <v>5874</v>
      </c>
      <c r="B106" s="30" t="s">
        <v>15</v>
      </c>
      <c r="C106" s="30" t="s">
        <v>3937</v>
      </c>
      <c r="D106" s="31" t="s">
        <v>5440</v>
      </c>
      <c r="E106" s="31" t="s">
        <v>5357</v>
      </c>
      <c r="F106" s="31" t="s">
        <v>4487</v>
      </c>
      <c r="G106" s="31" t="s">
        <v>3490</v>
      </c>
      <c r="H106" s="31" t="s">
        <v>5875</v>
      </c>
      <c r="I106" s="31" t="s">
        <v>5876</v>
      </c>
      <c r="J106" s="31"/>
      <c r="K106" s="31" t="s">
        <v>5634</v>
      </c>
      <c r="L106" s="31" t="s">
        <v>457</v>
      </c>
      <c r="M106" s="31" t="s">
        <v>5405</v>
      </c>
      <c r="N106" s="31" t="s">
        <v>5364</v>
      </c>
      <c r="O106" s="31" t="s">
        <v>5365</v>
      </c>
      <c r="P106" s="31" t="s">
        <v>5366</v>
      </c>
      <c r="Q106" s="31" t="s">
        <v>5367</v>
      </c>
      <c r="R106" s="31" t="s">
        <v>5368</v>
      </c>
      <c r="S106" s="31" t="s">
        <v>5369</v>
      </c>
      <c r="T106" s="31" t="s">
        <v>5370</v>
      </c>
      <c r="U106" s="31" t="s">
        <v>1869</v>
      </c>
      <c r="V106" s="31" t="s">
        <v>3527</v>
      </c>
      <c r="W106" s="31" t="s">
        <v>4486</v>
      </c>
      <c r="X106" s="31"/>
      <c r="Y106" s="31"/>
      <c r="Z106" s="31"/>
      <c r="AA106" s="31" t="s">
        <v>3528</v>
      </c>
      <c r="AB106" s="31" t="s">
        <v>4474</v>
      </c>
      <c r="AC106" s="31"/>
    </row>
    <row r="107" spans="1:29">
      <c r="A107" s="30" t="s">
        <v>5877</v>
      </c>
      <c r="B107" s="30" t="s">
        <v>15</v>
      </c>
      <c r="C107" s="30" t="s">
        <v>51</v>
      </c>
      <c r="D107" s="31" t="s">
        <v>5444</v>
      </c>
      <c r="E107" s="31" t="s">
        <v>5357</v>
      </c>
      <c r="F107" s="31" t="s">
        <v>5878</v>
      </c>
      <c r="G107" s="31" t="s">
        <v>5879</v>
      </c>
      <c r="H107" s="31" t="s">
        <v>5880</v>
      </c>
      <c r="I107" s="31" t="s">
        <v>5881</v>
      </c>
      <c r="J107" s="31"/>
      <c r="K107" s="31" t="s">
        <v>5634</v>
      </c>
      <c r="L107" s="31" t="s">
        <v>457</v>
      </c>
      <c r="M107" s="31" t="s">
        <v>5405</v>
      </c>
      <c r="N107" s="31" t="s">
        <v>5364</v>
      </c>
      <c r="O107" s="31" t="s">
        <v>5365</v>
      </c>
      <c r="P107" s="31" t="s">
        <v>5366</v>
      </c>
      <c r="Q107" s="31" t="s">
        <v>5367</v>
      </c>
      <c r="R107" s="31" t="s">
        <v>5368</v>
      </c>
      <c r="S107" s="31" t="s">
        <v>5369</v>
      </c>
      <c r="T107" s="31" t="s">
        <v>5370</v>
      </c>
      <c r="U107" s="31" t="s">
        <v>146</v>
      </c>
      <c r="V107" s="31"/>
      <c r="W107" s="31"/>
      <c r="X107" s="31"/>
      <c r="Y107" s="31"/>
      <c r="Z107" s="31" t="s">
        <v>147</v>
      </c>
      <c r="AA107" s="31"/>
      <c r="AB107" s="31"/>
      <c r="AC107" s="31"/>
    </row>
    <row r="108" spans="1:29">
      <c r="A108" s="30" t="s">
        <v>5882</v>
      </c>
      <c r="B108" s="30" t="s">
        <v>15</v>
      </c>
      <c r="C108" s="30" t="s">
        <v>51</v>
      </c>
      <c r="D108" s="31" t="s">
        <v>5653</v>
      </c>
      <c r="E108" s="31" t="s">
        <v>5385</v>
      </c>
      <c r="F108" s="31" t="s">
        <v>5883</v>
      </c>
      <c r="G108" s="31" t="s">
        <v>5884</v>
      </c>
      <c r="H108" s="31" t="s">
        <v>5885</v>
      </c>
      <c r="I108" s="31" t="s">
        <v>5886</v>
      </c>
      <c r="J108" s="31"/>
      <c r="K108" s="31" t="s">
        <v>5634</v>
      </c>
      <c r="L108" s="31" t="s">
        <v>496</v>
      </c>
      <c r="M108" s="31" t="s">
        <v>5391</v>
      </c>
      <c r="N108" s="31" t="s">
        <v>5364</v>
      </c>
      <c r="O108" s="31" t="s">
        <v>5365</v>
      </c>
      <c r="P108" s="31" t="s">
        <v>5366</v>
      </c>
      <c r="Q108" s="31" t="s">
        <v>5367</v>
      </c>
      <c r="R108" s="31" t="s">
        <v>5368</v>
      </c>
      <c r="S108" s="31" t="s">
        <v>5369</v>
      </c>
      <c r="T108" s="31" t="s">
        <v>5370</v>
      </c>
      <c r="U108" s="31" t="s">
        <v>1796</v>
      </c>
      <c r="V108" s="31"/>
      <c r="W108" s="31"/>
      <c r="X108" s="31"/>
      <c r="Y108" s="31"/>
      <c r="Z108" s="31"/>
      <c r="AA108" s="31"/>
      <c r="AB108" s="31"/>
      <c r="AC108" s="31"/>
    </row>
    <row r="109" spans="1:29" ht="45">
      <c r="A109" s="30" t="s">
        <v>5887</v>
      </c>
      <c r="B109" s="30" t="s">
        <v>15</v>
      </c>
      <c r="C109" s="30" t="s">
        <v>170</v>
      </c>
      <c r="D109" s="31" t="s">
        <v>5888</v>
      </c>
      <c r="E109" s="31" t="s">
        <v>5357</v>
      </c>
      <c r="F109" s="31" t="s">
        <v>5889</v>
      </c>
      <c r="G109" s="31" t="s">
        <v>5890</v>
      </c>
      <c r="H109" s="31" t="s">
        <v>5891</v>
      </c>
      <c r="I109" s="31" t="s">
        <v>5892</v>
      </c>
      <c r="J109" s="31"/>
      <c r="K109" s="31" t="s">
        <v>5634</v>
      </c>
      <c r="L109" s="31" t="s">
        <v>438</v>
      </c>
      <c r="M109" s="31" t="s">
        <v>438</v>
      </c>
      <c r="N109" s="31" t="s">
        <v>5364</v>
      </c>
      <c r="O109" s="31" t="s">
        <v>5365</v>
      </c>
      <c r="P109" s="31" t="s">
        <v>5366</v>
      </c>
      <c r="Q109" s="31" t="s">
        <v>5367</v>
      </c>
      <c r="R109" s="31" t="s">
        <v>5368</v>
      </c>
      <c r="S109" s="31" t="s">
        <v>5369</v>
      </c>
      <c r="T109" s="31" t="s">
        <v>5370</v>
      </c>
      <c r="U109" s="31" t="s">
        <v>1803</v>
      </c>
      <c r="V109" s="31"/>
      <c r="W109" s="31"/>
      <c r="X109" s="31"/>
      <c r="Y109" s="31"/>
      <c r="Z109" s="31"/>
      <c r="AA109" s="31"/>
      <c r="AB109" s="31"/>
      <c r="AC109" s="31"/>
    </row>
    <row r="110" spans="1:29" ht="60">
      <c r="A110" s="30" t="s">
        <v>5893</v>
      </c>
      <c r="B110" s="30" t="s">
        <v>15</v>
      </c>
      <c r="C110" s="30" t="s">
        <v>170</v>
      </c>
      <c r="D110" s="31" t="s">
        <v>5894</v>
      </c>
      <c r="E110" s="31" t="s">
        <v>5357</v>
      </c>
      <c r="F110" s="31" t="s">
        <v>5895</v>
      </c>
      <c r="G110" s="31" t="s">
        <v>1825</v>
      </c>
      <c r="H110" s="31" t="s">
        <v>5896</v>
      </c>
      <c r="I110" s="31" t="s">
        <v>5897</v>
      </c>
      <c r="J110" s="31"/>
      <c r="K110" s="31" t="s">
        <v>5634</v>
      </c>
      <c r="L110" s="31" t="s">
        <v>438</v>
      </c>
      <c r="M110" s="31" t="s">
        <v>438</v>
      </c>
      <c r="N110" s="31" t="s">
        <v>5364</v>
      </c>
      <c r="O110" s="31" t="s">
        <v>5365</v>
      </c>
      <c r="P110" s="31" t="s">
        <v>5366</v>
      </c>
      <c r="Q110" s="31" t="s">
        <v>5367</v>
      </c>
      <c r="R110" s="31" t="s">
        <v>5368</v>
      </c>
      <c r="S110" s="31" t="s">
        <v>5369</v>
      </c>
      <c r="T110" s="31" t="s">
        <v>5370</v>
      </c>
      <c r="U110" s="31" t="s">
        <v>1816</v>
      </c>
      <c r="V110" s="31"/>
      <c r="W110" s="31"/>
      <c r="X110" s="31"/>
      <c r="Y110" s="31"/>
      <c r="Z110" s="31"/>
      <c r="AA110" s="31"/>
      <c r="AB110" s="31"/>
      <c r="AC110" s="31"/>
    </row>
    <row r="111" spans="1:29" ht="45">
      <c r="A111" s="30" t="s">
        <v>5898</v>
      </c>
      <c r="B111" s="30" t="s">
        <v>15</v>
      </c>
      <c r="C111" s="30" t="s">
        <v>170</v>
      </c>
      <c r="D111" s="31" t="s">
        <v>5899</v>
      </c>
      <c r="E111" s="31" t="s">
        <v>5357</v>
      </c>
      <c r="F111" s="31" t="s">
        <v>5900</v>
      </c>
      <c r="G111" s="31" t="s">
        <v>1835</v>
      </c>
      <c r="H111" s="31" t="s">
        <v>5901</v>
      </c>
      <c r="I111" s="31" t="s">
        <v>5902</v>
      </c>
      <c r="J111" s="31"/>
      <c r="K111" s="31" t="s">
        <v>5634</v>
      </c>
      <c r="L111" s="31" t="s">
        <v>438</v>
      </c>
      <c r="M111" s="31" t="s">
        <v>438</v>
      </c>
      <c r="N111" s="31" t="s">
        <v>5364</v>
      </c>
      <c r="O111" s="31" t="s">
        <v>5365</v>
      </c>
      <c r="P111" s="31" t="s">
        <v>5366</v>
      </c>
      <c r="Q111" s="31" t="s">
        <v>5367</v>
      </c>
      <c r="R111" s="31" t="s">
        <v>5368</v>
      </c>
      <c r="S111" s="31" t="s">
        <v>5369</v>
      </c>
      <c r="T111" s="31" t="s">
        <v>5370</v>
      </c>
      <c r="U111" s="31" t="s">
        <v>1827</v>
      </c>
      <c r="V111" s="31"/>
      <c r="W111" s="31"/>
      <c r="X111" s="31"/>
      <c r="Y111" s="31"/>
      <c r="Z111" s="31"/>
      <c r="AA111" s="31"/>
      <c r="AB111" s="31"/>
      <c r="AC111" s="31"/>
    </row>
    <row r="112" spans="1:29" ht="30">
      <c r="A112" s="30" t="s">
        <v>5903</v>
      </c>
      <c r="B112" s="30" t="s">
        <v>15</v>
      </c>
      <c r="C112" s="30" t="s">
        <v>170</v>
      </c>
      <c r="D112" s="31" t="s">
        <v>5888</v>
      </c>
      <c r="E112" s="31" t="s">
        <v>5357</v>
      </c>
      <c r="F112" s="31" t="s">
        <v>5904</v>
      </c>
      <c r="G112" s="31" t="s">
        <v>5905</v>
      </c>
      <c r="H112" s="31" t="s">
        <v>5906</v>
      </c>
      <c r="I112" s="31" t="s">
        <v>5907</v>
      </c>
      <c r="J112" s="31"/>
      <c r="K112" s="31" t="s">
        <v>5634</v>
      </c>
      <c r="L112" s="31" t="s">
        <v>457</v>
      </c>
      <c r="M112" s="31" t="s">
        <v>5405</v>
      </c>
      <c r="N112" s="31" t="s">
        <v>5364</v>
      </c>
      <c r="O112" s="31" t="s">
        <v>5365</v>
      </c>
      <c r="P112" s="31" t="s">
        <v>5366</v>
      </c>
      <c r="Q112" s="31" t="s">
        <v>5367</v>
      </c>
      <c r="R112" s="31" t="s">
        <v>5368</v>
      </c>
      <c r="S112" s="31" t="s">
        <v>5369</v>
      </c>
      <c r="T112" s="31" t="s">
        <v>5370</v>
      </c>
      <c r="U112" s="31" t="s">
        <v>1803</v>
      </c>
      <c r="V112" s="31"/>
      <c r="W112" s="31"/>
      <c r="X112" s="31"/>
      <c r="Y112" s="31"/>
      <c r="Z112" s="31"/>
      <c r="AA112" s="31"/>
      <c r="AB112" s="31"/>
      <c r="AC112" s="31"/>
    </row>
    <row r="113" spans="1:29">
      <c r="A113" s="30" t="s">
        <v>5908</v>
      </c>
      <c r="B113" s="30" t="s">
        <v>15</v>
      </c>
      <c r="C113" s="30" t="s">
        <v>5909</v>
      </c>
      <c r="D113" s="31" t="s">
        <v>5444</v>
      </c>
      <c r="E113" s="31" t="s">
        <v>5357</v>
      </c>
      <c r="F113" s="31" t="s">
        <v>5910</v>
      </c>
      <c r="G113" s="31" t="s">
        <v>5911</v>
      </c>
      <c r="H113" s="31" t="s">
        <v>5912</v>
      </c>
      <c r="I113" s="31" t="s">
        <v>5913</v>
      </c>
      <c r="J113" s="31"/>
      <c r="K113" s="31" t="s">
        <v>5634</v>
      </c>
      <c r="L113" s="31" t="s">
        <v>457</v>
      </c>
      <c r="M113" s="31" t="s">
        <v>5405</v>
      </c>
      <c r="N113" s="31" t="s">
        <v>5364</v>
      </c>
      <c r="O113" s="31" t="s">
        <v>5365</v>
      </c>
      <c r="P113" s="31" t="s">
        <v>5366</v>
      </c>
      <c r="Q113" s="31" t="s">
        <v>5367</v>
      </c>
      <c r="R113" s="31" t="s">
        <v>5368</v>
      </c>
      <c r="S113" s="31" t="s">
        <v>5369</v>
      </c>
      <c r="T113" s="31" t="s">
        <v>5370</v>
      </c>
      <c r="U113" s="31" t="s">
        <v>183</v>
      </c>
      <c r="V113" s="31"/>
      <c r="W113" s="31"/>
      <c r="X113" s="31"/>
      <c r="Y113" s="31"/>
      <c r="Z113" s="31" t="s">
        <v>182</v>
      </c>
      <c r="AA113" s="31"/>
      <c r="AB113" s="31"/>
      <c r="AC113" s="31"/>
    </row>
    <row r="114" spans="1:29" ht="45">
      <c r="A114" s="30" t="s">
        <v>5914</v>
      </c>
      <c r="B114" s="30" t="s">
        <v>15</v>
      </c>
      <c r="C114" s="30" t="s">
        <v>5909</v>
      </c>
      <c r="D114" s="31" t="s">
        <v>5915</v>
      </c>
      <c r="E114" s="31" t="s">
        <v>5357</v>
      </c>
      <c r="F114" s="31" t="s">
        <v>5593</v>
      </c>
      <c r="G114" s="31" t="s">
        <v>5916</v>
      </c>
      <c r="H114" s="31" t="s">
        <v>5917</v>
      </c>
      <c r="I114" s="31" t="s">
        <v>5918</v>
      </c>
      <c r="J114" s="31"/>
      <c r="K114" s="31" t="s">
        <v>5634</v>
      </c>
      <c r="L114" s="31" t="s">
        <v>457</v>
      </c>
      <c r="M114" s="31" t="s">
        <v>5405</v>
      </c>
      <c r="N114" s="31" t="s">
        <v>5364</v>
      </c>
      <c r="O114" s="31" t="s">
        <v>5365</v>
      </c>
      <c r="P114" s="31" t="s">
        <v>5366</v>
      </c>
      <c r="Q114" s="31" t="s">
        <v>5367</v>
      </c>
      <c r="R114" s="31" t="s">
        <v>5368</v>
      </c>
      <c r="S114" s="31" t="s">
        <v>5369</v>
      </c>
      <c r="T114" s="31" t="s">
        <v>5370</v>
      </c>
      <c r="U114" s="31" t="s">
        <v>1891</v>
      </c>
      <c r="V114" s="31"/>
      <c r="W114" s="31"/>
      <c r="X114" s="31"/>
      <c r="Y114" s="31"/>
      <c r="Z114" s="31"/>
      <c r="AA114" s="31"/>
      <c r="AB114" s="31"/>
      <c r="AC114" s="31"/>
    </row>
    <row r="115" spans="1:29">
      <c r="A115" s="30" t="s">
        <v>5919</v>
      </c>
      <c r="B115" s="30" t="s">
        <v>15</v>
      </c>
      <c r="C115" s="30" t="s">
        <v>5909</v>
      </c>
      <c r="D115" s="31" t="s">
        <v>5653</v>
      </c>
      <c r="E115" s="31" t="s">
        <v>5385</v>
      </c>
      <c r="F115" s="31" t="s">
        <v>5920</v>
      </c>
      <c r="G115" s="31" t="s">
        <v>1890</v>
      </c>
      <c r="H115" s="31" t="s">
        <v>5912</v>
      </c>
      <c r="I115" s="31" t="s">
        <v>5921</v>
      </c>
      <c r="J115" s="31"/>
      <c r="K115" s="31" t="s">
        <v>5634</v>
      </c>
      <c r="L115" s="31" t="s">
        <v>496</v>
      </c>
      <c r="M115" s="31" t="s">
        <v>5391</v>
      </c>
      <c r="N115" s="31" t="s">
        <v>5364</v>
      </c>
      <c r="O115" s="31" t="s">
        <v>5365</v>
      </c>
      <c r="P115" s="31" t="s">
        <v>5366</v>
      </c>
      <c r="Q115" s="31" t="s">
        <v>5367</v>
      </c>
      <c r="R115" s="31" t="s">
        <v>5368</v>
      </c>
      <c r="S115" s="31" t="s">
        <v>5369</v>
      </c>
      <c r="T115" s="31" t="s">
        <v>5370</v>
      </c>
      <c r="U115" s="31" t="s">
        <v>1884</v>
      </c>
      <c r="V115" s="31"/>
      <c r="W115" s="31"/>
      <c r="X115" s="31"/>
      <c r="Y115" s="31"/>
      <c r="Z115" s="31"/>
      <c r="AA115" s="31"/>
      <c r="AB115" s="31"/>
      <c r="AC115" s="31"/>
    </row>
    <row r="116" spans="1:29">
      <c r="A116" s="30" t="s">
        <v>5922</v>
      </c>
      <c r="B116" s="30" t="s">
        <v>15</v>
      </c>
      <c r="C116" s="30" t="s">
        <v>163</v>
      </c>
      <c r="D116" s="31" t="s">
        <v>5444</v>
      </c>
      <c r="E116" s="31" t="s">
        <v>5357</v>
      </c>
      <c r="F116" s="31" t="s">
        <v>5923</v>
      </c>
      <c r="G116" s="31" t="s">
        <v>5924</v>
      </c>
      <c r="H116" s="31" t="s">
        <v>5925</v>
      </c>
      <c r="I116" s="31" t="s">
        <v>5926</v>
      </c>
      <c r="J116" s="31"/>
      <c r="K116" s="31" t="s">
        <v>5634</v>
      </c>
      <c r="L116" s="31" t="s">
        <v>457</v>
      </c>
      <c r="M116" s="31" t="s">
        <v>5405</v>
      </c>
      <c r="N116" s="31" t="s">
        <v>5364</v>
      </c>
      <c r="O116" s="31" t="s">
        <v>5365</v>
      </c>
      <c r="P116" s="31" t="s">
        <v>5366</v>
      </c>
      <c r="Q116" s="31" t="s">
        <v>5367</v>
      </c>
      <c r="R116" s="31" t="s">
        <v>5368</v>
      </c>
      <c r="S116" s="31" t="s">
        <v>5369</v>
      </c>
      <c r="T116" s="31" t="s">
        <v>5370</v>
      </c>
      <c r="U116" s="31" t="s">
        <v>187</v>
      </c>
      <c r="V116" s="31"/>
      <c r="W116" s="31"/>
      <c r="X116" s="31"/>
      <c r="Y116" s="31"/>
      <c r="Z116" s="31" t="s">
        <v>188</v>
      </c>
      <c r="AA116" s="31"/>
      <c r="AB116" s="31"/>
      <c r="AC116" s="31"/>
    </row>
    <row r="117" spans="1:29">
      <c r="A117" s="30" t="s">
        <v>5927</v>
      </c>
      <c r="B117" s="30" t="s">
        <v>15</v>
      </c>
      <c r="C117" s="30" t="s">
        <v>163</v>
      </c>
      <c r="D117" s="31" t="s">
        <v>5653</v>
      </c>
      <c r="E117" s="31" t="s">
        <v>5385</v>
      </c>
      <c r="F117" s="31" t="s">
        <v>5928</v>
      </c>
      <c r="G117" s="31" t="s">
        <v>1909</v>
      </c>
      <c r="H117" s="31" t="s">
        <v>5929</v>
      </c>
      <c r="I117" s="31" t="s">
        <v>5930</v>
      </c>
      <c r="J117" s="31"/>
      <c r="K117" s="31" t="s">
        <v>5634</v>
      </c>
      <c r="L117" s="31" t="s">
        <v>496</v>
      </c>
      <c r="M117" s="31" t="s">
        <v>5391</v>
      </c>
      <c r="N117" s="31" t="s">
        <v>5364</v>
      </c>
      <c r="O117" s="31" t="s">
        <v>5365</v>
      </c>
      <c r="P117" s="31" t="s">
        <v>5366</v>
      </c>
      <c r="Q117" s="31" t="s">
        <v>5367</v>
      </c>
      <c r="R117" s="31" t="s">
        <v>5368</v>
      </c>
      <c r="S117" s="31" t="s">
        <v>5369</v>
      </c>
      <c r="T117" s="31" t="s">
        <v>5370</v>
      </c>
      <c r="U117" s="31" t="s">
        <v>1904</v>
      </c>
      <c r="V117" s="31"/>
      <c r="W117" s="31"/>
      <c r="X117" s="31"/>
      <c r="Y117" s="31"/>
      <c r="Z117" s="31"/>
      <c r="AA117" s="31"/>
      <c r="AB117" s="31"/>
      <c r="AC117" s="31"/>
    </row>
    <row r="118" spans="1:29">
      <c r="A118" s="30" t="s">
        <v>5931</v>
      </c>
      <c r="B118" s="30" t="s">
        <v>15</v>
      </c>
      <c r="C118" s="30" t="s">
        <v>176</v>
      </c>
      <c r="D118" s="31" t="s">
        <v>5444</v>
      </c>
      <c r="E118" s="31" t="s">
        <v>5357</v>
      </c>
      <c r="F118" s="31" t="s">
        <v>5932</v>
      </c>
      <c r="G118" s="31" t="s">
        <v>5933</v>
      </c>
      <c r="H118" s="31" t="s">
        <v>5934</v>
      </c>
      <c r="I118" s="31" t="s">
        <v>5935</v>
      </c>
      <c r="J118" s="31"/>
      <c r="K118" s="31" t="s">
        <v>5634</v>
      </c>
      <c r="L118" s="31" t="s">
        <v>457</v>
      </c>
      <c r="M118" s="31" t="s">
        <v>5405</v>
      </c>
      <c r="N118" s="31" t="s">
        <v>5364</v>
      </c>
      <c r="O118" s="31" t="s">
        <v>5365</v>
      </c>
      <c r="P118" s="31" t="s">
        <v>5366</v>
      </c>
      <c r="Q118" s="31" t="s">
        <v>5367</v>
      </c>
      <c r="R118" s="31" t="s">
        <v>5368</v>
      </c>
      <c r="S118" s="31" t="s">
        <v>5369</v>
      </c>
      <c r="T118" s="31" t="s">
        <v>5370</v>
      </c>
      <c r="U118" s="31" t="s">
        <v>194</v>
      </c>
      <c r="V118" s="31"/>
      <c r="W118" s="31"/>
      <c r="X118" s="31"/>
      <c r="Y118" s="31"/>
      <c r="Z118" s="31" t="s">
        <v>195</v>
      </c>
      <c r="AA118" s="31"/>
      <c r="AB118" s="31"/>
      <c r="AC118" s="31"/>
    </row>
    <row r="119" spans="1:29">
      <c r="A119" s="30" t="s">
        <v>5936</v>
      </c>
      <c r="B119" s="30" t="s">
        <v>15</v>
      </c>
      <c r="C119" s="30" t="s">
        <v>112</v>
      </c>
      <c r="D119" s="31" t="s">
        <v>5444</v>
      </c>
      <c r="E119" s="31" t="s">
        <v>5357</v>
      </c>
      <c r="F119" s="31" t="s">
        <v>4000</v>
      </c>
      <c r="G119" s="31" t="s">
        <v>5937</v>
      </c>
      <c r="H119" s="31" t="s">
        <v>5938</v>
      </c>
      <c r="I119" s="31" t="s">
        <v>5939</v>
      </c>
      <c r="J119" s="31"/>
      <c r="K119" s="31" t="s">
        <v>5634</v>
      </c>
      <c r="L119" s="31" t="s">
        <v>457</v>
      </c>
      <c r="M119" s="31" t="s">
        <v>5405</v>
      </c>
      <c r="N119" s="31" t="s">
        <v>5364</v>
      </c>
      <c r="O119" s="31" t="s">
        <v>5365</v>
      </c>
      <c r="P119" s="31" t="s">
        <v>5366</v>
      </c>
      <c r="Q119" s="31" t="s">
        <v>5367</v>
      </c>
      <c r="R119" s="31" t="s">
        <v>5368</v>
      </c>
      <c r="S119" s="31" t="s">
        <v>5369</v>
      </c>
      <c r="T119" s="31" t="s">
        <v>5370</v>
      </c>
      <c r="U119" s="31" t="s">
        <v>200</v>
      </c>
      <c r="V119" s="31"/>
      <c r="W119" s="31"/>
      <c r="X119" s="31"/>
      <c r="Y119" s="31"/>
      <c r="Z119" s="31" t="s">
        <v>201</v>
      </c>
      <c r="AA119" s="31"/>
      <c r="AB119" s="31"/>
      <c r="AC119" s="31"/>
    </row>
    <row r="120" spans="1:29">
      <c r="A120" s="30" t="s">
        <v>5940</v>
      </c>
      <c r="B120" s="30" t="s">
        <v>15</v>
      </c>
      <c r="C120" s="30" t="s">
        <v>112</v>
      </c>
      <c r="D120" s="31" t="s">
        <v>5653</v>
      </c>
      <c r="E120" s="31" t="s">
        <v>5385</v>
      </c>
      <c r="F120" s="31" t="s">
        <v>5941</v>
      </c>
      <c r="G120" s="31" t="s">
        <v>1929</v>
      </c>
      <c r="H120" s="31" t="s">
        <v>5938</v>
      </c>
      <c r="I120" s="31" t="s">
        <v>5942</v>
      </c>
      <c r="J120" s="31"/>
      <c r="K120" s="31" t="s">
        <v>5634</v>
      </c>
      <c r="L120" s="31" t="s">
        <v>496</v>
      </c>
      <c r="M120" s="31" t="s">
        <v>5391</v>
      </c>
      <c r="N120" s="31" t="s">
        <v>5364</v>
      </c>
      <c r="O120" s="31" t="s">
        <v>5365</v>
      </c>
      <c r="P120" s="31" t="s">
        <v>5366</v>
      </c>
      <c r="Q120" s="31" t="s">
        <v>5367</v>
      </c>
      <c r="R120" s="31" t="s">
        <v>5368</v>
      </c>
      <c r="S120" s="31" t="s">
        <v>5369</v>
      </c>
      <c r="T120" s="31" t="s">
        <v>5370</v>
      </c>
      <c r="U120" s="31" t="s">
        <v>1923</v>
      </c>
      <c r="V120" s="31"/>
      <c r="W120" s="31"/>
      <c r="X120" s="31"/>
      <c r="Y120" s="31"/>
      <c r="Z120" s="31"/>
      <c r="AA120" s="31"/>
      <c r="AB120" s="31"/>
      <c r="AC120" s="31"/>
    </row>
    <row r="121" spans="1:29">
      <c r="A121" s="30" t="s">
        <v>5943</v>
      </c>
      <c r="B121" s="30" t="s">
        <v>15</v>
      </c>
      <c r="C121" s="30" t="s">
        <v>193</v>
      </c>
      <c r="D121" s="31" t="s">
        <v>182</v>
      </c>
      <c r="E121" s="31" t="s">
        <v>5357</v>
      </c>
      <c r="F121" s="31" t="s">
        <v>5944</v>
      </c>
      <c r="G121" s="31" t="s">
        <v>5945</v>
      </c>
      <c r="H121" s="31" t="s">
        <v>5946</v>
      </c>
      <c r="I121" s="31" t="s">
        <v>5947</v>
      </c>
      <c r="J121" s="31"/>
      <c r="K121" s="31" t="s">
        <v>5634</v>
      </c>
      <c r="L121" s="31" t="s">
        <v>457</v>
      </c>
      <c r="M121" s="31" t="s">
        <v>5405</v>
      </c>
      <c r="N121" s="31" t="s">
        <v>5364</v>
      </c>
      <c r="O121" s="31" t="s">
        <v>5365</v>
      </c>
      <c r="P121" s="31" t="s">
        <v>5366</v>
      </c>
      <c r="Q121" s="31" t="s">
        <v>5367</v>
      </c>
      <c r="R121" s="31" t="s">
        <v>5368</v>
      </c>
      <c r="S121" s="31" t="s">
        <v>5369</v>
      </c>
      <c r="T121" s="31" t="s">
        <v>5370</v>
      </c>
      <c r="U121" s="31" t="s">
        <v>206</v>
      </c>
      <c r="V121" s="31"/>
      <c r="W121" s="31"/>
      <c r="X121" s="31"/>
      <c r="Y121" s="31"/>
      <c r="Z121" s="31" t="s">
        <v>207</v>
      </c>
      <c r="AA121" s="31"/>
      <c r="AB121" s="31"/>
      <c r="AC121" s="31"/>
    </row>
    <row r="122" spans="1:29">
      <c r="A122" s="30" t="s">
        <v>5948</v>
      </c>
      <c r="B122" s="30" t="s">
        <v>15</v>
      </c>
      <c r="C122" s="30" t="s">
        <v>199</v>
      </c>
      <c r="D122" s="31" t="s">
        <v>5444</v>
      </c>
      <c r="E122" s="31" t="s">
        <v>5357</v>
      </c>
      <c r="F122" s="31" t="s">
        <v>5949</v>
      </c>
      <c r="G122" s="31" t="s">
        <v>5950</v>
      </c>
      <c r="H122" s="31" t="s">
        <v>5951</v>
      </c>
      <c r="I122" s="31" t="s">
        <v>5952</v>
      </c>
      <c r="J122" s="31"/>
      <c r="K122" s="31" t="s">
        <v>5634</v>
      </c>
      <c r="L122" s="31" t="s">
        <v>457</v>
      </c>
      <c r="M122" s="31" t="s">
        <v>5405</v>
      </c>
      <c r="N122" s="31" t="s">
        <v>5364</v>
      </c>
      <c r="O122" s="31" t="s">
        <v>5365</v>
      </c>
      <c r="P122" s="31" t="s">
        <v>5366</v>
      </c>
      <c r="Q122" s="31" t="s">
        <v>5367</v>
      </c>
      <c r="R122" s="31" t="s">
        <v>5368</v>
      </c>
      <c r="S122" s="31" t="s">
        <v>5369</v>
      </c>
      <c r="T122" s="31" t="s">
        <v>5370</v>
      </c>
      <c r="U122" s="31" t="s">
        <v>2017</v>
      </c>
      <c r="V122" s="31"/>
      <c r="W122" s="31"/>
      <c r="X122" s="31"/>
      <c r="Y122" s="31"/>
      <c r="Z122" s="31"/>
      <c r="AA122" s="31"/>
      <c r="AB122" s="31"/>
      <c r="AC122" s="31"/>
    </row>
    <row r="123" spans="1:29">
      <c r="A123" s="30" t="s">
        <v>5953</v>
      </c>
      <c r="B123" s="30" t="s">
        <v>15</v>
      </c>
      <c r="C123" s="30" t="s">
        <v>199</v>
      </c>
      <c r="D123" s="31" t="s">
        <v>5653</v>
      </c>
      <c r="E123" s="31" t="s">
        <v>5385</v>
      </c>
      <c r="F123" s="31" t="s">
        <v>5954</v>
      </c>
      <c r="G123" s="31" t="s">
        <v>2028</v>
      </c>
      <c r="H123" s="31" t="s">
        <v>5951</v>
      </c>
      <c r="I123" s="31" t="s">
        <v>5955</v>
      </c>
      <c r="J123" s="31"/>
      <c r="K123" s="31" t="s">
        <v>5634</v>
      </c>
      <c r="L123" s="31" t="s">
        <v>496</v>
      </c>
      <c r="M123" s="31" t="s">
        <v>5391</v>
      </c>
      <c r="N123" s="31" t="s">
        <v>5364</v>
      </c>
      <c r="O123" s="31" t="s">
        <v>5365</v>
      </c>
      <c r="P123" s="31" t="s">
        <v>5366</v>
      </c>
      <c r="Q123" s="31" t="s">
        <v>5367</v>
      </c>
      <c r="R123" s="31" t="s">
        <v>5368</v>
      </c>
      <c r="S123" s="31" t="s">
        <v>5369</v>
      </c>
      <c r="T123" s="31" t="s">
        <v>5370</v>
      </c>
      <c r="U123" s="31" t="s">
        <v>2022</v>
      </c>
      <c r="V123" s="31"/>
      <c r="W123" s="31"/>
      <c r="X123" s="31"/>
      <c r="Y123" s="31"/>
      <c r="Z123" s="31"/>
      <c r="AA123" s="31"/>
      <c r="AB123" s="31"/>
      <c r="AC123" s="31"/>
    </row>
    <row r="124" spans="1:29" ht="30">
      <c r="A124" s="30" t="s">
        <v>5956</v>
      </c>
      <c r="B124" s="30" t="s">
        <v>15</v>
      </c>
      <c r="C124" s="30" t="s">
        <v>3094</v>
      </c>
      <c r="D124" s="31" t="s">
        <v>5957</v>
      </c>
      <c r="E124" s="31" t="s">
        <v>5385</v>
      </c>
      <c r="F124" s="31" t="s">
        <v>5958</v>
      </c>
      <c r="G124" s="31" t="s">
        <v>5959</v>
      </c>
      <c r="H124" s="31" t="s">
        <v>5960</v>
      </c>
      <c r="I124" s="31" t="s">
        <v>5961</v>
      </c>
      <c r="J124" s="31"/>
      <c r="K124" s="31" t="s">
        <v>5634</v>
      </c>
      <c r="L124" s="31" t="s">
        <v>438</v>
      </c>
      <c r="M124" s="31" t="s">
        <v>438</v>
      </c>
      <c r="N124" s="31" t="s">
        <v>5364</v>
      </c>
      <c r="O124" s="31" t="s">
        <v>5365</v>
      </c>
      <c r="P124" s="31" t="s">
        <v>5366</v>
      </c>
      <c r="Q124" s="31" t="s">
        <v>5367</v>
      </c>
      <c r="R124" s="31" t="s">
        <v>5368</v>
      </c>
      <c r="S124" s="31" t="s">
        <v>5369</v>
      </c>
      <c r="T124" s="31" t="s">
        <v>5370</v>
      </c>
      <c r="U124" s="31" t="s">
        <v>1937</v>
      </c>
      <c r="V124" s="31"/>
      <c r="W124" s="31"/>
      <c r="X124" s="31"/>
      <c r="Y124" s="31"/>
      <c r="Z124" s="31"/>
      <c r="AA124" s="31"/>
      <c r="AB124" s="31"/>
      <c r="AC124" s="31"/>
    </row>
    <row r="125" spans="1:29" ht="45">
      <c r="A125" s="30" t="s">
        <v>5962</v>
      </c>
      <c r="B125" s="30" t="s">
        <v>15</v>
      </c>
      <c r="C125" s="30" t="s">
        <v>3094</v>
      </c>
      <c r="D125" s="31" t="s">
        <v>5957</v>
      </c>
      <c r="E125" s="31" t="s">
        <v>5385</v>
      </c>
      <c r="F125" s="31" t="s">
        <v>5963</v>
      </c>
      <c r="G125" s="31" t="s">
        <v>5959</v>
      </c>
      <c r="H125" s="31" t="s">
        <v>5964</v>
      </c>
      <c r="I125" s="31" t="s">
        <v>5965</v>
      </c>
      <c r="J125" s="31"/>
      <c r="K125" s="31" t="s">
        <v>5634</v>
      </c>
      <c r="L125" s="31" t="s">
        <v>496</v>
      </c>
      <c r="M125" s="31" t="s">
        <v>5391</v>
      </c>
      <c r="N125" s="31" t="s">
        <v>5364</v>
      </c>
      <c r="O125" s="31" t="s">
        <v>5365</v>
      </c>
      <c r="P125" s="31" t="s">
        <v>5366</v>
      </c>
      <c r="Q125" s="31" t="s">
        <v>5367</v>
      </c>
      <c r="R125" s="31" t="s">
        <v>5368</v>
      </c>
      <c r="S125" s="31" t="s">
        <v>5369</v>
      </c>
      <c r="T125" s="31" t="s">
        <v>5370</v>
      </c>
      <c r="U125" s="31" t="s">
        <v>1937</v>
      </c>
      <c r="V125" s="31"/>
      <c r="W125" s="31"/>
      <c r="X125" s="31"/>
      <c r="Y125" s="31"/>
      <c r="Z125" s="31"/>
      <c r="AA125" s="31"/>
      <c r="AB125" s="31"/>
      <c r="AC125" s="31"/>
    </row>
    <row r="126" spans="1:29" ht="45">
      <c r="A126" s="30" t="s">
        <v>5966</v>
      </c>
      <c r="B126" s="30" t="s">
        <v>15</v>
      </c>
      <c r="C126" s="30" t="s">
        <v>3094</v>
      </c>
      <c r="D126" s="31" t="s">
        <v>5957</v>
      </c>
      <c r="E126" s="31" t="s">
        <v>5967</v>
      </c>
      <c r="F126" s="31" t="s">
        <v>5968</v>
      </c>
      <c r="G126" s="31" t="s">
        <v>5969</v>
      </c>
      <c r="H126" s="31" t="s">
        <v>5970</v>
      </c>
      <c r="I126" s="31" t="s">
        <v>5971</v>
      </c>
      <c r="J126" s="31"/>
      <c r="K126" s="31" t="s">
        <v>5634</v>
      </c>
      <c r="L126" s="31" t="s">
        <v>457</v>
      </c>
      <c r="M126" s="31" t="s">
        <v>5405</v>
      </c>
      <c r="N126" s="31" t="s">
        <v>5364</v>
      </c>
      <c r="O126" s="31" t="s">
        <v>5365</v>
      </c>
      <c r="P126" s="31" t="s">
        <v>5366</v>
      </c>
      <c r="Q126" s="31" t="s">
        <v>5367</v>
      </c>
      <c r="R126" s="31" t="s">
        <v>5368</v>
      </c>
      <c r="S126" s="31" t="s">
        <v>5369</v>
      </c>
      <c r="T126" s="31" t="s">
        <v>5370</v>
      </c>
      <c r="U126" s="31" t="s">
        <v>1950</v>
      </c>
      <c r="V126" s="31"/>
      <c r="W126" s="31"/>
      <c r="X126" s="31"/>
      <c r="Y126" s="31"/>
      <c r="Z126" s="31"/>
      <c r="AA126" s="31"/>
      <c r="AB126" s="31"/>
      <c r="AC126" s="31"/>
    </row>
    <row r="127" spans="1:29" ht="30">
      <c r="A127" s="30" t="s">
        <v>5972</v>
      </c>
      <c r="B127" s="30" t="s">
        <v>15</v>
      </c>
      <c r="C127" s="30" t="s">
        <v>3094</v>
      </c>
      <c r="D127" s="31" t="s">
        <v>5957</v>
      </c>
      <c r="E127" s="31" t="s">
        <v>5357</v>
      </c>
      <c r="F127" s="31" t="s">
        <v>5973</v>
      </c>
      <c r="G127" s="31" t="s">
        <v>5959</v>
      </c>
      <c r="H127" s="31" t="s">
        <v>5974</v>
      </c>
      <c r="I127" s="31" t="s">
        <v>5975</v>
      </c>
      <c r="J127" s="31"/>
      <c r="K127" s="31" t="s">
        <v>5634</v>
      </c>
      <c r="L127" s="31" t="s">
        <v>457</v>
      </c>
      <c r="M127" s="31" t="s">
        <v>5405</v>
      </c>
      <c r="N127" s="31" t="s">
        <v>5364</v>
      </c>
      <c r="O127" s="31" t="s">
        <v>5365</v>
      </c>
      <c r="P127" s="31" t="s">
        <v>5366</v>
      </c>
      <c r="Q127" s="31" t="s">
        <v>5367</v>
      </c>
      <c r="R127" s="31" t="s">
        <v>5368</v>
      </c>
      <c r="S127" s="31" t="s">
        <v>5369</v>
      </c>
      <c r="T127" s="31" t="s">
        <v>5370</v>
      </c>
      <c r="U127" s="31" t="s">
        <v>1937</v>
      </c>
      <c r="V127" s="31"/>
      <c r="W127" s="31"/>
      <c r="X127" s="31"/>
      <c r="Y127" s="31"/>
      <c r="Z127" s="31"/>
      <c r="AA127" s="31"/>
      <c r="AB127" s="31"/>
      <c r="AC127" s="31"/>
    </row>
    <row r="128" spans="1:29" ht="30">
      <c r="A128" s="30" t="s">
        <v>5976</v>
      </c>
      <c r="B128" s="30" t="s">
        <v>15</v>
      </c>
      <c r="C128" s="30" t="s">
        <v>3094</v>
      </c>
      <c r="D128" s="31" t="s">
        <v>3179</v>
      </c>
      <c r="E128" s="31" t="s">
        <v>5385</v>
      </c>
      <c r="F128" s="31" t="s">
        <v>5977</v>
      </c>
      <c r="G128" s="31" t="s">
        <v>5978</v>
      </c>
      <c r="H128" s="31" t="s">
        <v>5979</v>
      </c>
      <c r="I128" s="31" t="s">
        <v>5980</v>
      </c>
      <c r="J128" s="31"/>
      <c r="K128" s="31" t="s">
        <v>5634</v>
      </c>
      <c r="L128" s="31" t="s">
        <v>457</v>
      </c>
      <c r="M128" s="31" t="s">
        <v>5405</v>
      </c>
      <c r="N128" s="31" t="s">
        <v>5364</v>
      </c>
      <c r="O128" s="31" t="s">
        <v>5365</v>
      </c>
      <c r="P128" s="31" t="s">
        <v>5366</v>
      </c>
      <c r="Q128" s="31" t="s">
        <v>5367</v>
      </c>
      <c r="R128" s="31" t="s">
        <v>5368</v>
      </c>
      <c r="S128" s="31" t="s">
        <v>5369</v>
      </c>
      <c r="T128" s="31" t="s">
        <v>5370</v>
      </c>
      <c r="U128" s="31" t="s">
        <v>1979</v>
      </c>
      <c r="V128" s="31"/>
      <c r="W128" s="31"/>
      <c r="X128" s="31"/>
      <c r="Y128" s="31"/>
      <c r="Z128" s="31"/>
      <c r="AA128" s="31"/>
      <c r="AB128" s="31"/>
      <c r="AC128" s="31"/>
    </row>
    <row r="129" spans="1:29" ht="30">
      <c r="A129" s="30" t="s">
        <v>5981</v>
      </c>
      <c r="B129" s="30" t="s">
        <v>15</v>
      </c>
      <c r="C129" s="30" t="s">
        <v>3094</v>
      </c>
      <c r="D129" s="31" t="s">
        <v>3179</v>
      </c>
      <c r="E129" s="31" t="s">
        <v>5385</v>
      </c>
      <c r="F129" s="31" t="s">
        <v>5982</v>
      </c>
      <c r="G129" s="31" t="s">
        <v>5983</v>
      </c>
      <c r="H129" s="31" t="s">
        <v>5984</v>
      </c>
      <c r="I129" s="31" t="s">
        <v>5985</v>
      </c>
      <c r="J129" s="31"/>
      <c r="K129" s="31" t="s">
        <v>5634</v>
      </c>
      <c r="L129" s="31" t="s">
        <v>457</v>
      </c>
      <c r="M129" s="31" t="s">
        <v>5405</v>
      </c>
      <c r="N129" s="31" t="s">
        <v>5364</v>
      </c>
      <c r="O129" s="31" t="s">
        <v>5365</v>
      </c>
      <c r="P129" s="31" t="s">
        <v>5366</v>
      </c>
      <c r="Q129" s="31" t="s">
        <v>5367</v>
      </c>
      <c r="R129" s="31" t="s">
        <v>5368</v>
      </c>
      <c r="S129" s="31" t="s">
        <v>5369</v>
      </c>
      <c r="T129" s="31" t="s">
        <v>5370</v>
      </c>
      <c r="U129" s="31" t="s">
        <v>1979</v>
      </c>
      <c r="V129" s="31"/>
      <c r="W129" s="31"/>
      <c r="X129" s="31"/>
      <c r="Y129" s="31"/>
      <c r="Z129" s="31"/>
      <c r="AA129" s="31"/>
      <c r="AB129" s="31"/>
      <c r="AC129" s="31"/>
    </row>
    <row r="130" spans="1:29" ht="30">
      <c r="A130" s="30" t="s">
        <v>5986</v>
      </c>
      <c r="B130" s="30" t="s">
        <v>15</v>
      </c>
      <c r="C130" s="30" t="s">
        <v>3094</v>
      </c>
      <c r="D130" s="31" t="s">
        <v>3173</v>
      </c>
      <c r="E130" s="31" t="s">
        <v>5385</v>
      </c>
      <c r="F130" s="31" t="s">
        <v>5987</v>
      </c>
      <c r="G130" s="31" t="s">
        <v>1802</v>
      </c>
      <c r="H130" s="31" t="s">
        <v>5988</v>
      </c>
      <c r="I130" s="31" t="s">
        <v>5989</v>
      </c>
      <c r="J130" s="31"/>
      <c r="K130" s="31" t="s">
        <v>5634</v>
      </c>
      <c r="L130" s="31" t="s">
        <v>496</v>
      </c>
      <c r="M130" s="31" t="s">
        <v>5391</v>
      </c>
      <c r="N130" s="31" t="s">
        <v>5364</v>
      </c>
      <c r="O130" s="31" t="s">
        <v>5365</v>
      </c>
      <c r="P130" s="31" t="s">
        <v>5366</v>
      </c>
      <c r="Q130" s="31" t="s">
        <v>5367</v>
      </c>
      <c r="R130" s="31" t="s">
        <v>5368</v>
      </c>
      <c r="S130" s="31" t="s">
        <v>5369</v>
      </c>
      <c r="T130" s="31" t="s">
        <v>5370</v>
      </c>
      <c r="U130" s="31" t="s">
        <v>1988</v>
      </c>
      <c r="V130" s="31"/>
      <c r="W130" s="31"/>
      <c r="X130" s="31"/>
      <c r="Y130" s="31"/>
      <c r="Z130" s="31"/>
      <c r="AA130" s="31"/>
      <c r="AB130" s="31"/>
      <c r="AC130" s="31"/>
    </row>
    <row r="131" spans="1:29" ht="75">
      <c r="A131" s="30" t="s">
        <v>5990</v>
      </c>
      <c r="B131" s="30" t="s">
        <v>15</v>
      </c>
      <c r="C131" s="30" t="s">
        <v>3094</v>
      </c>
      <c r="D131" s="31" t="s">
        <v>5991</v>
      </c>
      <c r="E131" s="31" t="s">
        <v>5385</v>
      </c>
      <c r="F131" s="31" t="s">
        <v>5992</v>
      </c>
      <c r="G131" s="31" t="s">
        <v>5993</v>
      </c>
      <c r="H131" s="31" t="s">
        <v>5994</v>
      </c>
      <c r="I131" s="31" t="s">
        <v>5995</v>
      </c>
      <c r="J131" s="31"/>
      <c r="K131" s="31" t="s">
        <v>5634</v>
      </c>
      <c r="L131" s="31" t="s">
        <v>457</v>
      </c>
      <c r="M131" s="31" t="s">
        <v>5405</v>
      </c>
      <c r="N131" s="31" t="s">
        <v>5364</v>
      </c>
      <c r="O131" s="31" t="s">
        <v>5365</v>
      </c>
      <c r="P131" s="31" t="s">
        <v>5366</v>
      </c>
      <c r="Q131" s="31" t="s">
        <v>5367</v>
      </c>
      <c r="R131" s="31" t="s">
        <v>5368</v>
      </c>
      <c r="S131" s="31" t="s">
        <v>5369</v>
      </c>
      <c r="T131" s="31" t="s">
        <v>5370</v>
      </c>
      <c r="U131" s="31" t="s">
        <v>1994</v>
      </c>
      <c r="V131" s="31"/>
      <c r="W131" s="31"/>
      <c r="X131" s="31"/>
      <c r="Y131" s="31"/>
      <c r="Z131" s="31"/>
      <c r="AA131" s="31"/>
      <c r="AB131" s="31"/>
      <c r="AC131" s="31"/>
    </row>
    <row r="132" spans="1:29" ht="45">
      <c r="A132" s="30" t="s">
        <v>5996</v>
      </c>
      <c r="B132" s="30" t="s">
        <v>15</v>
      </c>
      <c r="C132" s="30" t="s">
        <v>3094</v>
      </c>
      <c r="D132" s="31" t="s">
        <v>2289</v>
      </c>
      <c r="E132" s="31" t="s">
        <v>5385</v>
      </c>
      <c r="F132" s="31" t="s">
        <v>5997</v>
      </c>
      <c r="G132" s="31" t="s">
        <v>5998</v>
      </c>
      <c r="H132" s="31" t="s">
        <v>5999</v>
      </c>
      <c r="I132" s="31" t="s">
        <v>6000</v>
      </c>
      <c r="J132" s="31"/>
      <c r="K132" s="31" t="s">
        <v>5634</v>
      </c>
      <c r="L132" s="31" t="s">
        <v>457</v>
      </c>
      <c r="M132" s="31" t="s">
        <v>5405</v>
      </c>
      <c r="N132" s="31" t="s">
        <v>5364</v>
      </c>
      <c r="O132" s="31" t="s">
        <v>5365</v>
      </c>
      <c r="P132" s="31" t="s">
        <v>5366</v>
      </c>
      <c r="Q132" s="31" t="s">
        <v>5367</v>
      </c>
      <c r="R132" s="31" t="s">
        <v>5368</v>
      </c>
      <c r="S132" s="31" t="s">
        <v>5369</v>
      </c>
      <c r="T132" s="31" t="s">
        <v>5370</v>
      </c>
      <c r="U132" s="31" t="s">
        <v>1968</v>
      </c>
      <c r="V132" s="31"/>
      <c r="W132" s="31"/>
      <c r="X132" s="31"/>
      <c r="Y132" s="31"/>
      <c r="Z132" s="31"/>
      <c r="AA132" s="31"/>
      <c r="AB132" s="31"/>
      <c r="AC132" s="31"/>
    </row>
    <row r="133" spans="1:29" ht="45">
      <c r="A133" s="30" t="s">
        <v>6001</v>
      </c>
      <c r="B133" s="30" t="s">
        <v>15</v>
      </c>
      <c r="C133" s="30" t="s">
        <v>3094</v>
      </c>
      <c r="D133" s="31" t="s">
        <v>6002</v>
      </c>
      <c r="E133" s="31" t="s">
        <v>5385</v>
      </c>
      <c r="F133" s="31" t="s">
        <v>6003</v>
      </c>
      <c r="G133" s="31" t="s">
        <v>6004</v>
      </c>
      <c r="H133" s="31" t="s">
        <v>6005</v>
      </c>
      <c r="I133" s="31" t="s">
        <v>6006</v>
      </c>
      <c r="J133" s="31"/>
      <c r="K133" s="31" t="s">
        <v>5634</v>
      </c>
      <c r="L133" s="31" t="s">
        <v>496</v>
      </c>
      <c r="M133" s="31" t="s">
        <v>5391</v>
      </c>
      <c r="N133" s="31" t="s">
        <v>5364</v>
      </c>
      <c r="O133" s="31" t="s">
        <v>5365</v>
      </c>
      <c r="P133" s="31" t="s">
        <v>5366</v>
      </c>
      <c r="Q133" s="31" t="s">
        <v>5367</v>
      </c>
      <c r="R133" s="31" t="s">
        <v>5368</v>
      </c>
      <c r="S133" s="31" t="s">
        <v>5369</v>
      </c>
      <c r="T133" s="31" t="s">
        <v>5370</v>
      </c>
      <c r="U133" s="31" t="s">
        <v>1968</v>
      </c>
      <c r="V133" s="31"/>
      <c r="W133" s="31"/>
      <c r="X133" s="31"/>
      <c r="Y133" s="31"/>
      <c r="Z133" s="31"/>
      <c r="AA133" s="31"/>
      <c r="AB133" s="31"/>
      <c r="AC133" s="31"/>
    </row>
    <row r="134" spans="1:29" ht="30">
      <c r="A134" s="30" t="s">
        <v>6007</v>
      </c>
      <c r="B134" s="30" t="s">
        <v>15</v>
      </c>
      <c r="C134" s="30" t="s">
        <v>1966</v>
      </c>
      <c r="D134" s="31" t="s">
        <v>6008</v>
      </c>
      <c r="E134" s="31" t="s">
        <v>5967</v>
      </c>
      <c r="F134" s="31" t="s">
        <v>6009</v>
      </c>
      <c r="G134" s="31" t="s">
        <v>6010</v>
      </c>
      <c r="H134" s="31" t="s">
        <v>6011</v>
      </c>
      <c r="I134" s="31" t="s">
        <v>6012</v>
      </c>
      <c r="J134" s="31"/>
      <c r="K134" s="31" t="s">
        <v>5634</v>
      </c>
      <c r="L134" s="31" t="s">
        <v>457</v>
      </c>
      <c r="M134" s="31" t="s">
        <v>5405</v>
      </c>
      <c r="N134" s="31" t="s">
        <v>5364</v>
      </c>
      <c r="O134" s="31" t="s">
        <v>5365</v>
      </c>
      <c r="P134" s="31" t="s">
        <v>5366</v>
      </c>
      <c r="Q134" s="31" t="s">
        <v>5367</v>
      </c>
      <c r="R134" s="31" t="s">
        <v>5368</v>
      </c>
      <c r="S134" s="31" t="s">
        <v>5369</v>
      </c>
      <c r="T134" s="31" t="s">
        <v>5370</v>
      </c>
      <c r="U134" s="31" t="s">
        <v>24</v>
      </c>
      <c r="V134" s="31"/>
      <c r="W134" s="31"/>
      <c r="X134" s="31"/>
      <c r="Y134" s="31"/>
      <c r="Z134" s="31" t="s">
        <v>22</v>
      </c>
      <c r="AA134" s="31"/>
      <c r="AB134" s="31"/>
      <c r="AC134" s="31"/>
    </row>
    <row r="135" spans="1:29" ht="30">
      <c r="A135" s="30" t="s">
        <v>6013</v>
      </c>
      <c r="B135" s="30" t="s">
        <v>15</v>
      </c>
      <c r="C135" s="30" t="s">
        <v>1966</v>
      </c>
      <c r="D135" s="31" t="s">
        <v>6008</v>
      </c>
      <c r="E135" s="31" t="s">
        <v>5967</v>
      </c>
      <c r="F135" s="31" t="s">
        <v>6014</v>
      </c>
      <c r="G135" s="31" t="s">
        <v>6015</v>
      </c>
      <c r="H135" s="31" t="s">
        <v>6016</v>
      </c>
      <c r="I135" s="31" t="s">
        <v>6017</v>
      </c>
      <c r="J135" s="31"/>
      <c r="K135" s="31" t="s">
        <v>5634</v>
      </c>
      <c r="L135" s="31" t="s">
        <v>457</v>
      </c>
      <c r="M135" s="31" t="s">
        <v>5405</v>
      </c>
      <c r="N135" s="31" t="s">
        <v>5364</v>
      </c>
      <c r="O135" s="31" t="s">
        <v>5365</v>
      </c>
      <c r="P135" s="31" t="s">
        <v>5366</v>
      </c>
      <c r="Q135" s="31" t="s">
        <v>5367</v>
      </c>
      <c r="R135" s="31" t="s">
        <v>5368</v>
      </c>
      <c r="S135" s="31" t="s">
        <v>5369</v>
      </c>
      <c r="T135" s="31" t="s">
        <v>5370</v>
      </c>
      <c r="U135" s="31" t="s">
        <v>24</v>
      </c>
      <c r="V135" s="31"/>
      <c r="W135" s="31"/>
      <c r="X135" s="31"/>
      <c r="Y135" s="31"/>
      <c r="Z135" s="31" t="s">
        <v>22</v>
      </c>
      <c r="AA135" s="31"/>
      <c r="AB135" s="31"/>
      <c r="AC135" s="31"/>
    </row>
    <row r="136" spans="1:29" ht="30">
      <c r="A136" s="30" t="s">
        <v>6018</v>
      </c>
      <c r="B136" s="30" t="s">
        <v>15</v>
      </c>
      <c r="C136" s="30" t="s">
        <v>1966</v>
      </c>
      <c r="D136" s="31" t="s">
        <v>6008</v>
      </c>
      <c r="E136" s="31" t="s">
        <v>5967</v>
      </c>
      <c r="F136" s="31" t="s">
        <v>6019</v>
      </c>
      <c r="G136" s="31" t="s">
        <v>5969</v>
      </c>
      <c r="H136" s="31" t="s">
        <v>6020</v>
      </c>
      <c r="I136" s="31" t="s">
        <v>6021</v>
      </c>
      <c r="J136" s="31"/>
      <c r="K136" s="31" t="s">
        <v>5634</v>
      </c>
      <c r="L136" s="31" t="s">
        <v>457</v>
      </c>
      <c r="M136" s="31" t="s">
        <v>5405</v>
      </c>
      <c r="N136" s="31" t="s">
        <v>5364</v>
      </c>
      <c r="O136" s="31" t="s">
        <v>5365</v>
      </c>
      <c r="P136" s="31" t="s">
        <v>5366</v>
      </c>
      <c r="Q136" s="31" t="s">
        <v>5367</v>
      </c>
      <c r="R136" s="31" t="s">
        <v>5368</v>
      </c>
      <c r="S136" s="31" t="s">
        <v>5369</v>
      </c>
      <c r="T136" s="31" t="s">
        <v>5370</v>
      </c>
      <c r="U136" s="31" t="s">
        <v>1205</v>
      </c>
      <c r="V136" s="31"/>
      <c r="W136" s="31"/>
      <c r="X136" s="31"/>
      <c r="Y136" s="31"/>
      <c r="Z136" s="31"/>
      <c r="AA136" s="31"/>
      <c r="AB136" s="31"/>
      <c r="AC136" s="31"/>
    </row>
    <row r="137" spans="1:29" ht="30">
      <c r="A137" s="30" t="s">
        <v>6022</v>
      </c>
      <c r="B137" s="30" t="s">
        <v>15</v>
      </c>
      <c r="C137" s="30" t="s">
        <v>2059</v>
      </c>
      <c r="D137" s="31" t="s">
        <v>5569</v>
      </c>
      <c r="E137" s="31" t="s">
        <v>6023</v>
      </c>
      <c r="F137" s="31" t="s">
        <v>6024</v>
      </c>
      <c r="G137" s="31" t="s">
        <v>6025</v>
      </c>
      <c r="H137" s="31" t="s">
        <v>6026</v>
      </c>
      <c r="I137" s="31" t="s">
        <v>6027</v>
      </c>
      <c r="J137" s="31"/>
      <c r="K137" s="31" t="s">
        <v>5634</v>
      </c>
      <c r="L137" s="31" t="s">
        <v>496</v>
      </c>
      <c r="M137" s="31" t="s">
        <v>5391</v>
      </c>
      <c r="N137" s="31" t="s">
        <v>5364</v>
      </c>
      <c r="O137" s="31" t="s">
        <v>5365</v>
      </c>
      <c r="P137" s="31" t="s">
        <v>5366</v>
      </c>
      <c r="Q137" s="31" t="s">
        <v>5367</v>
      </c>
      <c r="R137" s="31" t="s">
        <v>5368</v>
      </c>
      <c r="S137" s="31" t="s">
        <v>5369</v>
      </c>
      <c r="T137" s="31" t="s">
        <v>5370</v>
      </c>
      <c r="U137" s="31" t="s">
        <v>14</v>
      </c>
      <c r="V137" s="31"/>
      <c r="W137" s="31"/>
      <c r="X137" s="31"/>
      <c r="Y137" s="31"/>
      <c r="Z137" s="31" t="s">
        <v>13</v>
      </c>
      <c r="AA137" s="31"/>
      <c r="AB137" s="31"/>
      <c r="AC137" s="31"/>
    </row>
    <row r="138" spans="1:29">
      <c r="A138" s="30" t="s">
        <v>6028</v>
      </c>
      <c r="B138" s="30" t="s">
        <v>15</v>
      </c>
      <c r="C138" s="30" t="s">
        <v>2059</v>
      </c>
      <c r="D138" s="31" t="s">
        <v>6029</v>
      </c>
      <c r="E138" s="31" t="s">
        <v>6023</v>
      </c>
      <c r="F138" s="31" t="s">
        <v>6030</v>
      </c>
      <c r="G138" s="31" t="s">
        <v>6031</v>
      </c>
      <c r="H138" s="31" t="s">
        <v>6032</v>
      </c>
      <c r="I138" s="31" t="s">
        <v>6033</v>
      </c>
      <c r="J138" s="31"/>
      <c r="K138" s="31" t="s">
        <v>5634</v>
      </c>
      <c r="L138" s="31" t="s">
        <v>496</v>
      </c>
      <c r="M138" s="31" t="s">
        <v>5391</v>
      </c>
      <c r="N138" s="31" t="s">
        <v>5364</v>
      </c>
      <c r="O138" s="31" t="s">
        <v>5365</v>
      </c>
      <c r="P138" s="31" t="s">
        <v>5366</v>
      </c>
      <c r="Q138" s="31" t="s">
        <v>5367</v>
      </c>
      <c r="R138" s="31" t="s">
        <v>5368</v>
      </c>
      <c r="S138" s="31" t="s">
        <v>5369</v>
      </c>
      <c r="T138" s="31" t="s">
        <v>5370</v>
      </c>
      <c r="U138" s="31" t="s">
        <v>14</v>
      </c>
      <c r="V138" s="31"/>
      <c r="W138" s="31"/>
      <c r="X138" s="31"/>
      <c r="Y138" s="31"/>
      <c r="Z138" s="31" t="s">
        <v>13</v>
      </c>
      <c r="AA138" s="31"/>
      <c r="AB138" s="31"/>
      <c r="AC138" s="31"/>
    </row>
    <row r="139" spans="1:29" ht="45">
      <c r="A139" s="30" t="s">
        <v>6034</v>
      </c>
      <c r="B139" s="30" t="s">
        <v>15</v>
      </c>
      <c r="C139" s="30" t="s">
        <v>407</v>
      </c>
      <c r="D139" s="31" t="s">
        <v>79</v>
      </c>
      <c r="E139" s="31" t="s">
        <v>5357</v>
      </c>
      <c r="F139" s="31" t="s">
        <v>6035</v>
      </c>
      <c r="G139" s="31" t="s">
        <v>6036</v>
      </c>
      <c r="H139" s="31" t="s">
        <v>6037</v>
      </c>
      <c r="I139" s="31" t="s">
        <v>6038</v>
      </c>
      <c r="J139" s="31"/>
      <c r="K139" s="31" t="s">
        <v>5634</v>
      </c>
      <c r="L139" s="31" t="s">
        <v>457</v>
      </c>
      <c r="M139" s="31" t="s">
        <v>5405</v>
      </c>
      <c r="N139" s="31" t="s">
        <v>5364</v>
      </c>
      <c r="O139" s="31" t="s">
        <v>5365</v>
      </c>
      <c r="P139" s="31" t="s">
        <v>5366</v>
      </c>
      <c r="Q139" s="31" t="s">
        <v>5367</v>
      </c>
      <c r="R139" s="31" t="s">
        <v>5368</v>
      </c>
      <c r="S139" s="31" t="s">
        <v>5369</v>
      </c>
      <c r="T139" s="31" t="s">
        <v>5370</v>
      </c>
      <c r="U139" s="31" t="s">
        <v>1580</v>
      </c>
      <c r="V139" s="31" t="s">
        <v>2520</v>
      </c>
      <c r="W139" s="31"/>
      <c r="X139" s="31"/>
      <c r="Y139" s="31"/>
      <c r="Z139" s="31"/>
      <c r="AA139" s="31" t="s">
        <v>2524</v>
      </c>
      <c r="AB139" s="31" t="s">
        <v>2343</v>
      </c>
      <c r="AC139" s="31"/>
    </row>
    <row r="140" spans="1:29" ht="30">
      <c r="A140" s="30" t="s">
        <v>6039</v>
      </c>
      <c r="B140" s="30" t="s">
        <v>15</v>
      </c>
      <c r="C140" s="30" t="s">
        <v>407</v>
      </c>
      <c r="D140" s="31" t="s">
        <v>79</v>
      </c>
      <c r="E140" s="31" t="s">
        <v>5357</v>
      </c>
      <c r="F140" s="31" t="s">
        <v>6040</v>
      </c>
      <c r="G140" s="31" t="s">
        <v>6036</v>
      </c>
      <c r="H140" s="31" t="s">
        <v>6041</v>
      </c>
      <c r="I140" s="31" t="s">
        <v>6042</v>
      </c>
      <c r="J140" s="31"/>
      <c r="K140" s="31" t="s">
        <v>5634</v>
      </c>
      <c r="L140" s="31" t="s">
        <v>457</v>
      </c>
      <c r="M140" s="31" t="s">
        <v>5405</v>
      </c>
      <c r="N140" s="31" t="s">
        <v>5364</v>
      </c>
      <c r="O140" s="31" t="s">
        <v>5365</v>
      </c>
      <c r="P140" s="31" t="s">
        <v>5366</v>
      </c>
      <c r="Q140" s="31" t="s">
        <v>5367</v>
      </c>
      <c r="R140" s="31" t="s">
        <v>5368</v>
      </c>
      <c r="S140" s="31" t="s">
        <v>5369</v>
      </c>
      <c r="T140" s="31" t="s">
        <v>5370</v>
      </c>
      <c r="U140" s="31" t="s">
        <v>1580</v>
      </c>
      <c r="V140" s="31" t="s">
        <v>2520</v>
      </c>
      <c r="W140" s="31"/>
      <c r="X140" s="31"/>
      <c r="Y140" s="31"/>
      <c r="Z140" s="31"/>
      <c r="AA140" s="31" t="s">
        <v>2524</v>
      </c>
      <c r="AB140" s="31" t="s">
        <v>2343</v>
      </c>
      <c r="AC140" s="31"/>
    </row>
    <row r="141" spans="1:29" ht="45">
      <c r="A141" s="30" t="s">
        <v>6043</v>
      </c>
      <c r="B141" s="30" t="s">
        <v>15</v>
      </c>
      <c r="C141" s="30" t="s">
        <v>407</v>
      </c>
      <c r="D141" s="31" t="s">
        <v>79</v>
      </c>
      <c r="E141" s="31" t="s">
        <v>5357</v>
      </c>
      <c r="F141" s="31" t="s">
        <v>6044</v>
      </c>
      <c r="G141" s="31" t="s">
        <v>6036</v>
      </c>
      <c r="H141" s="31" t="s">
        <v>6045</v>
      </c>
      <c r="I141" s="31" t="s">
        <v>6046</v>
      </c>
      <c r="J141" s="31"/>
      <c r="K141" s="31" t="s">
        <v>5634</v>
      </c>
      <c r="L141" s="31" t="s">
        <v>457</v>
      </c>
      <c r="M141" s="31" t="s">
        <v>5405</v>
      </c>
      <c r="N141" s="31" t="s">
        <v>5364</v>
      </c>
      <c r="O141" s="31" t="s">
        <v>5365</v>
      </c>
      <c r="P141" s="31" t="s">
        <v>5366</v>
      </c>
      <c r="Q141" s="31" t="s">
        <v>5367</v>
      </c>
      <c r="R141" s="31" t="s">
        <v>5368</v>
      </c>
      <c r="S141" s="31" t="s">
        <v>5369</v>
      </c>
      <c r="T141" s="31" t="s">
        <v>5370</v>
      </c>
      <c r="U141" s="31" t="s">
        <v>80</v>
      </c>
      <c r="V141" s="31" t="s">
        <v>2520</v>
      </c>
      <c r="W141" s="31" t="s">
        <v>4296</v>
      </c>
      <c r="X141" s="31"/>
      <c r="Y141" s="31"/>
      <c r="Z141" s="31" t="s">
        <v>79</v>
      </c>
      <c r="AA141" s="31" t="s">
        <v>2524</v>
      </c>
      <c r="AB141" s="31" t="s">
        <v>2343</v>
      </c>
      <c r="AC141" s="31"/>
    </row>
    <row r="142" spans="1:29" ht="45">
      <c r="A142" s="30" t="s">
        <v>6047</v>
      </c>
      <c r="B142" s="30" t="s">
        <v>15</v>
      </c>
      <c r="C142" s="30" t="s">
        <v>467</v>
      </c>
      <c r="D142" s="31" t="s">
        <v>5636</v>
      </c>
      <c r="E142" s="31" t="s">
        <v>5357</v>
      </c>
      <c r="F142" s="31" t="s">
        <v>6048</v>
      </c>
      <c r="G142" s="31" t="s">
        <v>6049</v>
      </c>
      <c r="H142" s="31" t="s">
        <v>6050</v>
      </c>
      <c r="I142" s="31" t="s">
        <v>6051</v>
      </c>
      <c r="J142" s="31"/>
      <c r="K142" s="31" t="s">
        <v>5634</v>
      </c>
      <c r="L142" s="31" t="s">
        <v>457</v>
      </c>
      <c r="M142" s="31" t="s">
        <v>5405</v>
      </c>
      <c r="N142" s="31" t="s">
        <v>5364</v>
      </c>
      <c r="O142" s="31" t="s">
        <v>5365</v>
      </c>
      <c r="P142" s="31" t="s">
        <v>5366</v>
      </c>
      <c r="Q142" s="31" t="s">
        <v>5367</v>
      </c>
      <c r="R142" s="31" t="s">
        <v>5368</v>
      </c>
      <c r="S142" s="31" t="s">
        <v>5369</v>
      </c>
      <c r="T142" s="31" t="s">
        <v>5370</v>
      </c>
      <c r="U142" s="31" t="s">
        <v>1466</v>
      </c>
      <c r="V142" s="31" t="s">
        <v>3060</v>
      </c>
      <c r="W142" s="31" t="s">
        <v>2823</v>
      </c>
      <c r="X142" s="31"/>
      <c r="Y142" s="31"/>
      <c r="Z142" s="31"/>
      <c r="AA142" s="31" t="s">
        <v>68</v>
      </c>
      <c r="AB142" s="31" t="s">
        <v>2827</v>
      </c>
      <c r="AC142" s="31"/>
    </row>
    <row r="143" spans="1:29" ht="30">
      <c r="A143" s="30" t="s">
        <v>6052</v>
      </c>
      <c r="B143" s="30" t="s">
        <v>15</v>
      </c>
      <c r="C143" s="30" t="s">
        <v>467</v>
      </c>
      <c r="D143" s="31" t="s">
        <v>5636</v>
      </c>
      <c r="E143" s="31" t="s">
        <v>5357</v>
      </c>
      <c r="F143" s="31" t="s">
        <v>6053</v>
      </c>
      <c r="G143" s="31" t="s">
        <v>5638</v>
      </c>
      <c r="H143" s="31" t="s">
        <v>6054</v>
      </c>
      <c r="I143" s="31" t="s">
        <v>6055</v>
      </c>
      <c r="J143" s="31"/>
      <c r="K143" s="31" t="s">
        <v>5634</v>
      </c>
      <c r="L143" s="31" t="s">
        <v>496</v>
      </c>
      <c r="M143" s="31" t="s">
        <v>5391</v>
      </c>
      <c r="N143" s="31" t="s">
        <v>5364</v>
      </c>
      <c r="O143" s="31" t="s">
        <v>5365</v>
      </c>
      <c r="P143" s="31" t="s">
        <v>5366</v>
      </c>
      <c r="Q143" s="31" t="s">
        <v>5367</v>
      </c>
      <c r="R143" s="31" t="s">
        <v>5368</v>
      </c>
      <c r="S143" s="31" t="s">
        <v>5369</v>
      </c>
      <c r="T143" s="31" t="s">
        <v>5370</v>
      </c>
      <c r="U143" s="31" t="s">
        <v>1466</v>
      </c>
      <c r="V143" s="31" t="s">
        <v>3060</v>
      </c>
      <c r="W143" s="31" t="s">
        <v>2823</v>
      </c>
      <c r="X143" s="31"/>
      <c r="Y143" s="31"/>
      <c r="Z143" s="31"/>
      <c r="AA143" s="31" t="s">
        <v>68</v>
      </c>
      <c r="AB143" s="31" t="s">
        <v>2827</v>
      </c>
      <c r="AC143" s="31"/>
    </row>
    <row r="144" spans="1:29" ht="30">
      <c r="A144" s="30" t="s">
        <v>6056</v>
      </c>
      <c r="B144" s="30" t="s">
        <v>15</v>
      </c>
      <c r="C144" s="30" t="s">
        <v>5788</v>
      </c>
      <c r="D144" s="31" t="s">
        <v>5793</v>
      </c>
      <c r="E144" s="31" t="s">
        <v>5357</v>
      </c>
      <c r="F144" s="31" t="s">
        <v>6057</v>
      </c>
      <c r="G144" s="31" t="s">
        <v>6058</v>
      </c>
      <c r="H144" s="31" t="s">
        <v>6059</v>
      </c>
      <c r="I144" s="31" t="s">
        <v>6060</v>
      </c>
      <c r="J144" s="31"/>
      <c r="K144" s="31" t="s">
        <v>5634</v>
      </c>
      <c r="L144" s="31" t="s">
        <v>457</v>
      </c>
      <c r="M144" s="31" t="s">
        <v>5405</v>
      </c>
      <c r="N144" s="31" t="s">
        <v>5364</v>
      </c>
      <c r="O144" s="31" t="s">
        <v>5365</v>
      </c>
      <c r="P144" s="31" t="s">
        <v>5366</v>
      </c>
      <c r="Q144" s="31" t="s">
        <v>5367</v>
      </c>
      <c r="R144" s="31" t="s">
        <v>5368</v>
      </c>
      <c r="S144" s="31" t="s">
        <v>5369</v>
      </c>
      <c r="T144" s="31" t="s">
        <v>5370</v>
      </c>
      <c r="U144" s="31" t="s">
        <v>125</v>
      </c>
      <c r="V144" s="31" t="s">
        <v>2603</v>
      </c>
      <c r="W144" s="31"/>
      <c r="X144" s="31"/>
      <c r="Y144" s="31"/>
      <c r="Z144" s="31" t="s">
        <v>126</v>
      </c>
      <c r="AA144" s="31" t="s">
        <v>2605</v>
      </c>
      <c r="AB144" s="31" t="s">
        <v>2584</v>
      </c>
      <c r="AC144" s="31"/>
    </row>
    <row r="145" spans="1:29">
      <c r="A145" s="30" t="s">
        <v>6061</v>
      </c>
      <c r="B145" s="30" t="s">
        <v>15</v>
      </c>
      <c r="C145" s="30" t="s">
        <v>5788</v>
      </c>
      <c r="D145" s="31" t="s">
        <v>6062</v>
      </c>
      <c r="E145" s="31" t="s">
        <v>5357</v>
      </c>
      <c r="F145" s="31" t="s">
        <v>6063</v>
      </c>
      <c r="G145" s="31" t="s">
        <v>6064</v>
      </c>
      <c r="H145" s="31" t="s">
        <v>6065</v>
      </c>
      <c r="I145" s="31" t="s">
        <v>6066</v>
      </c>
      <c r="J145" s="31"/>
      <c r="K145" s="31" t="s">
        <v>5634</v>
      </c>
      <c r="L145" s="31" t="s">
        <v>457</v>
      </c>
      <c r="M145" s="31" t="s">
        <v>5405</v>
      </c>
      <c r="N145" s="31" t="s">
        <v>5364</v>
      </c>
      <c r="O145" s="31" t="s">
        <v>5365</v>
      </c>
      <c r="P145" s="31" t="s">
        <v>5366</v>
      </c>
      <c r="Q145" s="31" t="s">
        <v>5367</v>
      </c>
      <c r="R145" s="31" t="s">
        <v>5368</v>
      </c>
      <c r="S145" s="31" t="s">
        <v>5369</v>
      </c>
      <c r="T145" s="31" t="s">
        <v>5370</v>
      </c>
      <c r="U145" s="31" t="s">
        <v>125</v>
      </c>
      <c r="V145" s="31" t="s">
        <v>2580</v>
      </c>
      <c r="W145" s="31"/>
      <c r="X145" s="31"/>
      <c r="Y145" s="31"/>
      <c r="Z145" s="31" t="s">
        <v>126</v>
      </c>
      <c r="AA145" s="31" t="s">
        <v>2583</v>
      </c>
      <c r="AB145" s="31" t="s">
        <v>2584</v>
      </c>
      <c r="AC145" s="31"/>
    </row>
    <row r="146" spans="1:29" ht="30">
      <c r="A146" s="30" t="s">
        <v>6067</v>
      </c>
      <c r="B146" s="30" t="s">
        <v>15</v>
      </c>
      <c r="C146" s="30" t="s">
        <v>3901</v>
      </c>
      <c r="D146" s="31" t="s">
        <v>5780</v>
      </c>
      <c r="E146" s="31" t="s">
        <v>5385</v>
      </c>
      <c r="F146" s="31" t="s">
        <v>6068</v>
      </c>
      <c r="G146" s="31" t="s">
        <v>6069</v>
      </c>
      <c r="H146" s="31" t="s">
        <v>6070</v>
      </c>
      <c r="I146" s="31" t="s">
        <v>6071</v>
      </c>
      <c r="J146" s="31"/>
      <c r="K146" s="31" t="s">
        <v>5634</v>
      </c>
      <c r="L146" s="31" t="s">
        <v>496</v>
      </c>
      <c r="M146" s="31" t="s">
        <v>5391</v>
      </c>
      <c r="N146" s="31" t="s">
        <v>5364</v>
      </c>
      <c r="O146" s="31" t="s">
        <v>5365</v>
      </c>
      <c r="P146" s="31" t="s">
        <v>5366</v>
      </c>
      <c r="Q146" s="31" t="s">
        <v>5367</v>
      </c>
      <c r="R146" s="31" t="s">
        <v>5368</v>
      </c>
      <c r="S146" s="31" t="s">
        <v>5369</v>
      </c>
      <c r="T146" s="31" t="s">
        <v>5370</v>
      </c>
      <c r="U146" s="31" t="s">
        <v>1701</v>
      </c>
      <c r="V146" s="31" t="s">
        <v>2972</v>
      </c>
      <c r="W146" s="31"/>
      <c r="X146" s="31"/>
      <c r="Y146" s="31"/>
      <c r="Z146" s="31"/>
      <c r="AA146" s="31" t="s">
        <v>178</v>
      </c>
      <c r="AB146" s="31"/>
      <c r="AC146" s="31"/>
    </row>
    <row r="147" spans="1:29" ht="60">
      <c r="A147" s="30" t="s">
        <v>6072</v>
      </c>
      <c r="B147" s="30" t="s">
        <v>15</v>
      </c>
      <c r="C147" s="30" t="s">
        <v>3901</v>
      </c>
      <c r="D147" s="31" t="s">
        <v>5419</v>
      </c>
      <c r="E147" s="31" t="s">
        <v>5357</v>
      </c>
      <c r="F147" s="31" t="s">
        <v>6073</v>
      </c>
      <c r="G147" s="31" t="s">
        <v>6074</v>
      </c>
      <c r="H147" s="31" t="s">
        <v>6075</v>
      </c>
      <c r="I147" s="31" t="s">
        <v>6076</v>
      </c>
      <c r="J147" s="31"/>
      <c r="K147" s="31" t="s">
        <v>5634</v>
      </c>
      <c r="L147" s="31" t="s">
        <v>457</v>
      </c>
      <c r="M147" s="31" t="s">
        <v>5405</v>
      </c>
      <c r="N147" s="31" t="s">
        <v>5364</v>
      </c>
      <c r="O147" s="31" t="s">
        <v>5365</v>
      </c>
      <c r="P147" s="31" t="s">
        <v>5366</v>
      </c>
      <c r="Q147" s="31" t="s">
        <v>5367</v>
      </c>
      <c r="R147" s="31" t="s">
        <v>5368</v>
      </c>
      <c r="S147" s="31" t="s">
        <v>5369</v>
      </c>
      <c r="T147" s="31" t="s">
        <v>5370</v>
      </c>
      <c r="U147" s="31" t="s">
        <v>113</v>
      </c>
      <c r="V147" s="31" t="s">
        <v>2696</v>
      </c>
      <c r="W147" s="31"/>
      <c r="X147" s="31"/>
      <c r="Y147" s="31"/>
      <c r="Z147" s="31" t="s">
        <v>114</v>
      </c>
      <c r="AA147" s="31" t="s">
        <v>2699</v>
      </c>
      <c r="AB147" s="31"/>
      <c r="AC147" s="31"/>
    </row>
    <row r="148" spans="1:29" ht="45">
      <c r="A148" s="30" t="s">
        <v>6077</v>
      </c>
      <c r="B148" s="30" t="s">
        <v>15</v>
      </c>
      <c r="C148" s="30" t="s">
        <v>145</v>
      </c>
      <c r="D148" s="31" t="s">
        <v>5489</v>
      </c>
      <c r="E148" s="31" t="s">
        <v>5357</v>
      </c>
      <c r="F148" s="31" t="s">
        <v>6078</v>
      </c>
      <c r="G148" s="31" t="s">
        <v>5827</v>
      </c>
      <c r="H148" s="31" t="s">
        <v>6079</v>
      </c>
      <c r="I148" s="31" t="s">
        <v>6080</v>
      </c>
      <c r="J148" s="31"/>
      <c r="K148" s="31" t="s">
        <v>5634</v>
      </c>
      <c r="L148" s="31" t="s">
        <v>457</v>
      </c>
      <c r="M148" s="31" t="s">
        <v>5405</v>
      </c>
      <c r="N148" s="31" t="s">
        <v>5364</v>
      </c>
      <c r="O148" s="31" t="s">
        <v>5365</v>
      </c>
      <c r="P148" s="31" t="s">
        <v>5366</v>
      </c>
      <c r="Q148" s="31" t="s">
        <v>5367</v>
      </c>
      <c r="R148" s="31" t="s">
        <v>5368</v>
      </c>
      <c r="S148" s="31" t="s">
        <v>5369</v>
      </c>
      <c r="T148" s="31" t="s">
        <v>5370</v>
      </c>
      <c r="U148" s="31" t="s">
        <v>1766</v>
      </c>
      <c r="V148" s="31" t="s">
        <v>2983</v>
      </c>
      <c r="W148" s="31"/>
      <c r="X148" s="31"/>
      <c r="Y148" s="31"/>
      <c r="Z148" s="31"/>
      <c r="AA148" s="31" t="s">
        <v>195</v>
      </c>
      <c r="AB148" s="31"/>
      <c r="AC148" s="31"/>
    </row>
    <row r="149" spans="1:29" ht="30">
      <c r="A149" s="30" t="s">
        <v>6081</v>
      </c>
      <c r="B149" s="30" t="s">
        <v>15</v>
      </c>
      <c r="C149" s="30" t="s">
        <v>145</v>
      </c>
      <c r="D149" s="31" t="s">
        <v>5831</v>
      </c>
      <c r="E149" s="31" t="s">
        <v>5357</v>
      </c>
      <c r="F149" s="31" t="s">
        <v>6082</v>
      </c>
      <c r="G149" s="31" t="s">
        <v>6083</v>
      </c>
      <c r="H149" s="31" t="s">
        <v>6084</v>
      </c>
      <c r="I149" s="31" t="s">
        <v>6085</v>
      </c>
      <c r="J149" s="31"/>
      <c r="K149" s="31" t="s">
        <v>5634</v>
      </c>
      <c r="L149" s="31" t="s">
        <v>496</v>
      </c>
      <c r="M149" s="31" t="s">
        <v>5391</v>
      </c>
      <c r="N149" s="31" t="s">
        <v>5364</v>
      </c>
      <c r="O149" s="31" t="s">
        <v>5365</v>
      </c>
      <c r="P149" s="31" t="s">
        <v>5366</v>
      </c>
      <c r="Q149" s="31" t="s">
        <v>5367</v>
      </c>
      <c r="R149" s="31" t="s">
        <v>5368</v>
      </c>
      <c r="S149" s="31" t="s">
        <v>5369</v>
      </c>
      <c r="T149" s="31" t="s">
        <v>5370</v>
      </c>
      <c r="U149" s="31" t="s">
        <v>140</v>
      </c>
      <c r="V149" s="31" t="s">
        <v>3000</v>
      </c>
      <c r="W149" s="31" t="s">
        <v>4440</v>
      </c>
      <c r="X149" s="31"/>
      <c r="Y149" s="31"/>
      <c r="Z149" s="31" t="s">
        <v>141</v>
      </c>
      <c r="AA149" s="31" t="s">
        <v>201</v>
      </c>
      <c r="AB149" s="31" t="s">
        <v>4442</v>
      </c>
      <c r="AC149" s="31"/>
    </row>
    <row r="150" spans="1:29" ht="45">
      <c r="A150" s="30" t="s">
        <v>6086</v>
      </c>
      <c r="B150" s="30" t="s">
        <v>15</v>
      </c>
      <c r="C150" s="30" t="s">
        <v>182</v>
      </c>
      <c r="D150" s="31" t="s">
        <v>5440</v>
      </c>
      <c r="E150" s="31" t="s">
        <v>5357</v>
      </c>
      <c r="F150" s="31" t="s">
        <v>6087</v>
      </c>
      <c r="G150" s="31" t="s">
        <v>5851</v>
      </c>
      <c r="H150" s="31" t="s">
        <v>6088</v>
      </c>
      <c r="I150" s="31" t="s">
        <v>6089</v>
      </c>
      <c r="J150" s="31"/>
      <c r="K150" s="31" t="s">
        <v>5634</v>
      </c>
      <c r="L150" s="31" t="s">
        <v>457</v>
      </c>
      <c r="M150" s="31" t="s">
        <v>5405</v>
      </c>
      <c r="N150" s="31" t="s">
        <v>5364</v>
      </c>
      <c r="O150" s="31" t="s">
        <v>5365</v>
      </c>
      <c r="P150" s="31" t="s">
        <v>5366</v>
      </c>
      <c r="Q150" s="31" t="s">
        <v>5367</v>
      </c>
      <c r="R150" s="31" t="s">
        <v>5368</v>
      </c>
      <c r="S150" s="31" t="s">
        <v>5369</v>
      </c>
      <c r="T150" s="31" t="s">
        <v>5370</v>
      </c>
      <c r="U150" s="31" t="s">
        <v>171</v>
      </c>
      <c r="V150" s="31" t="s">
        <v>3497</v>
      </c>
      <c r="W150" s="31" t="s">
        <v>4457</v>
      </c>
      <c r="X150" s="31"/>
      <c r="Y150" s="31"/>
      <c r="Z150" s="31" t="s">
        <v>172</v>
      </c>
      <c r="AA150" s="31" t="s">
        <v>3498</v>
      </c>
      <c r="AB150" s="31" t="s">
        <v>4451</v>
      </c>
      <c r="AC150" s="31"/>
    </row>
    <row r="151" spans="1:29" ht="30">
      <c r="A151" s="30" t="s">
        <v>6090</v>
      </c>
      <c r="B151" s="30" t="s">
        <v>15</v>
      </c>
      <c r="C151" s="30" t="s">
        <v>3937</v>
      </c>
      <c r="D151" s="31" t="s">
        <v>5419</v>
      </c>
      <c r="E151" s="31" t="s">
        <v>5357</v>
      </c>
      <c r="F151" s="31" t="s">
        <v>6091</v>
      </c>
      <c r="G151" s="31" t="s">
        <v>6092</v>
      </c>
      <c r="H151" s="31" t="s">
        <v>6093</v>
      </c>
      <c r="I151" s="31" t="s">
        <v>5762</v>
      </c>
      <c r="J151" s="31"/>
      <c r="K151" s="31" t="s">
        <v>5634</v>
      </c>
      <c r="L151" s="31" t="s">
        <v>457</v>
      </c>
      <c r="M151" s="31" t="s">
        <v>5405</v>
      </c>
      <c r="N151" s="31" t="s">
        <v>5364</v>
      </c>
      <c r="O151" s="31" t="s">
        <v>5365</v>
      </c>
      <c r="P151" s="31" t="s">
        <v>5366</v>
      </c>
      <c r="Q151" s="31" t="s">
        <v>5367</v>
      </c>
      <c r="R151" s="31" t="s">
        <v>5368</v>
      </c>
      <c r="S151" s="31" t="s">
        <v>5369</v>
      </c>
      <c r="T151" s="31" t="s">
        <v>5370</v>
      </c>
      <c r="U151" s="31" t="s">
        <v>1862</v>
      </c>
      <c r="V151" s="31" t="s">
        <v>3517</v>
      </c>
      <c r="W151" s="31"/>
      <c r="X151" s="31"/>
      <c r="Y151" s="31"/>
      <c r="Z151" s="31"/>
      <c r="AA151" s="31" t="s">
        <v>3518</v>
      </c>
      <c r="AB151" s="31"/>
      <c r="AC151" s="31"/>
    </row>
    <row r="152" spans="1:29" ht="30">
      <c r="A152" s="30" t="s">
        <v>6094</v>
      </c>
      <c r="B152" s="30" t="s">
        <v>15</v>
      </c>
      <c r="C152" s="30" t="s">
        <v>170</v>
      </c>
      <c r="D152" s="31" t="s">
        <v>5894</v>
      </c>
      <c r="E152" s="31" t="s">
        <v>5357</v>
      </c>
      <c r="F152" s="31" t="s">
        <v>6095</v>
      </c>
      <c r="G152" s="31" t="s">
        <v>1825</v>
      </c>
      <c r="H152" s="31" t="s">
        <v>6096</v>
      </c>
      <c r="I152" s="31" t="s">
        <v>6097</v>
      </c>
      <c r="J152" s="31"/>
      <c r="K152" s="31" t="s">
        <v>5634</v>
      </c>
      <c r="L152" s="31" t="s">
        <v>457</v>
      </c>
      <c r="M152" s="31" t="s">
        <v>5405</v>
      </c>
      <c r="N152" s="31" t="s">
        <v>5364</v>
      </c>
      <c r="O152" s="31" t="s">
        <v>5365</v>
      </c>
      <c r="P152" s="31" t="s">
        <v>5366</v>
      </c>
      <c r="Q152" s="31" t="s">
        <v>5367</v>
      </c>
      <c r="R152" s="31" t="s">
        <v>5368</v>
      </c>
      <c r="S152" s="31" t="s">
        <v>5369</v>
      </c>
      <c r="T152" s="31" t="s">
        <v>5370</v>
      </c>
      <c r="U152" s="31" t="s">
        <v>1816</v>
      </c>
      <c r="V152" s="31"/>
      <c r="W152" s="31"/>
      <c r="X152" s="31"/>
      <c r="Y152" s="31"/>
      <c r="Z152" s="31"/>
      <c r="AA152" s="31"/>
      <c r="AB152" s="31"/>
      <c r="AC152" s="31"/>
    </row>
    <row r="153" spans="1:29" ht="30">
      <c r="A153" s="30" t="s">
        <v>6098</v>
      </c>
      <c r="B153" s="30" t="s">
        <v>15</v>
      </c>
      <c r="C153" s="30" t="s">
        <v>170</v>
      </c>
      <c r="D153" s="31" t="s">
        <v>6099</v>
      </c>
      <c r="E153" s="31" t="s">
        <v>5385</v>
      </c>
      <c r="F153" s="31" t="s">
        <v>6100</v>
      </c>
      <c r="G153" s="31" t="s">
        <v>1571</v>
      </c>
      <c r="H153" s="31" t="s">
        <v>6101</v>
      </c>
      <c r="I153" s="31" t="s">
        <v>6102</v>
      </c>
      <c r="J153" s="31"/>
      <c r="K153" s="31" t="s">
        <v>5634</v>
      </c>
      <c r="L153" s="31" t="s">
        <v>496</v>
      </c>
      <c r="M153" s="31" t="s">
        <v>5391</v>
      </c>
      <c r="N153" s="31" t="s">
        <v>5364</v>
      </c>
      <c r="O153" s="31" t="s">
        <v>5365</v>
      </c>
      <c r="P153" s="31" t="s">
        <v>5366</v>
      </c>
      <c r="Q153" s="31" t="s">
        <v>5367</v>
      </c>
      <c r="R153" s="31" t="s">
        <v>5368</v>
      </c>
      <c r="S153" s="31" t="s">
        <v>5369</v>
      </c>
      <c r="T153" s="31" t="s">
        <v>5370</v>
      </c>
      <c r="U153" s="31" t="s">
        <v>1836</v>
      </c>
      <c r="V153" s="31"/>
      <c r="W153" s="31"/>
      <c r="X153" s="31"/>
      <c r="Y153" s="31"/>
      <c r="Z153" s="31"/>
      <c r="AA153" s="31"/>
      <c r="AB153" s="31"/>
      <c r="AC153" s="31"/>
    </row>
    <row r="154" spans="1:29" ht="30">
      <c r="A154" s="30" t="s">
        <v>6103</v>
      </c>
      <c r="B154" s="30" t="s">
        <v>15</v>
      </c>
      <c r="C154" s="30" t="s">
        <v>5909</v>
      </c>
      <c r="D154" s="31" t="s">
        <v>5915</v>
      </c>
      <c r="E154" s="31" t="s">
        <v>5357</v>
      </c>
      <c r="F154" s="31" t="s">
        <v>6104</v>
      </c>
      <c r="G154" s="31" t="s">
        <v>6105</v>
      </c>
      <c r="H154" s="31" t="s">
        <v>6106</v>
      </c>
      <c r="I154" s="31" t="s">
        <v>6107</v>
      </c>
      <c r="J154" s="31"/>
      <c r="K154" s="31" t="s">
        <v>5634</v>
      </c>
      <c r="L154" s="31" t="s">
        <v>496</v>
      </c>
      <c r="M154" s="31" t="s">
        <v>5391</v>
      </c>
      <c r="N154" s="31" t="s">
        <v>5364</v>
      </c>
      <c r="O154" s="31" t="s">
        <v>5365</v>
      </c>
      <c r="P154" s="31" t="s">
        <v>5366</v>
      </c>
      <c r="Q154" s="31" t="s">
        <v>5367</v>
      </c>
      <c r="R154" s="31" t="s">
        <v>5368</v>
      </c>
      <c r="S154" s="31" t="s">
        <v>5369</v>
      </c>
      <c r="T154" s="31" t="s">
        <v>5370</v>
      </c>
      <c r="U154" s="31" t="s">
        <v>1891</v>
      </c>
      <c r="V154" s="31"/>
      <c r="W154" s="31"/>
      <c r="X154" s="31"/>
      <c r="Y154" s="31"/>
      <c r="Z154" s="31"/>
      <c r="AA154" s="31"/>
      <c r="AB154" s="31"/>
      <c r="AC154" s="31"/>
    </row>
    <row r="155" spans="1:29" ht="30">
      <c r="A155" s="30" t="s">
        <v>6108</v>
      </c>
      <c r="B155" s="30" t="s">
        <v>15</v>
      </c>
      <c r="C155" s="30" t="s">
        <v>407</v>
      </c>
      <c r="D155" s="31" t="s">
        <v>79</v>
      </c>
      <c r="E155" s="31" t="s">
        <v>5357</v>
      </c>
      <c r="F155" s="31" t="s">
        <v>6109</v>
      </c>
      <c r="G155" s="31" t="s">
        <v>5700</v>
      </c>
      <c r="H155" s="31" t="s">
        <v>6110</v>
      </c>
      <c r="I155" s="31" t="s">
        <v>6111</v>
      </c>
      <c r="J155" s="31"/>
      <c r="K155" s="31" t="s">
        <v>5634</v>
      </c>
      <c r="L155" s="31" t="s">
        <v>457</v>
      </c>
      <c r="M155" s="31" t="s">
        <v>5405</v>
      </c>
      <c r="N155" s="31" t="s">
        <v>5364</v>
      </c>
      <c r="O155" s="31" t="s">
        <v>5365</v>
      </c>
      <c r="P155" s="31" t="s">
        <v>5366</v>
      </c>
      <c r="Q155" s="31" t="s">
        <v>5367</v>
      </c>
      <c r="R155" s="31" t="s">
        <v>5368</v>
      </c>
      <c r="S155" s="31" t="s">
        <v>5369</v>
      </c>
      <c r="T155" s="31" t="s">
        <v>5370</v>
      </c>
      <c r="U155" s="31" t="s">
        <v>84</v>
      </c>
      <c r="V155" s="31"/>
      <c r="W155" s="31"/>
      <c r="X155" s="31"/>
      <c r="Y155" s="31"/>
      <c r="Z155" s="31" t="s">
        <v>85</v>
      </c>
      <c r="AA155" s="31"/>
      <c r="AB155" s="31"/>
      <c r="AC155" s="31"/>
    </row>
    <row r="156" spans="1:29">
      <c r="A156" s="30" t="s">
        <v>6112</v>
      </c>
      <c r="B156" s="30" t="s">
        <v>15</v>
      </c>
      <c r="C156" s="30" t="s">
        <v>407</v>
      </c>
      <c r="D156" s="31" t="s">
        <v>79</v>
      </c>
      <c r="E156" s="31" t="s">
        <v>5385</v>
      </c>
      <c r="F156" s="31" t="s">
        <v>6113</v>
      </c>
      <c r="G156" s="31" t="s">
        <v>6114</v>
      </c>
      <c r="H156" s="31" t="s">
        <v>6115</v>
      </c>
      <c r="I156" s="31" t="s">
        <v>6116</v>
      </c>
      <c r="J156" s="31"/>
      <c r="K156" s="31" t="s">
        <v>5634</v>
      </c>
      <c r="L156" s="31" t="s">
        <v>496</v>
      </c>
      <c r="M156" s="31" t="s">
        <v>5391</v>
      </c>
      <c r="N156" s="31" t="s">
        <v>5364</v>
      </c>
      <c r="O156" s="31" t="s">
        <v>5365</v>
      </c>
      <c r="P156" s="31" t="s">
        <v>5366</v>
      </c>
      <c r="Q156" s="31" t="s">
        <v>5367</v>
      </c>
      <c r="R156" s="31" t="s">
        <v>5368</v>
      </c>
      <c r="S156" s="31" t="s">
        <v>5369</v>
      </c>
      <c r="T156" s="31" t="s">
        <v>5370</v>
      </c>
      <c r="U156" s="31" t="s">
        <v>1572</v>
      </c>
      <c r="V156" s="31"/>
      <c r="W156" s="31"/>
      <c r="X156" s="31"/>
      <c r="Y156" s="31"/>
      <c r="Z156" s="31"/>
      <c r="AA156" s="31"/>
      <c r="AB156" s="31"/>
      <c r="AC156" s="31"/>
    </row>
    <row r="157" spans="1:29">
      <c r="A157" s="30" t="s">
        <v>6117</v>
      </c>
      <c r="B157" s="30" t="s">
        <v>15</v>
      </c>
      <c r="C157" s="30" t="s">
        <v>151</v>
      </c>
      <c r="D157" s="31" t="s">
        <v>5444</v>
      </c>
      <c r="E157" s="31" t="s">
        <v>5357</v>
      </c>
      <c r="F157" s="31" t="s">
        <v>6118</v>
      </c>
      <c r="G157" s="31" t="s">
        <v>6119</v>
      </c>
      <c r="H157" s="31" t="s">
        <v>6120</v>
      </c>
      <c r="I157" s="31" t="s">
        <v>6121</v>
      </c>
      <c r="J157" s="31"/>
      <c r="K157" s="31" t="s">
        <v>5634</v>
      </c>
      <c r="L157" s="31" t="s">
        <v>457</v>
      </c>
      <c r="M157" s="31" t="s">
        <v>5405</v>
      </c>
      <c r="N157" s="31" t="s">
        <v>5364</v>
      </c>
      <c r="O157" s="31" t="s">
        <v>5365</v>
      </c>
      <c r="P157" s="31" t="s">
        <v>5366</v>
      </c>
      <c r="Q157" s="31" t="s">
        <v>5367</v>
      </c>
      <c r="R157" s="31" t="s">
        <v>5368</v>
      </c>
      <c r="S157" s="31" t="s">
        <v>5369</v>
      </c>
      <c r="T157" s="31" t="s">
        <v>5370</v>
      </c>
      <c r="U157" s="31" t="s">
        <v>2010</v>
      </c>
      <c r="V157" s="31"/>
      <c r="W157" s="31"/>
      <c r="X157" s="31"/>
      <c r="Y157" s="31"/>
      <c r="Z157" s="31"/>
      <c r="AA157" s="31"/>
      <c r="AB157" s="31"/>
      <c r="AC157" s="31"/>
    </row>
    <row r="158" spans="1:29">
      <c r="A158" s="30" t="s">
        <v>6122</v>
      </c>
      <c r="B158" s="30" t="s">
        <v>15</v>
      </c>
      <c r="C158" s="30" t="s">
        <v>8</v>
      </c>
      <c r="D158" s="31" t="s">
        <v>5444</v>
      </c>
      <c r="E158" s="31" t="s">
        <v>5357</v>
      </c>
      <c r="F158" s="31" t="s">
        <v>6123</v>
      </c>
      <c r="G158" s="31" t="s">
        <v>6124</v>
      </c>
      <c r="H158" s="31" t="s">
        <v>6125</v>
      </c>
      <c r="I158" s="31" t="s">
        <v>6126</v>
      </c>
      <c r="J158" s="31"/>
      <c r="K158" s="31" t="s">
        <v>5634</v>
      </c>
      <c r="L158" s="31" t="s">
        <v>457</v>
      </c>
      <c r="M158" s="31" t="s">
        <v>5405</v>
      </c>
      <c r="N158" s="31" t="s">
        <v>5364</v>
      </c>
      <c r="O158" s="31" t="s">
        <v>5365</v>
      </c>
      <c r="P158" s="31" t="s">
        <v>5366</v>
      </c>
      <c r="Q158" s="31" t="s">
        <v>5367</v>
      </c>
      <c r="R158" s="31" t="s">
        <v>5368</v>
      </c>
      <c r="S158" s="31" t="s">
        <v>5369</v>
      </c>
      <c r="T158" s="31" t="s">
        <v>5370</v>
      </c>
      <c r="U158" s="31" t="s">
        <v>2029</v>
      </c>
      <c r="V158" s="31"/>
      <c r="W158" s="31"/>
      <c r="X158" s="31"/>
      <c r="Y158" s="31"/>
      <c r="Z158" s="31"/>
      <c r="AA158" s="31"/>
      <c r="AB158" s="31"/>
      <c r="AC158" s="31"/>
    </row>
    <row r="159" spans="1:29">
      <c r="A159" s="30" t="s">
        <v>6127</v>
      </c>
      <c r="B159" s="30" t="s">
        <v>15</v>
      </c>
      <c r="C159" s="30" t="s">
        <v>100</v>
      </c>
      <c r="D159" s="31" t="s">
        <v>5444</v>
      </c>
      <c r="E159" s="31" t="s">
        <v>5357</v>
      </c>
      <c r="F159" s="31" t="s">
        <v>6128</v>
      </c>
      <c r="G159" s="31" t="s">
        <v>6129</v>
      </c>
      <c r="H159" s="31" t="s">
        <v>6130</v>
      </c>
      <c r="I159" s="31" t="s">
        <v>6131</v>
      </c>
      <c r="J159" s="31"/>
      <c r="K159" s="31" t="s">
        <v>5634</v>
      </c>
      <c r="L159" s="31" t="s">
        <v>457</v>
      </c>
      <c r="M159" s="31" t="s">
        <v>5405</v>
      </c>
      <c r="N159" s="31" t="s">
        <v>5364</v>
      </c>
      <c r="O159" s="31" t="s">
        <v>5365</v>
      </c>
      <c r="P159" s="31" t="s">
        <v>5366</v>
      </c>
      <c r="Q159" s="31" t="s">
        <v>5367</v>
      </c>
      <c r="R159" s="31" t="s">
        <v>5368</v>
      </c>
      <c r="S159" s="31" t="s">
        <v>5369</v>
      </c>
      <c r="T159" s="31" t="s">
        <v>5370</v>
      </c>
      <c r="U159" s="31" t="s">
        <v>2034</v>
      </c>
      <c r="V159" s="31"/>
      <c r="W159" s="31"/>
      <c r="X159" s="31"/>
      <c r="Y159" s="31"/>
      <c r="Z159" s="31"/>
      <c r="AA159" s="31"/>
      <c r="AB159" s="31"/>
      <c r="AC159" s="31"/>
    </row>
    <row r="160" spans="1:29" ht="45">
      <c r="A160" s="30" t="s">
        <v>6132</v>
      </c>
      <c r="B160" s="30" t="s">
        <v>15</v>
      </c>
      <c r="C160" s="30" t="s">
        <v>100</v>
      </c>
      <c r="D160" s="31" t="s">
        <v>5419</v>
      </c>
      <c r="E160" s="31" t="s">
        <v>5357</v>
      </c>
      <c r="F160" s="31" t="s">
        <v>6133</v>
      </c>
      <c r="G160" s="31" t="s">
        <v>6134</v>
      </c>
      <c r="H160" s="31" t="s">
        <v>6135</v>
      </c>
      <c r="I160" s="31" t="s">
        <v>6136</v>
      </c>
      <c r="J160" s="31"/>
      <c r="K160" s="31" t="s">
        <v>5634</v>
      </c>
      <c r="L160" s="31" t="s">
        <v>457</v>
      </c>
      <c r="M160" s="31" t="s">
        <v>5405</v>
      </c>
      <c r="N160" s="31" t="s">
        <v>5364</v>
      </c>
      <c r="O160" s="31" t="s">
        <v>5365</v>
      </c>
      <c r="P160" s="31" t="s">
        <v>5366</v>
      </c>
      <c r="Q160" s="31" t="s">
        <v>5367</v>
      </c>
      <c r="R160" s="31" t="s">
        <v>5368</v>
      </c>
      <c r="S160" s="31" t="s">
        <v>5369</v>
      </c>
      <c r="T160" s="31" t="s">
        <v>5370</v>
      </c>
      <c r="U160" s="31" t="s">
        <v>2044</v>
      </c>
      <c r="V160" s="31"/>
      <c r="W160" s="31"/>
      <c r="X160" s="31"/>
      <c r="Y160" s="31"/>
      <c r="Z160" s="31"/>
      <c r="AA160" s="31"/>
      <c r="AB160" s="31"/>
      <c r="AC160" s="31"/>
    </row>
    <row r="161" spans="1:29" ht="30">
      <c r="A161" s="30" t="s">
        <v>6137</v>
      </c>
      <c r="B161" s="30" t="s">
        <v>15</v>
      </c>
      <c r="C161" s="30" t="s">
        <v>100</v>
      </c>
      <c r="D161" s="31" t="s">
        <v>5653</v>
      </c>
      <c r="E161" s="31" t="s">
        <v>5385</v>
      </c>
      <c r="F161" s="31" t="s">
        <v>6138</v>
      </c>
      <c r="G161" s="31" t="s">
        <v>2040</v>
      </c>
      <c r="H161" s="31" t="s">
        <v>6130</v>
      </c>
      <c r="I161" s="31" t="s">
        <v>6139</v>
      </c>
      <c r="J161" s="31"/>
      <c r="K161" s="31" t="s">
        <v>5634</v>
      </c>
      <c r="L161" s="31" t="s">
        <v>496</v>
      </c>
      <c r="M161" s="31" t="s">
        <v>5391</v>
      </c>
      <c r="N161" s="31" t="s">
        <v>5364</v>
      </c>
      <c r="O161" s="31" t="s">
        <v>5365</v>
      </c>
      <c r="P161" s="31" t="s">
        <v>5366</v>
      </c>
      <c r="Q161" s="31" t="s">
        <v>5367</v>
      </c>
      <c r="R161" s="31" t="s">
        <v>5368</v>
      </c>
      <c r="S161" s="31" t="s">
        <v>5369</v>
      </c>
      <c r="T161" s="31" t="s">
        <v>5370</v>
      </c>
      <c r="U161" s="31" t="s">
        <v>2038</v>
      </c>
      <c r="V161" s="31"/>
      <c r="W161" s="31"/>
      <c r="X161" s="31"/>
      <c r="Y161" s="31"/>
      <c r="Z161" s="31"/>
      <c r="AA161" s="31"/>
      <c r="AB161" s="31"/>
      <c r="AC161" s="31"/>
    </row>
    <row r="162" spans="1:29" ht="30">
      <c r="A162" s="30" t="s">
        <v>6140</v>
      </c>
      <c r="B162" s="30" t="s">
        <v>15</v>
      </c>
      <c r="C162" s="30" t="s">
        <v>1966</v>
      </c>
      <c r="D162" s="31" t="s">
        <v>6141</v>
      </c>
      <c r="E162" s="31" t="s">
        <v>5967</v>
      </c>
      <c r="F162" s="31" t="s">
        <v>6142</v>
      </c>
      <c r="G162" s="31" t="s">
        <v>5969</v>
      </c>
      <c r="H162" s="31" t="s">
        <v>6143</v>
      </c>
      <c r="I162" s="31" t="s">
        <v>6144</v>
      </c>
      <c r="J162" s="31"/>
      <c r="K162" s="31" t="s">
        <v>5634</v>
      </c>
      <c r="L162" s="31" t="s">
        <v>496</v>
      </c>
      <c r="M162" s="31" t="s">
        <v>5391</v>
      </c>
      <c r="N162" s="31" t="s">
        <v>5364</v>
      </c>
      <c r="O162" s="31" t="s">
        <v>5365</v>
      </c>
      <c r="P162" s="31" t="s">
        <v>5366</v>
      </c>
      <c r="Q162" s="31" t="s">
        <v>5367</v>
      </c>
      <c r="R162" s="31" t="s">
        <v>5368</v>
      </c>
      <c r="S162" s="31" t="s">
        <v>5369</v>
      </c>
      <c r="T162" s="31" t="s">
        <v>5370</v>
      </c>
      <c r="U162" s="31" t="s">
        <v>1270</v>
      </c>
      <c r="V162" s="31" t="s">
        <v>2254</v>
      </c>
      <c r="W162" s="31"/>
      <c r="X162" s="31"/>
      <c r="Y162" s="31"/>
      <c r="Z162" s="31"/>
      <c r="AA162" s="31" t="s">
        <v>2260</v>
      </c>
      <c r="AB162" s="31" t="s">
        <v>2261</v>
      </c>
      <c r="AC162" s="31"/>
    </row>
    <row r="163" spans="1:29" ht="30">
      <c r="A163" s="30" t="s">
        <v>6145</v>
      </c>
      <c r="B163" s="30" t="s">
        <v>15</v>
      </c>
      <c r="C163" s="30" t="s">
        <v>1966</v>
      </c>
      <c r="D163" s="31" t="s">
        <v>73</v>
      </c>
      <c r="E163" s="31" t="s">
        <v>5967</v>
      </c>
      <c r="F163" s="31" t="s">
        <v>6146</v>
      </c>
      <c r="G163" s="31" t="s">
        <v>5969</v>
      </c>
      <c r="H163" s="31" t="s">
        <v>6147</v>
      </c>
      <c r="I163" s="31" t="s">
        <v>1275</v>
      </c>
      <c r="J163" s="31"/>
      <c r="K163" s="31" t="s">
        <v>5634</v>
      </c>
      <c r="L163" s="31" t="s">
        <v>496</v>
      </c>
      <c r="M163" s="31" t="s">
        <v>5391</v>
      </c>
      <c r="N163" s="31" t="s">
        <v>5364</v>
      </c>
      <c r="O163" s="31" t="s">
        <v>5365</v>
      </c>
      <c r="P163" s="31" t="s">
        <v>5366</v>
      </c>
      <c r="Q163" s="31" t="s">
        <v>5367</v>
      </c>
      <c r="R163" s="31" t="s">
        <v>5368</v>
      </c>
      <c r="S163" s="31" t="s">
        <v>5369</v>
      </c>
      <c r="T163" s="31" t="s">
        <v>5370</v>
      </c>
      <c r="U163" s="31" t="s">
        <v>1542</v>
      </c>
      <c r="V163" s="31"/>
      <c r="W163" s="31"/>
      <c r="X163" s="31"/>
      <c r="Y163" s="31"/>
      <c r="Z163" s="31"/>
      <c r="AA163" s="31"/>
      <c r="AB163" s="31"/>
      <c r="AC163" s="31"/>
    </row>
    <row r="164" spans="1:29">
      <c r="A164" s="30" t="s">
        <v>6148</v>
      </c>
      <c r="B164" s="30" t="s">
        <v>15</v>
      </c>
      <c r="C164" s="30" t="s">
        <v>1966</v>
      </c>
      <c r="D164" s="31" t="s">
        <v>124</v>
      </c>
      <c r="E164" s="31" t="s">
        <v>5967</v>
      </c>
      <c r="F164" s="31" t="s">
        <v>6149</v>
      </c>
      <c r="G164" s="31" t="s">
        <v>5969</v>
      </c>
      <c r="H164" s="31" t="s">
        <v>5738</v>
      </c>
      <c r="I164" s="31" t="s">
        <v>1275</v>
      </c>
      <c r="J164" s="31"/>
      <c r="K164" s="31" t="s">
        <v>5634</v>
      </c>
      <c r="L164" s="31" t="s">
        <v>496</v>
      </c>
      <c r="M164" s="31" t="s">
        <v>5391</v>
      </c>
      <c r="N164" s="31" t="s">
        <v>5364</v>
      </c>
      <c r="O164" s="31" t="s">
        <v>5365</v>
      </c>
      <c r="P164" s="31" t="s">
        <v>5366</v>
      </c>
      <c r="Q164" s="31" t="s">
        <v>5367</v>
      </c>
      <c r="R164" s="31" t="s">
        <v>5368</v>
      </c>
      <c r="S164" s="31" t="s">
        <v>5369</v>
      </c>
      <c r="T164" s="31" t="s">
        <v>5370</v>
      </c>
      <c r="U164" s="31" t="s">
        <v>1652</v>
      </c>
      <c r="V164" s="31"/>
      <c r="W164" s="31"/>
      <c r="X164" s="31"/>
      <c r="Y164" s="31"/>
      <c r="Z164" s="31"/>
      <c r="AA164" s="31"/>
      <c r="AB164" s="31"/>
      <c r="AC164" s="31"/>
    </row>
    <row r="165" spans="1:29">
      <c r="A165" s="30" t="s">
        <v>6150</v>
      </c>
      <c r="B165" s="30" t="s">
        <v>15</v>
      </c>
      <c r="C165" s="30" t="s">
        <v>1966</v>
      </c>
      <c r="D165" s="31" t="s">
        <v>101</v>
      </c>
      <c r="E165" s="31" t="s">
        <v>5967</v>
      </c>
      <c r="F165" s="31" t="s">
        <v>6151</v>
      </c>
      <c r="G165" s="31" t="s">
        <v>5969</v>
      </c>
      <c r="H165" s="31" t="s">
        <v>5790</v>
      </c>
      <c r="I165" s="31" t="s">
        <v>6152</v>
      </c>
      <c r="J165" s="31"/>
      <c r="K165" s="31" t="s">
        <v>5634</v>
      </c>
      <c r="L165" s="31" t="s">
        <v>496</v>
      </c>
      <c r="M165" s="31" t="s">
        <v>5391</v>
      </c>
      <c r="N165" s="31" t="s">
        <v>5364</v>
      </c>
      <c r="O165" s="31" t="s">
        <v>5365</v>
      </c>
      <c r="P165" s="31" t="s">
        <v>5366</v>
      </c>
      <c r="Q165" s="31" t="s">
        <v>5367</v>
      </c>
      <c r="R165" s="31" t="s">
        <v>5368</v>
      </c>
      <c r="S165" s="31" t="s">
        <v>5369</v>
      </c>
      <c r="T165" s="31" t="s">
        <v>5370</v>
      </c>
      <c r="U165" s="31" t="s">
        <v>1734</v>
      </c>
      <c r="V165" s="31"/>
      <c r="W165" s="31"/>
      <c r="X165" s="31"/>
      <c r="Y165" s="31"/>
      <c r="Z165" s="31"/>
      <c r="AA165" s="31"/>
      <c r="AB165" s="31"/>
      <c r="AC165" s="31"/>
    </row>
    <row r="166" spans="1:29">
      <c r="A166" s="30" t="s">
        <v>6153</v>
      </c>
      <c r="B166" s="30" t="s">
        <v>15</v>
      </c>
      <c r="C166" s="30" t="s">
        <v>1966</v>
      </c>
      <c r="D166" s="31" t="s">
        <v>59</v>
      </c>
      <c r="E166" s="31" t="s">
        <v>5967</v>
      </c>
      <c r="F166" s="31" t="s">
        <v>6154</v>
      </c>
      <c r="G166" s="31" t="s">
        <v>5969</v>
      </c>
      <c r="H166" s="31" t="s">
        <v>6155</v>
      </c>
      <c r="I166" s="31" t="s">
        <v>6156</v>
      </c>
      <c r="J166" s="31"/>
      <c r="K166" s="31" t="s">
        <v>5634</v>
      </c>
      <c r="L166" s="31" t="s">
        <v>496</v>
      </c>
      <c r="M166" s="31" t="s">
        <v>5391</v>
      </c>
      <c r="N166" s="31" t="s">
        <v>5364</v>
      </c>
      <c r="O166" s="31" t="s">
        <v>5365</v>
      </c>
      <c r="P166" s="31" t="s">
        <v>5366</v>
      </c>
      <c r="Q166" s="31" t="s">
        <v>5367</v>
      </c>
      <c r="R166" s="31" t="s">
        <v>5368</v>
      </c>
      <c r="S166" s="31" t="s">
        <v>5369</v>
      </c>
      <c r="T166" s="31" t="s">
        <v>5370</v>
      </c>
      <c r="U166" s="31" t="s">
        <v>1476</v>
      </c>
      <c r="V166" s="31"/>
      <c r="W166" s="31"/>
      <c r="X166" s="31"/>
      <c r="Y166" s="31"/>
      <c r="Z166" s="31"/>
      <c r="AA166" s="31"/>
      <c r="AB166" s="31"/>
      <c r="AC166" s="31"/>
    </row>
    <row r="167" spans="1:29">
      <c r="A167" s="30" t="s">
        <v>6157</v>
      </c>
      <c r="B167" s="30" t="s">
        <v>15</v>
      </c>
      <c r="C167" s="30" t="s">
        <v>1966</v>
      </c>
      <c r="D167" s="31" t="s">
        <v>6158</v>
      </c>
      <c r="E167" s="31" t="s">
        <v>5967</v>
      </c>
      <c r="F167" s="31" t="s">
        <v>6159</v>
      </c>
      <c r="G167" s="31" t="s">
        <v>5969</v>
      </c>
      <c r="H167" s="31" t="s">
        <v>6160</v>
      </c>
      <c r="I167" s="31" t="s">
        <v>6161</v>
      </c>
      <c r="J167" s="31"/>
      <c r="K167" s="31" t="s">
        <v>5634</v>
      </c>
      <c r="L167" s="31" t="s">
        <v>496</v>
      </c>
      <c r="M167" s="31" t="s">
        <v>5391</v>
      </c>
      <c r="N167" s="31" t="s">
        <v>5364</v>
      </c>
      <c r="O167" s="31" t="s">
        <v>5365</v>
      </c>
      <c r="P167" s="31" t="s">
        <v>5366</v>
      </c>
      <c r="Q167" s="31" t="s">
        <v>5367</v>
      </c>
      <c r="R167" s="31" t="s">
        <v>5368</v>
      </c>
      <c r="S167" s="31" t="s">
        <v>5369</v>
      </c>
      <c r="T167" s="31" t="s">
        <v>5370</v>
      </c>
      <c r="U167" s="31" t="s">
        <v>1505</v>
      </c>
      <c r="V167" s="31"/>
      <c r="W167" s="31"/>
      <c r="X167" s="31"/>
      <c r="Y167" s="31"/>
      <c r="Z167" s="31"/>
      <c r="AA167" s="31"/>
      <c r="AB167" s="31"/>
      <c r="AC167" s="31"/>
    </row>
    <row r="168" spans="1:29" ht="30">
      <c r="A168" s="30" t="s">
        <v>6162</v>
      </c>
      <c r="B168" s="30" t="s">
        <v>15</v>
      </c>
      <c r="C168" s="30" t="s">
        <v>6163</v>
      </c>
      <c r="D168" s="31" t="s">
        <v>6164</v>
      </c>
      <c r="E168" s="31" t="s">
        <v>5659</v>
      </c>
      <c r="F168" s="31" t="s">
        <v>6165</v>
      </c>
      <c r="G168" s="31" t="s">
        <v>5959</v>
      </c>
      <c r="H168" s="31" t="s">
        <v>6166</v>
      </c>
      <c r="I168" s="31" t="s">
        <v>6167</v>
      </c>
      <c r="J168" s="31"/>
      <c r="K168" s="31" t="s">
        <v>5634</v>
      </c>
      <c r="L168" s="31" t="s">
        <v>457</v>
      </c>
      <c r="M168" s="31" t="s">
        <v>438</v>
      </c>
      <c r="N168" s="31" t="s">
        <v>5364</v>
      </c>
      <c r="O168" s="31" t="s">
        <v>5365</v>
      </c>
      <c r="P168" s="31" t="s">
        <v>5366</v>
      </c>
      <c r="Q168" s="31" t="s">
        <v>5367</v>
      </c>
      <c r="R168" s="31" t="s">
        <v>5368</v>
      </c>
      <c r="S168" s="31" t="s">
        <v>5369</v>
      </c>
      <c r="T168" s="31" t="s">
        <v>5370</v>
      </c>
      <c r="U168" s="31" t="s">
        <v>1979</v>
      </c>
      <c r="V168" s="31"/>
      <c r="W168" s="31"/>
      <c r="X168" s="31"/>
      <c r="Y168" s="31"/>
      <c r="Z168" s="31"/>
      <c r="AA168" s="31"/>
      <c r="AB168" s="31"/>
      <c r="AC168" s="31"/>
    </row>
    <row r="169" spans="1:29" ht="30">
      <c r="A169" s="30" t="s">
        <v>6168</v>
      </c>
      <c r="B169" s="30" t="s">
        <v>15</v>
      </c>
      <c r="C169" s="30" t="s">
        <v>6163</v>
      </c>
      <c r="D169" s="31" t="s">
        <v>6169</v>
      </c>
      <c r="E169" s="31" t="s">
        <v>5659</v>
      </c>
      <c r="F169" s="31" t="s">
        <v>6170</v>
      </c>
      <c r="G169" s="31" t="s">
        <v>5959</v>
      </c>
      <c r="H169" s="31" t="s">
        <v>6171</v>
      </c>
      <c r="I169" s="31" t="s">
        <v>6172</v>
      </c>
      <c r="J169" s="31"/>
      <c r="K169" s="31" t="s">
        <v>5634</v>
      </c>
      <c r="L169" s="31" t="s">
        <v>457</v>
      </c>
      <c r="M169" s="31" t="s">
        <v>5405</v>
      </c>
      <c r="N169" s="31" t="s">
        <v>5364</v>
      </c>
      <c r="O169" s="31" t="s">
        <v>5365</v>
      </c>
      <c r="P169" s="31" t="s">
        <v>5366</v>
      </c>
      <c r="Q169" s="31" t="s">
        <v>5367</v>
      </c>
      <c r="R169" s="31" t="s">
        <v>5368</v>
      </c>
      <c r="S169" s="31" t="s">
        <v>5369</v>
      </c>
      <c r="T169" s="31" t="s">
        <v>5370</v>
      </c>
      <c r="U169" s="31" t="s">
        <v>1130</v>
      </c>
      <c r="V169" s="31"/>
      <c r="W169" s="31"/>
      <c r="X169" s="31"/>
      <c r="Y169" s="31"/>
      <c r="Z169" s="31"/>
      <c r="AA169" s="31"/>
      <c r="AB169" s="31"/>
      <c r="AC169" s="31"/>
    </row>
    <row r="170" spans="1:29" ht="30">
      <c r="A170" s="30" t="s">
        <v>6173</v>
      </c>
      <c r="B170" s="30" t="s">
        <v>15</v>
      </c>
      <c r="C170" s="30" t="s">
        <v>6163</v>
      </c>
      <c r="D170" s="31" t="s">
        <v>6174</v>
      </c>
      <c r="E170" s="31" t="s">
        <v>5659</v>
      </c>
      <c r="F170" s="31" t="s">
        <v>6175</v>
      </c>
      <c r="G170" s="31" t="s">
        <v>6176</v>
      </c>
      <c r="H170" s="31" t="s">
        <v>6177</v>
      </c>
      <c r="I170" s="31" t="s">
        <v>6178</v>
      </c>
      <c r="J170" s="31"/>
      <c r="K170" s="31" t="s">
        <v>5634</v>
      </c>
      <c r="L170" s="31" t="s">
        <v>457</v>
      </c>
      <c r="M170" s="31" t="s">
        <v>5405</v>
      </c>
      <c r="N170" s="31" t="s">
        <v>5364</v>
      </c>
      <c r="O170" s="31" t="s">
        <v>5365</v>
      </c>
      <c r="P170" s="31" t="s">
        <v>5366</v>
      </c>
      <c r="Q170" s="31" t="s">
        <v>5367</v>
      </c>
      <c r="R170" s="31" t="s">
        <v>5368</v>
      </c>
      <c r="S170" s="31" t="s">
        <v>5369</v>
      </c>
      <c r="T170" s="31" t="s">
        <v>5370</v>
      </c>
      <c r="U170" s="31" t="s">
        <v>1130</v>
      </c>
      <c r="V170" s="31"/>
      <c r="W170" s="31"/>
      <c r="X170" s="31"/>
      <c r="Y170" s="31"/>
      <c r="Z170" s="31"/>
      <c r="AA170" s="31"/>
      <c r="AB170" s="31"/>
      <c r="AC170" s="31"/>
    </row>
    <row r="171" spans="1:29" ht="30">
      <c r="A171" s="30" t="s">
        <v>6179</v>
      </c>
      <c r="B171" s="30" t="s">
        <v>15</v>
      </c>
      <c r="C171" s="30" t="s">
        <v>30</v>
      </c>
      <c r="D171" s="31" t="s">
        <v>5419</v>
      </c>
      <c r="E171" s="31" t="s">
        <v>5357</v>
      </c>
      <c r="F171" s="31" t="s">
        <v>6180</v>
      </c>
      <c r="G171" s="31" t="s">
        <v>6181</v>
      </c>
      <c r="H171" s="31" t="s">
        <v>6182</v>
      </c>
      <c r="I171" s="31" t="s">
        <v>6183</v>
      </c>
      <c r="J171" s="31"/>
      <c r="K171" s="31" t="s">
        <v>5634</v>
      </c>
      <c r="L171" s="31" t="s">
        <v>496</v>
      </c>
      <c r="M171" s="31" t="s">
        <v>5391</v>
      </c>
      <c r="N171" s="31" t="s">
        <v>5364</v>
      </c>
      <c r="O171" s="31" t="s">
        <v>5365</v>
      </c>
      <c r="P171" s="31" t="s">
        <v>5366</v>
      </c>
      <c r="Q171" s="31" t="s">
        <v>5367</v>
      </c>
      <c r="R171" s="31" t="s">
        <v>5368</v>
      </c>
      <c r="S171" s="31" t="s">
        <v>5369</v>
      </c>
      <c r="T171" s="31" t="s">
        <v>5370</v>
      </c>
      <c r="U171" s="31" t="s">
        <v>43</v>
      </c>
      <c r="V171" s="31" t="s">
        <v>3015</v>
      </c>
      <c r="W171" s="31" t="s">
        <v>4205</v>
      </c>
      <c r="X171" s="31"/>
      <c r="Y171" s="31"/>
      <c r="Z171" s="31" t="s">
        <v>44</v>
      </c>
      <c r="AA171" s="31" t="s">
        <v>3019</v>
      </c>
      <c r="AB171" s="31" t="s">
        <v>4207</v>
      </c>
      <c r="AC171" s="31"/>
    </row>
    <row r="172" spans="1:29" ht="30">
      <c r="A172" s="30" t="s">
        <v>6184</v>
      </c>
      <c r="B172" s="30" t="s">
        <v>15</v>
      </c>
      <c r="C172" s="30" t="s">
        <v>30</v>
      </c>
      <c r="D172" s="31" t="s">
        <v>5419</v>
      </c>
      <c r="E172" s="31" t="s">
        <v>5357</v>
      </c>
      <c r="F172" s="31" t="s">
        <v>6185</v>
      </c>
      <c r="G172" s="31" t="s">
        <v>6186</v>
      </c>
      <c r="H172" s="31" t="s">
        <v>6187</v>
      </c>
      <c r="I172" s="31" t="s">
        <v>6188</v>
      </c>
      <c r="J172" s="31"/>
      <c r="K172" s="31" t="s">
        <v>5634</v>
      </c>
      <c r="L172" s="31" t="s">
        <v>457</v>
      </c>
      <c r="M172" s="31" t="s">
        <v>5405</v>
      </c>
      <c r="N172" s="31" t="s">
        <v>5364</v>
      </c>
      <c r="O172" s="31" t="s">
        <v>5365</v>
      </c>
      <c r="P172" s="31" t="s">
        <v>5366</v>
      </c>
      <c r="Q172" s="31" t="s">
        <v>5367</v>
      </c>
      <c r="R172" s="31" t="s">
        <v>5368</v>
      </c>
      <c r="S172" s="31" t="s">
        <v>5369</v>
      </c>
      <c r="T172" s="31" t="s">
        <v>5370</v>
      </c>
      <c r="U172" s="31" t="s">
        <v>1401</v>
      </c>
      <c r="V172" s="31" t="s">
        <v>3015</v>
      </c>
      <c r="W172" s="31"/>
      <c r="X172" s="31"/>
      <c r="Y172" s="31"/>
      <c r="Z172" s="31"/>
      <c r="AA172" s="31" t="s">
        <v>3019</v>
      </c>
      <c r="AB172" s="31" t="s">
        <v>2320</v>
      </c>
      <c r="AC172" s="31"/>
    </row>
    <row r="173" spans="1:29" ht="30">
      <c r="A173" s="30" t="s">
        <v>6189</v>
      </c>
      <c r="B173" s="30" t="s">
        <v>15</v>
      </c>
      <c r="C173" s="30" t="s">
        <v>30</v>
      </c>
      <c r="D173" s="31" t="s">
        <v>5435</v>
      </c>
      <c r="E173" s="31" t="s">
        <v>5357</v>
      </c>
      <c r="F173" s="31" t="s">
        <v>6190</v>
      </c>
      <c r="G173" s="31" t="s">
        <v>6191</v>
      </c>
      <c r="H173" s="31" t="s">
        <v>6192</v>
      </c>
      <c r="I173" s="31" t="s">
        <v>6193</v>
      </c>
      <c r="J173" s="31"/>
      <c r="K173" s="31" t="s">
        <v>5634</v>
      </c>
      <c r="L173" s="31" t="s">
        <v>457</v>
      </c>
      <c r="M173" s="31" t="s">
        <v>5405</v>
      </c>
      <c r="N173" s="31" t="s">
        <v>5364</v>
      </c>
      <c r="O173" s="31" t="s">
        <v>5365</v>
      </c>
      <c r="P173" s="31" t="s">
        <v>5366</v>
      </c>
      <c r="Q173" s="31" t="s">
        <v>5367</v>
      </c>
      <c r="R173" s="31" t="s">
        <v>5368</v>
      </c>
      <c r="S173" s="31" t="s">
        <v>5369</v>
      </c>
      <c r="T173" s="31" t="s">
        <v>5370</v>
      </c>
      <c r="U173" s="31" t="s">
        <v>1279</v>
      </c>
      <c r="V173" s="31" t="s">
        <v>2315</v>
      </c>
      <c r="W173" s="31" t="s">
        <v>2332</v>
      </c>
      <c r="X173" s="31"/>
      <c r="Y173" s="31"/>
      <c r="Z173" s="31"/>
      <c r="AA173" s="31" t="s">
        <v>2319</v>
      </c>
      <c r="AB173" s="31" t="s">
        <v>2335</v>
      </c>
      <c r="AC173" s="31"/>
    </row>
    <row r="174" spans="1:29" ht="30">
      <c r="A174" s="30" t="s">
        <v>6194</v>
      </c>
      <c r="B174" s="30" t="s">
        <v>15</v>
      </c>
      <c r="C174" s="30" t="s">
        <v>30</v>
      </c>
      <c r="D174" s="31" t="s">
        <v>5407</v>
      </c>
      <c r="E174" s="31" t="s">
        <v>5357</v>
      </c>
      <c r="F174" s="31" t="s">
        <v>6195</v>
      </c>
      <c r="G174" s="31" t="s">
        <v>6196</v>
      </c>
      <c r="H174" s="31" t="s">
        <v>6197</v>
      </c>
      <c r="I174" s="31" t="s">
        <v>6198</v>
      </c>
      <c r="J174" s="31"/>
      <c r="K174" s="31" t="s">
        <v>5634</v>
      </c>
      <c r="L174" s="31" t="s">
        <v>496</v>
      </c>
      <c r="M174" s="31" t="s">
        <v>5391</v>
      </c>
      <c r="N174" s="31" t="s">
        <v>5364</v>
      </c>
      <c r="O174" s="31" t="s">
        <v>5365</v>
      </c>
      <c r="P174" s="31" t="s">
        <v>5366</v>
      </c>
      <c r="Q174" s="31" t="s">
        <v>5367</v>
      </c>
      <c r="R174" s="31" t="s">
        <v>5368</v>
      </c>
      <c r="S174" s="31" t="s">
        <v>5369</v>
      </c>
      <c r="T174" s="31" t="s">
        <v>5370</v>
      </c>
      <c r="U174" s="31" t="s">
        <v>1246</v>
      </c>
      <c r="V174" s="31" t="s">
        <v>2254</v>
      </c>
      <c r="W174" s="31"/>
      <c r="X174" s="31"/>
      <c r="Y174" s="31"/>
      <c r="Z174" s="31"/>
      <c r="AA174" s="31" t="s">
        <v>2260</v>
      </c>
      <c r="AB174" s="31" t="s">
        <v>2261</v>
      </c>
      <c r="AC174" s="31"/>
    </row>
    <row r="175" spans="1:29">
      <c r="A175" s="30" t="s">
        <v>6199</v>
      </c>
      <c r="B175" s="30" t="s">
        <v>15</v>
      </c>
      <c r="C175" s="30" t="s">
        <v>30</v>
      </c>
      <c r="D175" s="31" t="s">
        <v>5419</v>
      </c>
      <c r="E175" s="31" t="s">
        <v>5357</v>
      </c>
      <c r="F175" s="31" t="s">
        <v>6200</v>
      </c>
      <c r="G175" s="31" t="s">
        <v>6186</v>
      </c>
      <c r="H175" s="31" t="s">
        <v>6201</v>
      </c>
      <c r="I175" s="31" t="s">
        <v>6202</v>
      </c>
      <c r="J175" s="31"/>
      <c r="K175" s="31" t="s">
        <v>5634</v>
      </c>
      <c r="L175" s="31" t="s">
        <v>496</v>
      </c>
      <c r="M175" s="31" t="s">
        <v>5391</v>
      </c>
      <c r="N175" s="31" t="s">
        <v>5364</v>
      </c>
      <c r="O175" s="31" t="s">
        <v>5365</v>
      </c>
      <c r="P175" s="31" t="s">
        <v>5366</v>
      </c>
      <c r="Q175" s="31" t="s">
        <v>5367</v>
      </c>
      <c r="R175" s="31" t="s">
        <v>5368</v>
      </c>
      <c r="S175" s="31" t="s">
        <v>5369</v>
      </c>
      <c r="T175" s="31" t="s">
        <v>5370</v>
      </c>
      <c r="U175" s="31" t="s">
        <v>43</v>
      </c>
      <c r="V175" s="31" t="s">
        <v>3015</v>
      </c>
      <c r="W175" s="31"/>
      <c r="X175" s="31"/>
      <c r="Y175" s="31"/>
      <c r="Z175" s="31" t="s">
        <v>44</v>
      </c>
      <c r="AA175" s="31" t="s">
        <v>3019</v>
      </c>
      <c r="AB175" s="31" t="s">
        <v>2320</v>
      </c>
      <c r="AC175" s="31"/>
    </row>
    <row r="176" spans="1:29" ht="45">
      <c r="A176" s="30" t="s">
        <v>6203</v>
      </c>
      <c r="B176" s="30" t="s">
        <v>15</v>
      </c>
      <c r="C176" s="30" t="s">
        <v>30</v>
      </c>
      <c r="D176" s="31" t="s">
        <v>5435</v>
      </c>
      <c r="E176" s="31" t="s">
        <v>5357</v>
      </c>
      <c r="F176" s="31" t="s">
        <v>6204</v>
      </c>
      <c r="G176" s="31" t="s">
        <v>6191</v>
      </c>
      <c r="H176" s="31" t="s">
        <v>6205</v>
      </c>
      <c r="I176" s="31" t="s">
        <v>6206</v>
      </c>
      <c r="J176" s="31"/>
      <c r="K176" s="31" t="s">
        <v>5634</v>
      </c>
      <c r="L176" s="31" t="s">
        <v>496</v>
      </c>
      <c r="M176" s="31" t="s">
        <v>5391</v>
      </c>
      <c r="N176" s="31" t="s">
        <v>5364</v>
      </c>
      <c r="O176" s="31" t="s">
        <v>5365</v>
      </c>
      <c r="P176" s="31" t="s">
        <v>5366</v>
      </c>
      <c r="Q176" s="31" t="s">
        <v>5367</v>
      </c>
      <c r="R176" s="31" t="s">
        <v>5368</v>
      </c>
      <c r="S176" s="31" t="s">
        <v>5369</v>
      </c>
      <c r="T176" s="31" t="s">
        <v>5370</v>
      </c>
      <c r="U176" s="31" t="s">
        <v>1337</v>
      </c>
      <c r="V176" s="31" t="s">
        <v>2305</v>
      </c>
      <c r="W176" s="31"/>
      <c r="X176" s="31"/>
      <c r="Y176" s="31"/>
      <c r="Z176" s="31"/>
      <c r="AA176" s="31" t="s">
        <v>44</v>
      </c>
      <c r="AB176" s="31" t="s">
        <v>2261</v>
      </c>
      <c r="AC176" s="31"/>
    </row>
    <row r="177" spans="1:29" ht="30">
      <c r="A177" s="30" t="s">
        <v>6207</v>
      </c>
      <c r="B177" s="30" t="s">
        <v>15</v>
      </c>
      <c r="C177" s="30" t="s">
        <v>407</v>
      </c>
      <c r="D177" s="31" t="s">
        <v>5444</v>
      </c>
      <c r="E177" s="31" t="s">
        <v>5357</v>
      </c>
      <c r="F177" s="31" t="s">
        <v>4289</v>
      </c>
      <c r="G177" s="31" t="s">
        <v>6208</v>
      </c>
      <c r="H177" s="31" t="s">
        <v>6209</v>
      </c>
      <c r="I177" s="31" t="s">
        <v>6210</v>
      </c>
      <c r="J177" s="31"/>
      <c r="K177" s="31" t="s">
        <v>5634</v>
      </c>
      <c r="L177" s="31" t="s">
        <v>457</v>
      </c>
      <c r="M177" s="31" t="s">
        <v>5405</v>
      </c>
      <c r="N177" s="31" t="s">
        <v>5364</v>
      </c>
      <c r="O177" s="31" t="s">
        <v>5365</v>
      </c>
      <c r="P177" s="31" t="s">
        <v>5366</v>
      </c>
      <c r="Q177" s="31" t="s">
        <v>5367</v>
      </c>
      <c r="R177" s="31" t="s">
        <v>5368</v>
      </c>
      <c r="S177" s="31" t="s">
        <v>5369</v>
      </c>
      <c r="T177" s="31" t="s">
        <v>5370</v>
      </c>
      <c r="U177" s="31" t="s">
        <v>74</v>
      </c>
      <c r="V177" s="31" t="s">
        <v>2489</v>
      </c>
      <c r="W177" s="31" t="s">
        <v>4288</v>
      </c>
      <c r="X177" s="31"/>
      <c r="Y177" s="31"/>
      <c r="Z177" s="31" t="s">
        <v>75</v>
      </c>
      <c r="AA177" s="31" t="s">
        <v>2493</v>
      </c>
      <c r="AB177" s="31" t="s">
        <v>4290</v>
      </c>
      <c r="AC177" s="31"/>
    </row>
    <row r="178" spans="1:29" ht="45">
      <c r="A178" s="30" t="s">
        <v>6211</v>
      </c>
      <c r="B178" s="30" t="s">
        <v>15</v>
      </c>
      <c r="C178" s="30" t="s">
        <v>407</v>
      </c>
      <c r="D178" s="31" t="s">
        <v>6212</v>
      </c>
      <c r="E178" s="31" t="s">
        <v>5357</v>
      </c>
      <c r="F178" s="31" t="s">
        <v>6213</v>
      </c>
      <c r="G178" s="31" t="s">
        <v>6214</v>
      </c>
      <c r="H178" s="31" t="s">
        <v>6215</v>
      </c>
      <c r="I178" s="31" t="s">
        <v>6216</v>
      </c>
      <c r="J178" s="31"/>
      <c r="K178" s="31" t="s">
        <v>5634</v>
      </c>
      <c r="L178" s="31" t="s">
        <v>438</v>
      </c>
      <c r="M178" s="31" t="s">
        <v>438</v>
      </c>
      <c r="N178" s="31" t="s">
        <v>5364</v>
      </c>
      <c r="O178" s="31" t="s">
        <v>5365</v>
      </c>
      <c r="P178" s="31" t="s">
        <v>5366</v>
      </c>
      <c r="Q178" s="31" t="s">
        <v>5367</v>
      </c>
      <c r="R178" s="31" t="s">
        <v>5368</v>
      </c>
      <c r="S178" s="31" t="s">
        <v>5369</v>
      </c>
      <c r="T178" s="31" t="s">
        <v>5370</v>
      </c>
      <c r="U178" s="31" t="s">
        <v>74</v>
      </c>
      <c r="V178" s="31" t="s">
        <v>2763</v>
      </c>
      <c r="W178" s="31" t="s">
        <v>4303</v>
      </c>
      <c r="X178" s="31"/>
      <c r="Y178" s="31"/>
      <c r="Z178" s="31" t="s">
        <v>75</v>
      </c>
      <c r="AA178" s="31" t="s">
        <v>2766</v>
      </c>
      <c r="AB178" s="31" t="s">
        <v>4290</v>
      </c>
      <c r="AC178" s="31"/>
    </row>
    <row r="179" spans="1:29">
      <c r="A179" s="30" t="s">
        <v>6217</v>
      </c>
      <c r="B179" s="30" t="s">
        <v>15</v>
      </c>
      <c r="C179" s="30" t="s">
        <v>407</v>
      </c>
      <c r="D179" s="31" t="s">
        <v>5393</v>
      </c>
      <c r="E179" s="31" t="s">
        <v>5357</v>
      </c>
      <c r="F179" s="31" t="s">
        <v>6218</v>
      </c>
      <c r="G179" s="31" t="s">
        <v>6219</v>
      </c>
      <c r="H179" s="31" t="s">
        <v>6220</v>
      </c>
      <c r="I179" s="31" t="s">
        <v>6221</v>
      </c>
      <c r="J179" s="31"/>
      <c r="K179" s="31" t="s">
        <v>5634</v>
      </c>
      <c r="L179" s="31" t="s">
        <v>457</v>
      </c>
      <c r="M179" s="31" t="s">
        <v>5405</v>
      </c>
      <c r="N179" s="31" t="s">
        <v>5364</v>
      </c>
      <c r="O179" s="31" t="s">
        <v>5365</v>
      </c>
      <c r="P179" s="31" t="s">
        <v>5366</v>
      </c>
      <c r="Q179" s="31" t="s">
        <v>5367</v>
      </c>
      <c r="R179" s="31" t="s">
        <v>5368</v>
      </c>
      <c r="S179" s="31" t="s">
        <v>5369</v>
      </c>
      <c r="T179" s="31" t="s">
        <v>5370</v>
      </c>
      <c r="U179" s="31" t="s">
        <v>74</v>
      </c>
      <c r="V179" s="31" t="s">
        <v>2489</v>
      </c>
      <c r="W179" s="31" t="s">
        <v>4315</v>
      </c>
      <c r="X179" s="31"/>
      <c r="Y179" s="31"/>
      <c r="Z179" s="31" t="s">
        <v>75</v>
      </c>
      <c r="AA179" s="31" t="s">
        <v>2493</v>
      </c>
      <c r="AB179" s="31" t="s">
        <v>4317</v>
      </c>
      <c r="AC179" s="31"/>
    </row>
    <row r="180" spans="1:29">
      <c r="A180" s="30" t="s">
        <v>6222</v>
      </c>
      <c r="B180" s="30" t="s">
        <v>15</v>
      </c>
      <c r="C180" s="30" t="s">
        <v>467</v>
      </c>
      <c r="D180" s="31" t="s">
        <v>5444</v>
      </c>
      <c r="E180" s="31" t="s">
        <v>5357</v>
      </c>
      <c r="F180" s="31" t="s">
        <v>6223</v>
      </c>
      <c r="G180" s="31" t="s">
        <v>6224</v>
      </c>
      <c r="H180" s="31" t="s">
        <v>6225</v>
      </c>
      <c r="I180" s="31" t="s">
        <v>6226</v>
      </c>
      <c r="J180" s="31"/>
      <c r="K180" s="31" t="s">
        <v>5634</v>
      </c>
      <c r="L180" s="31" t="s">
        <v>457</v>
      </c>
      <c r="M180" s="31" t="s">
        <v>5405</v>
      </c>
      <c r="N180" s="31" t="s">
        <v>5364</v>
      </c>
      <c r="O180" s="31" t="s">
        <v>5365</v>
      </c>
      <c r="P180" s="31" t="s">
        <v>5366</v>
      </c>
      <c r="Q180" s="31" t="s">
        <v>5367</v>
      </c>
      <c r="R180" s="31" t="s">
        <v>5368</v>
      </c>
      <c r="S180" s="31" t="s">
        <v>5369</v>
      </c>
      <c r="T180" s="31" t="s">
        <v>5370</v>
      </c>
      <c r="U180" s="31" t="s">
        <v>60</v>
      </c>
      <c r="V180" s="31" t="s">
        <v>3044</v>
      </c>
      <c r="W180" s="31" t="s">
        <v>2551</v>
      </c>
      <c r="X180" s="31"/>
      <c r="Y180" s="31"/>
      <c r="Z180" s="31" t="s">
        <v>61</v>
      </c>
      <c r="AA180" s="31" t="s">
        <v>3048</v>
      </c>
      <c r="AB180" s="31" t="s">
        <v>2554</v>
      </c>
      <c r="AC180" s="31"/>
    </row>
    <row r="181" spans="1:29" ht="30">
      <c r="A181" s="30" t="s">
        <v>6227</v>
      </c>
      <c r="B181" s="30" t="s">
        <v>15</v>
      </c>
      <c r="C181" s="30" t="s">
        <v>467</v>
      </c>
      <c r="D181" s="31" t="s">
        <v>5636</v>
      </c>
      <c r="E181" s="31" t="s">
        <v>5659</v>
      </c>
      <c r="F181" s="31" t="s">
        <v>6228</v>
      </c>
      <c r="G181" s="31" t="s">
        <v>6229</v>
      </c>
      <c r="H181" s="31" t="s">
        <v>6230</v>
      </c>
      <c r="I181" s="31" t="s">
        <v>6231</v>
      </c>
      <c r="J181" s="31"/>
      <c r="K181" s="31" t="s">
        <v>5634</v>
      </c>
      <c r="L181" s="31" t="s">
        <v>457</v>
      </c>
      <c r="M181" s="31" t="s">
        <v>5405</v>
      </c>
      <c r="N181" s="31" t="s">
        <v>5364</v>
      </c>
      <c r="O181" s="31" t="s">
        <v>5365</v>
      </c>
      <c r="P181" s="31" t="s">
        <v>5366</v>
      </c>
      <c r="Q181" s="31" t="s">
        <v>5367</v>
      </c>
      <c r="R181" s="31" t="s">
        <v>5368</v>
      </c>
      <c r="S181" s="31" t="s">
        <v>5369</v>
      </c>
      <c r="T181" s="31" t="s">
        <v>5370</v>
      </c>
      <c r="U181" s="31" t="s">
        <v>1466</v>
      </c>
      <c r="V181" s="31" t="s">
        <v>3060</v>
      </c>
      <c r="W181" s="31" t="s">
        <v>2823</v>
      </c>
      <c r="X181" s="31"/>
      <c r="Y181" s="31"/>
      <c r="Z181" s="31"/>
      <c r="AA181" s="31" t="s">
        <v>68</v>
      </c>
      <c r="AB181" s="31" t="s">
        <v>2827</v>
      </c>
      <c r="AC181" s="31"/>
    </row>
    <row r="182" spans="1:29" ht="30">
      <c r="A182" s="30" t="s">
        <v>6232</v>
      </c>
      <c r="B182" s="30" t="s">
        <v>15</v>
      </c>
      <c r="C182" s="30" t="s">
        <v>89</v>
      </c>
      <c r="D182" s="31" t="s">
        <v>5444</v>
      </c>
      <c r="E182" s="31" t="s">
        <v>5357</v>
      </c>
      <c r="F182" s="31" t="s">
        <v>6233</v>
      </c>
      <c r="G182" s="31" t="s">
        <v>92</v>
      </c>
      <c r="H182" s="31" t="s">
        <v>6234</v>
      </c>
      <c r="I182" s="31" t="s">
        <v>6235</v>
      </c>
      <c r="J182" s="31"/>
      <c r="K182" s="31" t="s">
        <v>5634</v>
      </c>
      <c r="L182" s="31" t="s">
        <v>496</v>
      </c>
      <c r="M182" s="31" t="s">
        <v>5391</v>
      </c>
      <c r="N182" s="31" t="s">
        <v>5364</v>
      </c>
      <c r="O182" s="31" t="s">
        <v>5365</v>
      </c>
      <c r="P182" s="31" t="s">
        <v>5366</v>
      </c>
      <c r="Q182" s="31" t="s">
        <v>5367</v>
      </c>
      <c r="R182" s="31" t="s">
        <v>5368</v>
      </c>
      <c r="S182" s="31" t="s">
        <v>5369</v>
      </c>
      <c r="T182" s="31" t="s">
        <v>5370</v>
      </c>
      <c r="U182" s="31" t="s">
        <v>1610</v>
      </c>
      <c r="V182" s="31" t="s">
        <v>2550</v>
      </c>
      <c r="W182" s="31" t="s">
        <v>4322</v>
      </c>
      <c r="X182" s="31"/>
      <c r="Y182" s="31"/>
      <c r="Z182" s="31"/>
      <c r="AA182" s="31" t="s">
        <v>2553</v>
      </c>
      <c r="AB182" s="31" t="s">
        <v>2494</v>
      </c>
      <c r="AC182" s="31"/>
    </row>
    <row r="183" spans="1:29">
      <c r="A183" s="30" t="s">
        <v>6236</v>
      </c>
      <c r="B183" s="30" t="s">
        <v>15</v>
      </c>
      <c r="C183" s="30" t="s">
        <v>89</v>
      </c>
      <c r="D183" s="31" t="s">
        <v>5435</v>
      </c>
      <c r="E183" s="31" t="s">
        <v>5357</v>
      </c>
      <c r="F183" s="31" t="s">
        <v>4329</v>
      </c>
      <c r="G183" s="31" t="s">
        <v>92</v>
      </c>
      <c r="H183" s="31" t="s">
        <v>6237</v>
      </c>
      <c r="I183" s="31" t="s">
        <v>6238</v>
      </c>
      <c r="J183" s="31"/>
      <c r="K183" s="31" t="s">
        <v>5634</v>
      </c>
      <c r="L183" s="31" t="s">
        <v>457</v>
      </c>
      <c r="M183" s="31" t="s">
        <v>5405</v>
      </c>
      <c r="N183" s="31" t="s">
        <v>5364</v>
      </c>
      <c r="O183" s="31" t="s">
        <v>5365</v>
      </c>
      <c r="P183" s="31" t="s">
        <v>5366</v>
      </c>
      <c r="Q183" s="31" t="s">
        <v>5367</v>
      </c>
      <c r="R183" s="31" t="s">
        <v>5368</v>
      </c>
      <c r="S183" s="31" t="s">
        <v>5369</v>
      </c>
      <c r="T183" s="31" t="s">
        <v>5370</v>
      </c>
      <c r="U183" s="31" t="s">
        <v>91</v>
      </c>
      <c r="V183" s="31" t="s">
        <v>2550</v>
      </c>
      <c r="W183" s="31" t="s">
        <v>4328</v>
      </c>
      <c r="X183" s="31"/>
      <c r="Y183" s="31"/>
      <c r="Z183" s="31" t="s">
        <v>92</v>
      </c>
      <c r="AA183" s="31" t="s">
        <v>2553</v>
      </c>
      <c r="AB183" s="31" t="s">
        <v>4330</v>
      </c>
      <c r="AC183" s="31"/>
    </row>
    <row r="184" spans="1:29">
      <c r="A184" s="30" t="s">
        <v>6239</v>
      </c>
      <c r="B184" s="30" t="s">
        <v>15</v>
      </c>
      <c r="C184" s="30" t="s">
        <v>123</v>
      </c>
      <c r="D184" s="31" t="s">
        <v>5444</v>
      </c>
      <c r="E184" s="31" t="s">
        <v>5357</v>
      </c>
      <c r="F184" s="31" t="s">
        <v>6240</v>
      </c>
      <c r="G184" s="31" t="s">
        <v>126</v>
      </c>
      <c r="H184" s="31" t="s">
        <v>6241</v>
      </c>
      <c r="I184" s="31" t="s">
        <v>6242</v>
      </c>
      <c r="J184" s="31"/>
      <c r="K184" s="31" t="s">
        <v>5634</v>
      </c>
      <c r="L184" s="31" t="s">
        <v>496</v>
      </c>
      <c r="M184" s="31" t="s">
        <v>5391</v>
      </c>
      <c r="N184" s="31" t="s">
        <v>5364</v>
      </c>
      <c r="O184" s="31" t="s">
        <v>5365</v>
      </c>
      <c r="P184" s="31" t="s">
        <v>5366</v>
      </c>
      <c r="Q184" s="31" t="s">
        <v>5367</v>
      </c>
      <c r="R184" s="31" t="s">
        <v>5368</v>
      </c>
      <c r="S184" s="31" t="s">
        <v>5369</v>
      </c>
      <c r="T184" s="31" t="s">
        <v>5370</v>
      </c>
      <c r="U184" s="31" t="s">
        <v>102</v>
      </c>
      <c r="V184" s="31" t="s">
        <v>2612</v>
      </c>
      <c r="W184" s="31" t="s">
        <v>4376</v>
      </c>
      <c r="X184" s="31"/>
      <c r="Y184" s="31"/>
      <c r="Z184" s="31" t="s">
        <v>103</v>
      </c>
      <c r="AA184" s="31" t="s">
        <v>147</v>
      </c>
      <c r="AB184" s="31" t="s">
        <v>2584</v>
      </c>
      <c r="AC184" s="31"/>
    </row>
    <row r="185" spans="1:29">
      <c r="A185" s="30" t="s">
        <v>6243</v>
      </c>
      <c r="B185" s="30" t="s">
        <v>15</v>
      </c>
      <c r="C185" s="30" t="s">
        <v>123</v>
      </c>
      <c r="D185" s="31" t="s">
        <v>6244</v>
      </c>
      <c r="E185" s="31" t="s">
        <v>5357</v>
      </c>
      <c r="F185" s="31" t="s">
        <v>6245</v>
      </c>
      <c r="G185" s="31" t="s">
        <v>126</v>
      </c>
      <c r="H185" s="31" t="s">
        <v>6246</v>
      </c>
      <c r="I185" s="31" t="s">
        <v>6247</v>
      </c>
      <c r="J185" s="31"/>
      <c r="K185" s="31" t="s">
        <v>5634</v>
      </c>
      <c r="L185" s="31" t="s">
        <v>457</v>
      </c>
      <c r="M185" s="31" t="s">
        <v>5405</v>
      </c>
      <c r="N185" s="31" t="s">
        <v>5364</v>
      </c>
      <c r="O185" s="31" t="s">
        <v>5365</v>
      </c>
      <c r="P185" s="31" t="s">
        <v>5366</v>
      </c>
      <c r="Q185" s="31" t="s">
        <v>5367</v>
      </c>
      <c r="R185" s="31" t="s">
        <v>5368</v>
      </c>
      <c r="S185" s="31" t="s">
        <v>5369</v>
      </c>
      <c r="T185" s="31" t="s">
        <v>5370</v>
      </c>
      <c r="U185" s="31" t="s">
        <v>102</v>
      </c>
      <c r="V185" s="31" t="s">
        <v>2612</v>
      </c>
      <c r="W185" s="31" t="s">
        <v>4383</v>
      </c>
      <c r="X185" s="31"/>
      <c r="Y185" s="31"/>
      <c r="Z185" s="31" t="s">
        <v>103</v>
      </c>
      <c r="AA185" s="31" t="s">
        <v>147</v>
      </c>
      <c r="AB185" s="31" t="s">
        <v>4385</v>
      </c>
      <c r="AC185" s="31"/>
    </row>
    <row r="186" spans="1:29" ht="30">
      <c r="A186" s="30" t="s">
        <v>6248</v>
      </c>
      <c r="B186" s="30" t="s">
        <v>15</v>
      </c>
      <c r="C186" s="30" t="s">
        <v>5788</v>
      </c>
      <c r="D186" s="31" t="s">
        <v>5444</v>
      </c>
      <c r="E186" s="31" t="s">
        <v>5357</v>
      </c>
      <c r="F186" s="31" t="s">
        <v>6249</v>
      </c>
      <c r="G186" s="31" t="s">
        <v>5809</v>
      </c>
      <c r="H186" s="31" t="s">
        <v>6250</v>
      </c>
      <c r="I186" s="31" t="s">
        <v>6251</v>
      </c>
      <c r="J186" s="31"/>
      <c r="K186" s="31" t="s">
        <v>5634</v>
      </c>
      <c r="L186" s="31" t="s">
        <v>496</v>
      </c>
      <c r="M186" s="31" t="s">
        <v>5391</v>
      </c>
      <c r="N186" s="31" t="s">
        <v>5364</v>
      </c>
      <c r="O186" s="31" t="s">
        <v>5365</v>
      </c>
      <c r="P186" s="31" t="s">
        <v>5366</v>
      </c>
      <c r="Q186" s="31" t="s">
        <v>5367</v>
      </c>
      <c r="R186" s="31" t="s">
        <v>5368</v>
      </c>
      <c r="S186" s="31" t="s">
        <v>5369</v>
      </c>
      <c r="T186" s="31" t="s">
        <v>5370</v>
      </c>
      <c r="U186" s="31" t="s">
        <v>125</v>
      </c>
      <c r="V186" s="31" t="s">
        <v>2580</v>
      </c>
      <c r="W186" s="31"/>
      <c r="X186" s="31"/>
      <c r="Y186" s="31"/>
      <c r="Z186" s="31" t="s">
        <v>126</v>
      </c>
      <c r="AA186" s="31" t="s">
        <v>2583</v>
      </c>
      <c r="AB186" s="31" t="s">
        <v>2584</v>
      </c>
      <c r="AC186" s="31"/>
    </row>
    <row r="187" spans="1:29" ht="30">
      <c r="A187" s="30" t="s">
        <v>6252</v>
      </c>
      <c r="B187" s="30" t="s">
        <v>15</v>
      </c>
      <c r="C187" s="30" t="s">
        <v>145</v>
      </c>
      <c r="D187" s="31" t="s">
        <v>5489</v>
      </c>
      <c r="E187" s="31" t="s">
        <v>5357</v>
      </c>
      <c r="F187" s="31" t="s">
        <v>6253</v>
      </c>
      <c r="G187" s="31" t="s">
        <v>6254</v>
      </c>
      <c r="H187" s="31" t="s">
        <v>6255</v>
      </c>
      <c r="I187" s="31" t="s">
        <v>6256</v>
      </c>
      <c r="J187" s="31"/>
      <c r="K187" s="31" t="s">
        <v>5634</v>
      </c>
      <c r="L187" s="31" t="s">
        <v>457</v>
      </c>
      <c r="M187" s="31" t="s">
        <v>5405</v>
      </c>
      <c r="N187" s="31" t="s">
        <v>5364</v>
      </c>
      <c r="O187" s="31" t="s">
        <v>5365</v>
      </c>
      <c r="P187" s="31" t="s">
        <v>5366</v>
      </c>
      <c r="Q187" s="31" t="s">
        <v>5367</v>
      </c>
      <c r="R187" s="31" t="s">
        <v>5368</v>
      </c>
      <c r="S187" s="31" t="s">
        <v>5369</v>
      </c>
      <c r="T187" s="31" t="s">
        <v>5370</v>
      </c>
      <c r="U187" s="31" t="s">
        <v>135</v>
      </c>
      <c r="V187" s="31" t="s">
        <v>2983</v>
      </c>
      <c r="W187" s="31" t="s">
        <v>4433</v>
      </c>
      <c r="X187" s="31"/>
      <c r="Y187" s="31"/>
      <c r="Z187" s="31" t="s">
        <v>136</v>
      </c>
      <c r="AA187" s="31" t="s">
        <v>195</v>
      </c>
      <c r="AB187" s="31" t="s">
        <v>4434</v>
      </c>
      <c r="AC187" s="31"/>
    </row>
    <row r="188" spans="1:29" ht="30">
      <c r="A188" s="30" t="s">
        <v>6257</v>
      </c>
      <c r="B188" s="30" t="s">
        <v>15</v>
      </c>
      <c r="C188" s="30" t="s">
        <v>145</v>
      </c>
      <c r="D188" s="31" t="s">
        <v>5489</v>
      </c>
      <c r="E188" s="31" t="s">
        <v>5385</v>
      </c>
      <c r="F188" s="31" t="s">
        <v>6258</v>
      </c>
      <c r="G188" s="31" t="s">
        <v>5827</v>
      </c>
      <c r="H188" s="31" t="s">
        <v>6259</v>
      </c>
      <c r="I188" s="31" t="s">
        <v>6260</v>
      </c>
      <c r="J188" s="31"/>
      <c r="K188" s="31" t="s">
        <v>5634</v>
      </c>
      <c r="L188" s="31" t="s">
        <v>496</v>
      </c>
      <c r="M188" s="31" t="s">
        <v>5391</v>
      </c>
      <c r="N188" s="31" t="s">
        <v>5364</v>
      </c>
      <c r="O188" s="31" t="s">
        <v>5365</v>
      </c>
      <c r="P188" s="31" t="s">
        <v>5366</v>
      </c>
      <c r="Q188" s="31" t="s">
        <v>5367</v>
      </c>
      <c r="R188" s="31" t="s">
        <v>5368</v>
      </c>
      <c r="S188" s="31" t="s">
        <v>5369</v>
      </c>
      <c r="T188" s="31" t="s">
        <v>5370</v>
      </c>
      <c r="U188" s="31" t="s">
        <v>1774</v>
      </c>
      <c r="V188" s="31" t="s">
        <v>2983</v>
      </c>
      <c r="W188" s="31"/>
      <c r="X188" s="31"/>
      <c r="Y188" s="31"/>
      <c r="Z188" s="31"/>
      <c r="AA188" s="31" t="s">
        <v>195</v>
      </c>
      <c r="AB188" s="31"/>
      <c r="AC188" s="31"/>
    </row>
    <row r="189" spans="1:29" ht="60">
      <c r="A189" s="30" t="s">
        <v>6261</v>
      </c>
      <c r="B189" s="30" t="s">
        <v>15</v>
      </c>
      <c r="C189" s="30" t="s">
        <v>6158</v>
      </c>
      <c r="D189" s="31" t="s">
        <v>66</v>
      </c>
      <c r="E189" s="31" t="s">
        <v>5357</v>
      </c>
      <c r="F189" s="31" t="s">
        <v>6262</v>
      </c>
      <c r="G189" s="31" t="s">
        <v>6263</v>
      </c>
      <c r="H189" s="31" t="s">
        <v>6264</v>
      </c>
      <c r="I189" s="31" t="s">
        <v>6265</v>
      </c>
      <c r="J189" s="31"/>
      <c r="K189" s="31" t="s">
        <v>5634</v>
      </c>
      <c r="L189" s="31" t="s">
        <v>457</v>
      </c>
      <c r="M189" s="31" t="s">
        <v>5405</v>
      </c>
      <c r="N189" s="31" t="s">
        <v>5364</v>
      </c>
      <c r="O189" s="31" t="s">
        <v>5365</v>
      </c>
      <c r="P189" s="31" t="s">
        <v>5366</v>
      </c>
      <c r="Q189" s="31" t="s">
        <v>5367</v>
      </c>
      <c r="R189" s="31" t="s">
        <v>5368</v>
      </c>
      <c r="S189" s="31" t="s">
        <v>5369</v>
      </c>
      <c r="T189" s="31" t="s">
        <v>5370</v>
      </c>
      <c r="U189" s="31" t="s">
        <v>1497</v>
      </c>
      <c r="V189" s="31"/>
      <c r="W189" s="31"/>
      <c r="X189" s="31"/>
      <c r="Y189" s="31"/>
      <c r="Z189" s="31"/>
      <c r="AA189" s="31"/>
      <c r="AB189" s="31"/>
      <c r="AC189" s="31"/>
    </row>
    <row r="190" spans="1:29" ht="30">
      <c r="A190" s="30" t="s">
        <v>6266</v>
      </c>
      <c r="B190" s="30" t="s">
        <v>15</v>
      </c>
      <c r="C190" s="30" t="s">
        <v>6158</v>
      </c>
      <c r="D190" s="31" t="s">
        <v>66</v>
      </c>
      <c r="E190" s="31" t="s">
        <v>5357</v>
      </c>
      <c r="F190" s="31" t="s">
        <v>6267</v>
      </c>
      <c r="G190" s="31" t="s">
        <v>6263</v>
      </c>
      <c r="H190" s="31" t="s">
        <v>6268</v>
      </c>
      <c r="I190" s="31" t="s">
        <v>6269</v>
      </c>
      <c r="J190" s="31"/>
      <c r="K190" s="31" t="s">
        <v>5634</v>
      </c>
      <c r="L190" s="31" t="s">
        <v>496</v>
      </c>
      <c r="M190" s="31" t="s">
        <v>5391</v>
      </c>
      <c r="N190" s="31" t="s">
        <v>5364</v>
      </c>
      <c r="O190" s="31" t="s">
        <v>5365</v>
      </c>
      <c r="P190" s="31" t="s">
        <v>5366</v>
      </c>
      <c r="Q190" s="31" t="s">
        <v>5367</v>
      </c>
      <c r="R190" s="31" t="s">
        <v>5368</v>
      </c>
      <c r="S190" s="31" t="s">
        <v>5369</v>
      </c>
      <c r="T190" s="31" t="s">
        <v>5370</v>
      </c>
      <c r="U190" s="31" t="s">
        <v>67</v>
      </c>
      <c r="V190" s="31"/>
      <c r="W190" s="31"/>
      <c r="X190" s="31"/>
      <c r="Y190" s="31"/>
      <c r="Z190" s="31" t="s">
        <v>68</v>
      </c>
      <c r="AA190" s="31"/>
      <c r="AB190" s="31"/>
      <c r="AC190" s="31"/>
    </row>
    <row r="191" spans="1:29">
      <c r="A191" s="30" t="s">
        <v>6270</v>
      </c>
      <c r="B191" s="30" t="s">
        <v>15</v>
      </c>
      <c r="C191" s="30" t="s">
        <v>6158</v>
      </c>
      <c r="D191" s="31" t="s">
        <v>5653</v>
      </c>
      <c r="E191" s="31" t="s">
        <v>5385</v>
      </c>
      <c r="F191" s="31" t="s">
        <v>6271</v>
      </c>
      <c r="G191" s="31" t="s">
        <v>6272</v>
      </c>
      <c r="H191" s="31" t="s">
        <v>6273</v>
      </c>
      <c r="I191" s="31" t="s">
        <v>6274</v>
      </c>
      <c r="J191" s="31"/>
      <c r="K191" s="31" t="s">
        <v>5634</v>
      </c>
      <c r="L191" s="31" t="s">
        <v>496</v>
      </c>
      <c r="M191" s="31" t="s">
        <v>5391</v>
      </c>
      <c r="N191" s="31" t="s">
        <v>5364</v>
      </c>
      <c r="O191" s="31" t="s">
        <v>5365</v>
      </c>
      <c r="P191" s="31" t="s">
        <v>5366</v>
      </c>
      <c r="Q191" s="31" t="s">
        <v>5367</v>
      </c>
      <c r="R191" s="31" t="s">
        <v>5368</v>
      </c>
      <c r="S191" s="31" t="s">
        <v>5369</v>
      </c>
      <c r="T191" s="31" t="s">
        <v>5370</v>
      </c>
      <c r="U191" s="31" t="s">
        <v>1490</v>
      </c>
      <c r="V191" s="31"/>
      <c r="W191" s="31"/>
      <c r="X191" s="31"/>
      <c r="Y191" s="31"/>
      <c r="Z191" s="31"/>
      <c r="AA191" s="31"/>
      <c r="AB191" s="31"/>
      <c r="AC191" s="31"/>
    </row>
    <row r="192" spans="1:29">
      <c r="A192" s="30" t="s">
        <v>6275</v>
      </c>
      <c r="B192" s="30" t="s">
        <v>15</v>
      </c>
      <c r="C192" s="30" t="s">
        <v>3937</v>
      </c>
      <c r="D192" s="31" t="s">
        <v>5444</v>
      </c>
      <c r="E192" s="31" t="s">
        <v>5357</v>
      </c>
      <c r="F192" s="31" t="s">
        <v>4473</v>
      </c>
      <c r="G192" s="31" t="s">
        <v>3490</v>
      </c>
      <c r="H192" s="31" t="s">
        <v>6276</v>
      </c>
      <c r="I192" s="31" t="s">
        <v>6277</v>
      </c>
      <c r="J192" s="31"/>
      <c r="K192" s="31" t="s">
        <v>5634</v>
      </c>
      <c r="L192" s="31" t="s">
        <v>457</v>
      </c>
      <c r="M192" s="31" t="s">
        <v>5405</v>
      </c>
      <c r="N192" s="31" t="s">
        <v>5364</v>
      </c>
      <c r="O192" s="31" t="s">
        <v>5365</v>
      </c>
      <c r="P192" s="31" t="s">
        <v>5366</v>
      </c>
      <c r="Q192" s="31" t="s">
        <v>5367</v>
      </c>
      <c r="R192" s="31" t="s">
        <v>5368</v>
      </c>
      <c r="S192" s="31" t="s">
        <v>5369</v>
      </c>
      <c r="T192" s="31" t="s">
        <v>5370</v>
      </c>
      <c r="U192" s="31" t="s">
        <v>177</v>
      </c>
      <c r="V192" s="31" t="s">
        <v>3507</v>
      </c>
      <c r="W192" s="31" t="s">
        <v>4472</v>
      </c>
      <c r="X192" s="31"/>
      <c r="Y192" s="31"/>
      <c r="Z192" s="31" t="s">
        <v>178</v>
      </c>
      <c r="AA192" s="31" t="s">
        <v>3508</v>
      </c>
      <c r="AB192" s="31" t="s">
        <v>4474</v>
      </c>
      <c r="AC192" s="31"/>
    </row>
    <row r="193" spans="1:29">
      <c r="A193" s="30" t="s">
        <v>6278</v>
      </c>
      <c r="B193" s="30" t="s">
        <v>15</v>
      </c>
      <c r="C193" s="30" t="s">
        <v>3937</v>
      </c>
      <c r="D193" s="31" t="s">
        <v>5444</v>
      </c>
      <c r="E193" s="31" t="s">
        <v>5385</v>
      </c>
      <c r="F193" s="31" t="s">
        <v>6279</v>
      </c>
      <c r="G193" s="31" t="s">
        <v>1183</v>
      </c>
      <c r="H193" s="31" t="s">
        <v>6280</v>
      </c>
      <c r="I193" s="31" t="s">
        <v>6281</v>
      </c>
      <c r="J193" s="31"/>
      <c r="K193" s="31" t="s">
        <v>5634</v>
      </c>
      <c r="L193" s="31" t="s">
        <v>496</v>
      </c>
      <c r="M193" s="31" t="s">
        <v>5391</v>
      </c>
      <c r="N193" s="31" t="s">
        <v>5364</v>
      </c>
      <c r="O193" s="31" t="s">
        <v>5365</v>
      </c>
      <c r="P193" s="31" t="s">
        <v>5366</v>
      </c>
      <c r="Q193" s="31" t="s">
        <v>5367</v>
      </c>
      <c r="R193" s="31" t="s">
        <v>5368</v>
      </c>
      <c r="S193" s="31" t="s">
        <v>5369</v>
      </c>
      <c r="T193" s="31" t="s">
        <v>5370</v>
      </c>
      <c r="U193" s="31" t="s">
        <v>1856</v>
      </c>
      <c r="V193" s="31" t="s">
        <v>3507</v>
      </c>
      <c r="W193" s="31"/>
      <c r="X193" s="31"/>
      <c r="Y193" s="31"/>
      <c r="Z193" s="31"/>
      <c r="AA193" s="31" t="s">
        <v>3508</v>
      </c>
      <c r="AB193" s="31"/>
      <c r="AC193" s="31"/>
    </row>
    <row r="194" spans="1:29" ht="30">
      <c r="A194" s="30" t="s">
        <v>6282</v>
      </c>
      <c r="B194" s="30" t="s">
        <v>15</v>
      </c>
      <c r="C194" s="30" t="s">
        <v>12</v>
      </c>
      <c r="D194" s="31" t="s">
        <v>6283</v>
      </c>
      <c r="E194" s="31" t="s">
        <v>5357</v>
      </c>
      <c r="F194" s="31" t="s">
        <v>6284</v>
      </c>
      <c r="G194" s="31" t="s">
        <v>6285</v>
      </c>
      <c r="H194" s="31" t="s">
        <v>6286</v>
      </c>
      <c r="I194" s="31" t="s">
        <v>6287</v>
      </c>
      <c r="J194" s="31"/>
      <c r="K194" s="31" t="s">
        <v>5634</v>
      </c>
      <c r="L194" s="31" t="s">
        <v>438</v>
      </c>
      <c r="M194" s="31" t="s">
        <v>438</v>
      </c>
      <c r="N194" s="31" t="s">
        <v>5364</v>
      </c>
      <c r="O194" s="31" t="s">
        <v>5365</v>
      </c>
      <c r="P194" s="31" t="s">
        <v>5366</v>
      </c>
      <c r="Q194" s="31" t="s">
        <v>5367</v>
      </c>
      <c r="R194" s="31" t="s">
        <v>5368</v>
      </c>
      <c r="S194" s="31" t="s">
        <v>5369</v>
      </c>
      <c r="T194" s="31" t="s">
        <v>5370</v>
      </c>
      <c r="U194" s="31" t="s">
        <v>14</v>
      </c>
      <c r="V194" s="31" t="s">
        <v>2078</v>
      </c>
      <c r="W194" s="31" t="s">
        <v>2227</v>
      </c>
      <c r="X194" s="31"/>
      <c r="Y194" s="31"/>
      <c r="Z194" s="31" t="s">
        <v>13</v>
      </c>
      <c r="AA194" s="31" t="s">
        <v>13</v>
      </c>
      <c r="AB194" s="31" t="s">
        <v>2230</v>
      </c>
      <c r="AC194" s="31"/>
    </row>
    <row r="195" spans="1:29">
      <c r="A195" s="30" t="s">
        <v>6288</v>
      </c>
      <c r="B195" s="30" t="s">
        <v>15</v>
      </c>
      <c r="C195" s="30" t="s">
        <v>12</v>
      </c>
      <c r="D195" s="31" t="s">
        <v>6283</v>
      </c>
      <c r="E195" s="31" t="s">
        <v>5357</v>
      </c>
      <c r="F195" s="31" t="s">
        <v>6289</v>
      </c>
      <c r="G195" s="31" t="s">
        <v>6290</v>
      </c>
      <c r="H195" s="31" t="s">
        <v>6291</v>
      </c>
      <c r="I195" s="31" t="s">
        <v>6292</v>
      </c>
      <c r="J195" s="31"/>
      <c r="K195" s="31" t="s">
        <v>5634</v>
      </c>
      <c r="L195" s="31" t="s">
        <v>438</v>
      </c>
      <c r="M195" s="31" t="s">
        <v>438</v>
      </c>
      <c r="N195" s="31" t="s">
        <v>5364</v>
      </c>
      <c r="O195" s="31" t="s">
        <v>5365</v>
      </c>
      <c r="P195" s="31" t="s">
        <v>5366</v>
      </c>
      <c r="Q195" s="31" t="s">
        <v>5367</v>
      </c>
      <c r="R195" s="31" t="s">
        <v>5368</v>
      </c>
      <c r="S195" s="31" t="s">
        <v>5369</v>
      </c>
      <c r="T195" s="31" t="s">
        <v>5370</v>
      </c>
      <c r="U195" s="31" t="s">
        <v>14</v>
      </c>
      <c r="V195" s="31" t="s">
        <v>2078</v>
      </c>
      <c r="W195" s="31"/>
      <c r="X195" s="31"/>
      <c r="Y195" s="31"/>
      <c r="Z195" s="31" t="s">
        <v>13</v>
      </c>
      <c r="AA195" s="31" t="s">
        <v>13</v>
      </c>
      <c r="AB195" s="31" t="s">
        <v>2085</v>
      </c>
      <c r="AC195" s="31"/>
    </row>
    <row r="196" spans="1:29" ht="45">
      <c r="A196" s="30" t="s">
        <v>6293</v>
      </c>
      <c r="B196" s="30" t="s">
        <v>15</v>
      </c>
      <c r="C196" s="30" t="s">
        <v>6294</v>
      </c>
      <c r="D196" s="31" t="s">
        <v>4120</v>
      </c>
      <c r="E196" s="31" t="s">
        <v>5525</v>
      </c>
      <c r="F196" s="31" t="s">
        <v>6295</v>
      </c>
      <c r="G196" s="31" t="s">
        <v>6296</v>
      </c>
      <c r="H196" s="31" t="s">
        <v>6297</v>
      </c>
      <c r="I196" s="31" t="s">
        <v>6298</v>
      </c>
      <c r="J196" s="31"/>
      <c r="K196" s="31" t="s">
        <v>5634</v>
      </c>
      <c r="L196" s="31" t="s">
        <v>438</v>
      </c>
      <c r="M196" s="31" t="s">
        <v>5383</v>
      </c>
      <c r="N196" s="31" t="s">
        <v>5364</v>
      </c>
      <c r="O196" s="31" t="s">
        <v>5365</v>
      </c>
      <c r="P196" s="31" t="s">
        <v>5366</v>
      </c>
      <c r="Q196" s="31" t="s">
        <v>5367</v>
      </c>
      <c r="R196" s="31" t="s">
        <v>5368</v>
      </c>
      <c r="S196" s="31" t="s">
        <v>5369</v>
      </c>
      <c r="T196" s="31" t="s">
        <v>5370</v>
      </c>
      <c r="U196" s="31" t="s">
        <v>32</v>
      </c>
      <c r="V196" s="31" t="s">
        <v>2254</v>
      </c>
      <c r="W196" s="31" t="s">
        <v>3016</v>
      </c>
      <c r="X196" s="31"/>
      <c r="Y196" s="31"/>
      <c r="Z196" s="31" t="s">
        <v>33</v>
      </c>
      <c r="AA196" s="31" t="s">
        <v>2260</v>
      </c>
      <c r="AB196" s="31" t="s">
        <v>2320</v>
      </c>
      <c r="AC196" s="31"/>
    </row>
    <row r="197" spans="1:29" ht="30">
      <c r="A197" s="30" t="s">
        <v>6299</v>
      </c>
      <c r="B197" s="30" t="s">
        <v>15</v>
      </c>
      <c r="C197" s="30" t="s">
        <v>6294</v>
      </c>
      <c r="D197" s="31" t="s">
        <v>4120</v>
      </c>
      <c r="E197" s="31" t="s">
        <v>5525</v>
      </c>
      <c r="F197" s="31" t="s">
        <v>6300</v>
      </c>
      <c r="G197" s="31" t="s">
        <v>5959</v>
      </c>
      <c r="H197" s="31" t="s">
        <v>6301</v>
      </c>
      <c r="I197" s="31" t="s">
        <v>6302</v>
      </c>
      <c r="J197" s="31"/>
      <c r="K197" s="31" t="s">
        <v>5634</v>
      </c>
      <c r="L197" s="31" t="s">
        <v>457</v>
      </c>
      <c r="M197" s="31" t="s">
        <v>5405</v>
      </c>
      <c r="N197" s="31" t="s">
        <v>5364</v>
      </c>
      <c r="O197" s="31" t="s">
        <v>5365</v>
      </c>
      <c r="P197" s="31" t="s">
        <v>5366</v>
      </c>
      <c r="Q197" s="31" t="s">
        <v>5367</v>
      </c>
      <c r="R197" s="31" t="s">
        <v>5368</v>
      </c>
      <c r="S197" s="31" t="s">
        <v>5369</v>
      </c>
      <c r="T197" s="31" t="s">
        <v>5370</v>
      </c>
      <c r="U197" s="31" t="s">
        <v>1937</v>
      </c>
      <c r="V197" s="31" t="s">
        <v>2078</v>
      </c>
      <c r="W197" s="31"/>
      <c r="X197" s="31"/>
      <c r="Y197" s="31"/>
      <c r="Z197" s="31"/>
      <c r="AA197" s="31" t="s">
        <v>13</v>
      </c>
      <c r="AB197" s="31" t="s">
        <v>2085</v>
      </c>
      <c r="AC197" s="31"/>
    </row>
    <row r="198" spans="1:29" ht="30">
      <c r="A198" s="30" t="s">
        <v>6303</v>
      </c>
      <c r="B198" s="30" t="s">
        <v>15</v>
      </c>
      <c r="C198" s="30" t="s">
        <v>6163</v>
      </c>
      <c r="D198" s="31" t="s">
        <v>6304</v>
      </c>
      <c r="E198" s="31" t="s">
        <v>5659</v>
      </c>
      <c r="F198" s="31" t="s">
        <v>6305</v>
      </c>
      <c r="G198" s="31" t="s">
        <v>6306</v>
      </c>
      <c r="H198" s="31" t="s">
        <v>6307</v>
      </c>
      <c r="I198" s="31" t="s">
        <v>6308</v>
      </c>
      <c r="J198" s="31"/>
      <c r="K198" s="31" t="s">
        <v>5634</v>
      </c>
      <c r="L198" s="31" t="s">
        <v>457</v>
      </c>
      <c r="M198" s="31" t="s">
        <v>5405</v>
      </c>
      <c r="N198" s="31" t="s">
        <v>5364</v>
      </c>
      <c r="O198" s="31" t="s">
        <v>5365</v>
      </c>
      <c r="P198" s="31" t="s">
        <v>5366</v>
      </c>
      <c r="Q198" s="31" t="s">
        <v>5367</v>
      </c>
      <c r="R198" s="31" t="s">
        <v>5368</v>
      </c>
      <c r="S198" s="31" t="s">
        <v>5369</v>
      </c>
      <c r="T198" s="31" t="s">
        <v>5370</v>
      </c>
      <c r="U198" s="31" t="s">
        <v>1979</v>
      </c>
      <c r="V198" s="31"/>
      <c r="W198" s="31"/>
      <c r="X198" s="31"/>
      <c r="Y198" s="31"/>
      <c r="Z198" s="31"/>
      <c r="AA198" s="31"/>
      <c r="AB198" s="31"/>
      <c r="AC198" s="31"/>
    </row>
    <row r="199" spans="1:29" ht="30">
      <c r="A199" s="30" t="s">
        <v>6309</v>
      </c>
      <c r="B199" s="30" t="s">
        <v>15</v>
      </c>
      <c r="C199" s="30" t="s">
        <v>6163</v>
      </c>
      <c r="D199" s="31" t="s">
        <v>6310</v>
      </c>
      <c r="E199" s="31" t="s">
        <v>5659</v>
      </c>
      <c r="F199" s="31" t="s">
        <v>6311</v>
      </c>
      <c r="G199" s="31" t="s">
        <v>6312</v>
      </c>
      <c r="H199" s="31" t="s">
        <v>6313</v>
      </c>
      <c r="I199" s="31" t="s">
        <v>6314</v>
      </c>
      <c r="J199" s="31"/>
      <c r="K199" s="31" t="s">
        <v>5634</v>
      </c>
      <c r="L199" s="31" t="s">
        <v>496</v>
      </c>
      <c r="M199" s="31" t="s">
        <v>5391</v>
      </c>
      <c r="N199" s="31" t="s">
        <v>5364</v>
      </c>
      <c r="O199" s="31" t="s">
        <v>5365</v>
      </c>
      <c r="P199" s="31" t="s">
        <v>5366</v>
      </c>
      <c r="Q199" s="31" t="s">
        <v>5367</v>
      </c>
      <c r="R199" s="31" t="s">
        <v>5368</v>
      </c>
      <c r="S199" s="31" t="s">
        <v>5369</v>
      </c>
      <c r="T199" s="31" t="s">
        <v>5370</v>
      </c>
      <c r="U199" s="31" t="s">
        <v>47</v>
      </c>
      <c r="V199" s="31" t="s">
        <v>2315</v>
      </c>
      <c r="W199" s="31" t="s">
        <v>2332</v>
      </c>
      <c r="X199" s="31"/>
      <c r="Y199" s="31"/>
      <c r="Z199" s="31" t="s">
        <v>48</v>
      </c>
      <c r="AA199" s="31" t="s">
        <v>2319</v>
      </c>
      <c r="AB199" s="31" t="s">
        <v>2335</v>
      </c>
      <c r="AC199" s="31"/>
    </row>
    <row r="200" spans="1:29">
      <c r="A200" s="30" t="s">
        <v>6315</v>
      </c>
      <c r="B200" s="30" t="s">
        <v>15</v>
      </c>
      <c r="C200" s="30" t="s">
        <v>5536</v>
      </c>
      <c r="D200" s="31" t="s">
        <v>6316</v>
      </c>
      <c r="E200" s="31" t="s">
        <v>5537</v>
      </c>
      <c r="F200" s="31" t="s">
        <v>6317</v>
      </c>
      <c r="G200" s="31" t="s">
        <v>6318</v>
      </c>
      <c r="H200" s="31" t="s">
        <v>6319</v>
      </c>
      <c r="I200" s="31" t="s">
        <v>6320</v>
      </c>
      <c r="J200" s="31"/>
      <c r="K200" s="31" t="s">
        <v>5634</v>
      </c>
      <c r="L200" s="31" t="s">
        <v>457</v>
      </c>
      <c r="M200" s="31" t="s">
        <v>5405</v>
      </c>
      <c r="N200" s="31" t="s">
        <v>5364</v>
      </c>
      <c r="O200" s="31" t="s">
        <v>5365</v>
      </c>
      <c r="P200" s="31" t="s">
        <v>5366</v>
      </c>
      <c r="Q200" s="31" t="s">
        <v>5367</v>
      </c>
      <c r="R200" s="31" t="s">
        <v>5368</v>
      </c>
      <c r="S200" s="31" t="s">
        <v>5369</v>
      </c>
      <c r="T200" s="31" t="s">
        <v>5370</v>
      </c>
      <c r="U200" s="31" t="s">
        <v>24</v>
      </c>
      <c r="V200" s="31" t="s">
        <v>2161</v>
      </c>
      <c r="W200" s="31"/>
      <c r="X200" s="31"/>
      <c r="Y200" s="31"/>
      <c r="Z200" s="31" t="s">
        <v>22</v>
      </c>
      <c r="AA200" s="31" t="s">
        <v>2165</v>
      </c>
      <c r="AB200" s="31" t="s">
        <v>2166</v>
      </c>
      <c r="AC200" s="31"/>
    </row>
    <row r="201" spans="1:29" ht="30">
      <c r="A201" s="30" t="s">
        <v>6321</v>
      </c>
      <c r="B201" s="30" t="s">
        <v>15</v>
      </c>
      <c r="C201" s="30" t="s">
        <v>5536</v>
      </c>
      <c r="D201" s="31" t="s">
        <v>6322</v>
      </c>
      <c r="E201" s="31" t="s">
        <v>5537</v>
      </c>
      <c r="F201" s="31" t="s">
        <v>6323</v>
      </c>
      <c r="G201" s="31" t="s">
        <v>6324</v>
      </c>
      <c r="H201" s="31" t="s">
        <v>5540</v>
      </c>
      <c r="I201" s="31" t="s">
        <v>6325</v>
      </c>
      <c r="J201" s="31"/>
      <c r="K201" s="31" t="s">
        <v>5634</v>
      </c>
      <c r="L201" s="31" t="s">
        <v>457</v>
      </c>
      <c r="M201" s="31" t="s">
        <v>5405</v>
      </c>
      <c r="N201" s="31" t="s">
        <v>5364</v>
      </c>
      <c r="O201" s="31" t="s">
        <v>5365</v>
      </c>
      <c r="P201" s="31" t="s">
        <v>5366</v>
      </c>
      <c r="Q201" s="31" t="s">
        <v>5367</v>
      </c>
      <c r="R201" s="31" t="s">
        <v>5368</v>
      </c>
      <c r="S201" s="31" t="s">
        <v>5369</v>
      </c>
      <c r="T201" s="31" t="s">
        <v>5370</v>
      </c>
      <c r="U201" s="31" t="s">
        <v>32</v>
      </c>
      <c r="V201" s="31" t="s">
        <v>2254</v>
      </c>
      <c r="W201" s="31" t="s">
        <v>3016</v>
      </c>
      <c r="X201" s="31"/>
      <c r="Y201" s="31"/>
      <c r="Z201" s="31" t="s">
        <v>33</v>
      </c>
      <c r="AA201" s="31" t="s">
        <v>2260</v>
      </c>
      <c r="AB201" s="31" t="s">
        <v>2320</v>
      </c>
      <c r="AC201" s="31"/>
    </row>
    <row r="202" spans="1:29">
      <c r="A202" s="30" t="s">
        <v>6326</v>
      </c>
      <c r="B202" s="30" t="s">
        <v>15</v>
      </c>
      <c r="C202" s="30" t="s">
        <v>145</v>
      </c>
      <c r="D202" s="31" t="s">
        <v>5489</v>
      </c>
      <c r="E202" s="31" t="s">
        <v>5357</v>
      </c>
      <c r="F202" s="31" t="s">
        <v>6327</v>
      </c>
      <c r="G202" s="31" t="s">
        <v>6328</v>
      </c>
      <c r="H202" s="31" t="s">
        <v>6329</v>
      </c>
      <c r="I202" s="31" t="s">
        <v>6330</v>
      </c>
      <c r="K202" s="31" t="s">
        <v>5634</v>
      </c>
      <c r="L202" s="31" t="s">
        <v>457</v>
      </c>
      <c r="M202" s="31" t="s">
        <v>5405</v>
      </c>
      <c r="T202" s="31" t="s">
        <v>5370</v>
      </c>
      <c r="U202" s="31" t="s">
        <v>52</v>
      </c>
      <c r="V202" s="31" t="s">
        <v>2348</v>
      </c>
      <c r="W202" s="31" t="s">
        <v>2316</v>
      </c>
      <c r="AA202" s="31" t="s">
        <v>2351</v>
      </c>
    </row>
    <row r="203" spans="1:29">
      <c r="A203" s="30" t="s">
        <v>6331</v>
      </c>
      <c r="B203" s="30" t="s">
        <v>15</v>
      </c>
      <c r="C203" s="30" t="s">
        <v>145</v>
      </c>
      <c r="D203" s="31" t="s">
        <v>5489</v>
      </c>
      <c r="E203" s="31" t="s">
        <v>5357</v>
      </c>
      <c r="F203" s="31" t="s">
        <v>6332</v>
      </c>
      <c r="G203" s="31" t="s">
        <v>5827</v>
      </c>
      <c r="H203" s="31" t="s">
        <v>6333</v>
      </c>
      <c r="I203" s="31" t="s">
        <v>6334</v>
      </c>
      <c r="K203" s="31" t="s">
        <v>5634</v>
      </c>
      <c r="L203" s="31" t="s">
        <v>457</v>
      </c>
      <c r="M203" s="31" t="s">
        <v>5405</v>
      </c>
      <c r="T203" s="31" t="s">
        <v>5370</v>
      </c>
      <c r="U203" s="31" t="s">
        <v>52</v>
      </c>
      <c r="V203" s="31" t="s">
        <v>2348</v>
      </c>
      <c r="W203" s="31" t="s">
        <v>2316</v>
      </c>
      <c r="AA203" s="31" t="s">
        <v>2351</v>
      </c>
    </row>
    <row r="204" spans="1:29">
      <c r="A204" s="30" t="s">
        <v>6335</v>
      </c>
      <c r="B204" s="30" t="s">
        <v>15</v>
      </c>
      <c r="C204" s="30" t="s">
        <v>145</v>
      </c>
      <c r="D204" s="31" t="s">
        <v>5831</v>
      </c>
      <c r="E204" s="31" t="s">
        <v>5357</v>
      </c>
      <c r="F204" s="31" t="s">
        <v>6336</v>
      </c>
      <c r="G204" s="31" t="s">
        <v>5832</v>
      </c>
      <c r="H204" s="31" t="s">
        <v>6337</v>
      </c>
      <c r="I204" s="31" t="s">
        <v>6338</v>
      </c>
      <c r="K204" s="31" t="s">
        <v>5634</v>
      </c>
      <c r="L204" s="31" t="s">
        <v>457</v>
      </c>
      <c r="M204" s="31" t="s">
        <v>5405</v>
      </c>
      <c r="T204" s="31" t="s">
        <v>5370</v>
      </c>
      <c r="U204" s="31" t="s">
        <v>52</v>
      </c>
      <c r="V204" s="31" t="s">
        <v>2348</v>
      </c>
      <c r="W204" s="31" t="s">
        <v>2316</v>
      </c>
      <c r="AA204" s="31" t="s">
        <v>2351</v>
      </c>
    </row>
    <row r="205" spans="1:29">
      <c r="A205" s="30" t="s">
        <v>6339</v>
      </c>
      <c r="B205" s="30" t="s">
        <v>15</v>
      </c>
      <c r="C205" s="30" t="s">
        <v>100</v>
      </c>
      <c r="D205" s="31" t="s">
        <v>6340</v>
      </c>
      <c r="E205" s="31" t="s">
        <v>5357</v>
      </c>
      <c r="F205" s="31" t="s">
        <v>6341</v>
      </c>
      <c r="G205" s="31" t="s">
        <v>6342</v>
      </c>
      <c r="H205" s="31" t="s">
        <v>6343</v>
      </c>
      <c r="I205" s="31" t="s">
        <v>6344</v>
      </c>
      <c r="K205" s="31" t="s">
        <v>5634</v>
      </c>
      <c r="L205" s="31" t="s">
        <v>457</v>
      </c>
      <c r="M205" s="31" t="s">
        <v>5405</v>
      </c>
      <c r="T205" s="31" t="s">
        <v>5370</v>
      </c>
      <c r="U205" s="31" t="s">
        <v>219</v>
      </c>
      <c r="V205" s="31" t="s">
        <v>3536</v>
      </c>
      <c r="W205" s="31"/>
      <c r="AA205" s="31" t="s">
        <v>3537</v>
      </c>
    </row>
    <row r="206" spans="1:29">
      <c r="A206" s="30" t="s">
        <v>6345</v>
      </c>
      <c r="B206" s="30" t="s">
        <v>15</v>
      </c>
      <c r="C206" s="30" t="s">
        <v>100</v>
      </c>
      <c r="D206" s="31" t="s">
        <v>6340</v>
      </c>
      <c r="E206" s="31" t="s">
        <v>5357</v>
      </c>
      <c r="F206" s="31" t="s">
        <v>6346</v>
      </c>
      <c r="G206" s="31" t="s">
        <v>6347</v>
      </c>
      <c r="H206" s="31" t="s">
        <v>6348</v>
      </c>
      <c r="I206" s="31" t="s">
        <v>6349</v>
      </c>
      <c r="K206" s="31" t="s">
        <v>5634</v>
      </c>
      <c r="L206" s="31" t="s">
        <v>457</v>
      </c>
      <c r="M206" s="31" t="s">
        <v>5405</v>
      </c>
      <c r="T206" s="31" t="s">
        <v>5370</v>
      </c>
      <c r="U206" s="31" t="s">
        <v>219</v>
      </c>
      <c r="V206" s="31" t="s">
        <v>3536</v>
      </c>
      <c r="W206" s="31"/>
      <c r="AA206" s="31" t="s">
        <v>3537</v>
      </c>
    </row>
    <row r="207" spans="1:29" ht="30">
      <c r="A207" s="30" t="s">
        <v>6350</v>
      </c>
      <c r="B207" s="30" t="s">
        <v>15</v>
      </c>
      <c r="C207" s="30" t="s">
        <v>30</v>
      </c>
      <c r="D207" s="31" t="s">
        <v>6351</v>
      </c>
      <c r="E207" s="31" t="s">
        <v>5357</v>
      </c>
      <c r="F207" s="31" t="s">
        <v>6352</v>
      </c>
      <c r="G207" s="31" t="s">
        <v>6353</v>
      </c>
      <c r="H207" s="31" t="s">
        <v>6354</v>
      </c>
      <c r="I207" s="31" t="s">
        <v>6355</v>
      </c>
      <c r="K207" s="31" t="s">
        <v>5634</v>
      </c>
      <c r="L207" s="31" t="s">
        <v>457</v>
      </c>
      <c r="M207" s="31" t="s">
        <v>5405</v>
      </c>
      <c r="T207" s="31" t="s">
        <v>5370</v>
      </c>
      <c r="U207" s="31" t="s">
        <v>225</v>
      </c>
      <c r="V207" s="31" t="s">
        <v>3545</v>
      </c>
      <c r="W207" s="31"/>
      <c r="AA207" s="31" t="s">
        <v>3546</v>
      </c>
    </row>
    <row r="208" spans="1:29" ht="30">
      <c r="A208" s="30" t="s">
        <v>6356</v>
      </c>
      <c r="B208" s="30" t="s">
        <v>15</v>
      </c>
      <c r="C208" s="30" t="s">
        <v>30</v>
      </c>
      <c r="D208" s="31" t="s">
        <v>6351</v>
      </c>
      <c r="E208" s="31" t="s">
        <v>5357</v>
      </c>
      <c r="F208" s="31" t="s">
        <v>6357</v>
      </c>
      <c r="G208" s="31" t="s">
        <v>6358</v>
      </c>
      <c r="H208" s="31" t="s">
        <v>6359</v>
      </c>
      <c r="I208" s="31" t="s">
        <v>6360</v>
      </c>
      <c r="K208" s="31" t="s">
        <v>5634</v>
      </c>
      <c r="L208" s="31" t="s">
        <v>457</v>
      </c>
      <c r="M208" s="31" t="s">
        <v>5405</v>
      </c>
      <c r="T208" s="31" t="s">
        <v>5370</v>
      </c>
      <c r="U208" s="31" t="s">
        <v>225</v>
      </c>
      <c r="V208" s="31" t="s">
        <v>3545</v>
      </c>
      <c r="W208" s="31"/>
      <c r="AA208" s="31" t="s">
        <v>3546</v>
      </c>
    </row>
    <row r="209" spans="1:27">
      <c r="A209" s="30" t="s">
        <v>6361</v>
      </c>
      <c r="B209" s="30" t="s">
        <v>15</v>
      </c>
      <c r="C209" s="30" t="s">
        <v>30</v>
      </c>
      <c r="D209" s="31" t="s">
        <v>6362</v>
      </c>
      <c r="E209" s="31" t="s">
        <v>5357</v>
      </c>
      <c r="F209" s="31" t="s">
        <v>6363</v>
      </c>
      <c r="G209" s="31" t="s">
        <v>6364</v>
      </c>
      <c r="H209" s="31" t="s">
        <v>6365</v>
      </c>
      <c r="I209" s="31" t="s">
        <v>6366</v>
      </c>
      <c r="K209" s="31" t="s">
        <v>5634</v>
      </c>
      <c r="L209" s="31" t="s">
        <v>457</v>
      </c>
      <c r="M209" s="31" t="s">
        <v>5405</v>
      </c>
      <c r="T209" s="31" t="s">
        <v>5370</v>
      </c>
      <c r="U209" s="31" t="s">
        <v>225</v>
      </c>
      <c r="V209" s="31" t="s">
        <v>3554</v>
      </c>
      <c r="W209" s="31"/>
      <c r="AA209" s="31" t="s">
        <v>3555</v>
      </c>
    </row>
    <row r="210" spans="1:27">
      <c r="A210" s="30" t="s">
        <v>6367</v>
      </c>
      <c r="B210" s="30" t="s">
        <v>15</v>
      </c>
      <c r="C210" s="30" t="s">
        <v>182</v>
      </c>
      <c r="D210" s="31" t="s">
        <v>6368</v>
      </c>
      <c r="E210" s="31" t="s">
        <v>5357</v>
      </c>
      <c r="F210" s="31" t="s">
        <v>6369</v>
      </c>
      <c r="G210" s="31" t="s">
        <v>5851</v>
      </c>
      <c r="H210" s="31" t="s">
        <v>6370</v>
      </c>
      <c r="I210" s="31" t="s">
        <v>6371</v>
      </c>
      <c r="K210" s="31" t="s">
        <v>5634</v>
      </c>
      <c r="L210" s="31" t="s">
        <v>457</v>
      </c>
      <c r="M210" s="31" t="s">
        <v>5405</v>
      </c>
      <c r="T210" s="31" t="s">
        <v>5370</v>
      </c>
      <c r="U210" s="31" t="s">
        <v>244</v>
      </c>
      <c r="V210" s="31" t="s">
        <v>3595</v>
      </c>
      <c r="W210" s="31"/>
      <c r="AA210" s="31" t="s">
        <v>3596</v>
      </c>
    </row>
    <row r="211" spans="1:27">
      <c r="A211" s="30" t="s">
        <v>6372</v>
      </c>
      <c r="B211" s="30" t="s">
        <v>15</v>
      </c>
      <c r="C211" s="30" t="s">
        <v>182</v>
      </c>
      <c r="D211" s="31" t="s">
        <v>6368</v>
      </c>
      <c r="E211" s="31" t="s">
        <v>5357</v>
      </c>
      <c r="F211" s="31" t="s">
        <v>6373</v>
      </c>
      <c r="G211" s="31" t="s">
        <v>6374</v>
      </c>
      <c r="H211" s="31" t="s">
        <v>6375</v>
      </c>
      <c r="I211" s="31" t="s">
        <v>6376</v>
      </c>
      <c r="K211" s="31" t="s">
        <v>5634</v>
      </c>
      <c r="L211" s="31" t="s">
        <v>457</v>
      </c>
      <c r="M211" s="31" t="s">
        <v>5405</v>
      </c>
      <c r="T211" s="31" t="s">
        <v>5370</v>
      </c>
      <c r="U211" s="31" t="s">
        <v>244</v>
      </c>
      <c r="V211" s="31" t="s">
        <v>3595</v>
      </c>
      <c r="W211" s="31"/>
      <c r="AA211" s="31" t="s">
        <v>3596</v>
      </c>
    </row>
    <row r="212" spans="1:27" ht="30">
      <c r="A212" s="30" t="s">
        <v>6377</v>
      </c>
      <c r="B212" s="30" t="s">
        <v>15</v>
      </c>
      <c r="C212" s="30" t="s">
        <v>30</v>
      </c>
      <c r="D212" s="31" t="s">
        <v>378</v>
      </c>
      <c r="E212" s="31" t="s">
        <v>5357</v>
      </c>
      <c r="F212" s="31" t="s">
        <v>6378</v>
      </c>
      <c r="G212" s="31" t="s">
        <v>6379</v>
      </c>
      <c r="H212" s="31" t="s">
        <v>6380</v>
      </c>
      <c r="I212" s="31" t="s">
        <v>6381</v>
      </c>
      <c r="K212" s="31" t="s">
        <v>5634</v>
      </c>
      <c r="L212" s="31" t="s">
        <v>457</v>
      </c>
      <c r="M212" s="31" t="s">
        <v>5405</v>
      </c>
      <c r="T212" s="31" t="s">
        <v>5370</v>
      </c>
      <c r="U212" s="31" t="s">
        <v>250</v>
      </c>
      <c r="V212" s="31" t="s">
        <v>3605</v>
      </c>
      <c r="W212" s="31"/>
      <c r="AA212" s="31" t="s">
        <v>3606</v>
      </c>
    </row>
    <row r="213" spans="1:27" ht="30">
      <c r="A213" s="30" t="s">
        <v>6382</v>
      </c>
      <c r="B213" s="30" t="s">
        <v>15</v>
      </c>
      <c r="C213" s="30" t="s">
        <v>30</v>
      </c>
      <c r="D213" s="31" t="s">
        <v>378</v>
      </c>
      <c r="E213" s="31" t="s">
        <v>5357</v>
      </c>
      <c r="F213" s="31" t="s">
        <v>6383</v>
      </c>
      <c r="G213" s="31" t="s">
        <v>6384</v>
      </c>
      <c r="H213" s="31" t="s">
        <v>6385</v>
      </c>
      <c r="I213" s="31" t="s">
        <v>6386</v>
      </c>
      <c r="K213" s="31" t="s">
        <v>5634</v>
      </c>
      <c r="L213" s="31" t="s">
        <v>457</v>
      </c>
      <c r="M213" s="31" t="s">
        <v>5405</v>
      </c>
      <c r="T213" s="31" t="s">
        <v>5370</v>
      </c>
      <c r="U213" s="31" t="s">
        <v>250</v>
      </c>
      <c r="V213" s="31" t="s">
        <v>3605</v>
      </c>
      <c r="W213" s="31"/>
      <c r="AA213" s="31" t="s">
        <v>3606</v>
      </c>
    </row>
    <row r="214" spans="1:27" ht="30">
      <c r="A214" s="30" t="s">
        <v>6387</v>
      </c>
      <c r="B214" s="30" t="s">
        <v>15</v>
      </c>
      <c r="C214" s="30" t="s">
        <v>3094</v>
      </c>
      <c r="D214" s="31" t="s">
        <v>6388</v>
      </c>
      <c r="E214" s="31" t="s">
        <v>5357</v>
      </c>
      <c r="F214" s="31" t="s">
        <v>6389</v>
      </c>
      <c r="G214" s="31" t="s">
        <v>5409</v>
      </c>
      <c r="H214" s="31" t="s">
        <v>6390</v>
      </c>
      <c r="I214" s="31" t="s">
        <v>6391</v>
      </c>
      <c r="K214" s="31" t="s">
        <v>5634</v>
      </c>
      <c r="L214" s="31" t="s">
        <v>457</v>
      </c>
      <c r="M214" s="31" t="s">
        <v>5405</v>
      </c>
      <c r="T214" s="31" t="s">
        <v>5370</v>
      </c>
      <c r="U214" s="31" t="s">
        <v>256</v>
      </c>
      <c r="V214" s="31" t="s">
        <v>3616</v>
      </c>
      <c r="W214" s="31"/>
      <c r="AA214" s="31" t="s">
        <v>3617</v>
      </c>
    </row>
    <row r="215" spans="1:27" ht="30">
      <c r="A215" s="30" t="s">
        <v>6392</v>
      </c>
      <c r="B215" s="30" t="s">
        <v>15</v>
      </c>
      <c r="C215" s="30" t="s">
        <v>3094</v>
      </c>
      <c r="D215" s="31" t="s">
        <v>6388</v>
      </c>
      <c r="E215" s="31" t="s">
        <v>5357</v>
      </c>
      <c r="F215" s="31" t="s">
        <v>6393</v>
      </c>
      <c r="G215" s="31" t="s">
        <v>5446</v>
      </c>
      <c r="H215" s="31" t="s">
        <v>6394</v>
      </c>
      <c r="I215" s="31" t="s">
        <v>6395</v>
      </c>
      <c r="K215" s="31" t="s">
        <v>5634</v>
      </c>
      <c r="L215" s="31" t="s">
        <v>457</v>
      </c>
      <c r="M215" s="31" t="s">
        <v>5405</v>
      </c>
      <c r="T215" s="31" t="s">
        <v>5370</v>
      </c>
      <c r="U215" s="31" t="s">
        <v>256</v>
      </c>
      <c r="V215" s="31" t="s">
        <v>3616</v>
      </c>
      <c r="W215" s="31"/>
      <c r="AA215" s="31" t="s">
        <v>3617</v>
      </c>
    </row>
    <row r="216" spans="1:27" ht="30">
      <c r="A216" s="30" t="s">
        <v>6396</v>
      </c>
      <c r="B216" s="30" t="s">
        <v>15</v>
      </c>
      <c r="C216" s="30" t="s">
        <v>3094</v>
      </c>
      <c r="D216" s="31" t="s">
        <v>6397</v>
      </c>
      <c r="E216" s="31" t="s">
        <v>5357</v>
      </c>
      <c r="F216" s="31" t="s">
        <v>6398</v>
      </c>
      <c r="G216" s="31" t="s">
        <v>6399</v>
      </c>
      <c r="H216" s="31" t="s">
        <v>6400</v>
      </c>
      <c r="I216" s="31" t="s">
        <v>6401</v>
      </c>
      <c r="K216" s="31" t="s">
        <v>5634</v>
      </c>
      <c r="L216" s="31" t="s">
        <v>457</v>
      </c>
      <c r="M216" s="31" t="s">
        <v>5405</v>
      </c>
      <c r="T216" s="31" t="s">
        <v>5370</v>
      </c>
      <c r="U216" s="31" t="s">
        <v>268</v>
      </c>
      <c r="V216" s="31" t="s">
        <v>3637</v>
      </c>
      <c r="W216" s="31"/>
      <c r="AA216" s="31" t="s">
        <v>3638</v>
      </c>
    </row>
    <row r="217" spans="1:27" ht="30">
      <c r="A217" s="30" t="s">
        <v>6402</v>
      </c>
      <c r="B217" s="30" t="s">
        <v>15</v>
      </c>
      <c r="C217" s="30" t="s">
        <v>3094</v>
      </c>
      <c r="D217" s="31" t="s">
        <v>6397</v>
      </c>
      <c r="E217" s="31" t="s">
        <v>5357</v>
      </c>
      <c r="F217" s="31" t="s">
        <v>6403</v>
      </c>
      <c r="G217" s="31" t="s">
        <v>6404</v>
      </c>
      <c r="H217" s="31" t="s">
        <v>6405</v>
      </c>
      <c r="I217" s="31" t="s">
        <v>6406</v>
      </c>
      <c r="K217" s="31" t="s">
        <v>5634</v>
      </c>
      <c r="L217" s="31" t="s">
        <v>457</v>
      </c>
      <c r="M217" s="31" t="s">
        <v>5405</v>
      </c>
      <c r="T217" s="31" t="s">
        <v>5370</v>
      </c>
      <c r="U217" s="31" t="s">
        <v>268</v>
      </c>
      <c r="V217" s="31" t="s">
        <v>3637</v>
      </c>
      <c r="W217" s="31"/>
      <c r="AA217" s="31" t="s">
        <v>3638</v>
      </c>
    </row>
    <row r="218" spans="1:27">
      <c r="A218" s="30" t="s">
        <v>6407</v>
      </c>
      <c r="B218" s="30" t="s">
        <v>15</v>
      </c>
      <c r="C218" s="30" t="s">
        <v>30</v>
      </c>
      <c r="D218" s="31" t="s">
        <v>6408</v>
      </c>
      <c r="E218" s="31" t="s">
        <v>5357</v>
      </c>
      <c r="F218" s="31" t="s">
        <v>6409</v>
      </c>
      <c r="G218" s="31" t="s">
        <v>6410</v>
      </c>
      <c r="H218" s="31" t="s">
        <v>6411</v>
      </c>
      <c r="I218" s="31" t="s">
        <v>6412</v>
      </c>
      <c r="K218" s="31" t="s">
        <v>5634</v>
      </c>
      <c r="L218" s="31" t="s">
        <v>457</v>
      </c>
      <c r="M218" s="31" t="s">
        <v>5405</v>
      </c>
      <c r="T218" s="31" t="s">
        <v>5370</v>
      </c>
      <c r="U218" s="31" t="s">
        <v>95</v>
      </c>
      <c r="V218" s="31" t="s">
        <v>3647</v>
      </c>
      <c r="W218" s="31"/>
      <c r="AA218" s="31" t="s">
        <v>3648</v>
      </c>
    </row>
    <row r="219" spans="1:27">
      <c r="A219" s="30" t="s">
        <v>6413</v>
      </c>
      <c r="B219" s="30" t="s">
        <v>15</v>
      </c>
      <c r="C219" s="30" t="s">
        <v>30</v>
      </c>
      <c r="D219" s="31" t="s">
        <v>6408</v>
      </c>
      <c r="E219" s="31" t="s">
        <v>5357</v>
      </c>
      <c r="F219" s="31" t="s">
        <v>6414</v>
      </c>
      <c r="G219" s="31" t="s">
        <v>6415</v>
      </c>
      <c r="H219" s="31" t="s">
        <v>6416</v>
      </c>
      <c r="I219" s="31" t="s">
        <v>6417</v>
      </c>
      <c r="K219" s="31" t="s">
        <v>5634</v>
      </c>
      <c r="L219" s="31" t="s">
        <v>457</v>
      </c>
      <c r="M219" s="31" t="s">
        <v>5405</v>
      </c>
      <c r="T219" s="31" t="s">
        <v>5370</v>
      </c>
      <c r="U219" s="31" t="s">
        <v>95</v>
      </c>
      <c r="V219" s="31" t="s">
        <v>3647</v>
      </c>
      <c r="W219" s="31"/>
      <c r="AA219" s="31" t="s">
        <v>3648</v>
      </c>
    </row>
    <row r="220" spans="1:27">
      <c r="A220" s="30" t="s">
        <v>6418</v>
      </c>
      <c r="B220" s="30" t="s">
        <v>15</v>
      </c>
      <c r="C220" s="30" t="s">
        <v>6419</v>
      </c>
      <c r="D220" s="31" t="s">
        <v>163</v>
      </c>
      <c r="E220" s="31" t="s">
        <v>5357</v>
      </c>
      <c r="F220" s="31" t="s">
        <v>6420</v>
      </c>
      <c r="G220" s="31" t="s">
        <v>6421</v>
      </c>
      <c r="H220" s="31" t="s">
        <v>6422</v>
      </c>
      <c r="I220" s="31" t="s">
        <v>6423</v>
      </c>
      <c r="K220" s="31" t="s">
        <v>5634</v>
      </c>
      <c r="L220" s="31" t="s">
        <v>457</v>
      </c>
      <c r="M220" s="31" t="s">
        <v>5405</v>
      </c>
      <c r="T220" s="31" t="s">
        <v>5370</v>
      </c>
      <c r="U220" s="31" t="s">
        <v>102</v>
      </c>
      <c r="V220" s="31" t="s">
        <v>3656</v>
      </c>
      <c r="W220" s="31"/>
      <c r="AA220" s="31" t="s">
        <v>3657</v>
      </c>
    </row>
    <row r="221" spans="1:27">
      <c r="A221" s="30" t="s">
        <v>6424</v>
      </c>
      <c r="B221" s="30" t="s">
        <v>15</v>
      </c>
      <c r="C221" s="30" t="s">
        <v>6419</v>
      </c>
      <c r="D221" s="31" t="s">
        <v>163</v>
      </c>
      <c r="E221" s="31" t="s">
        <v>5357</v>
      </c>
      <c r="F221" s="31" t="s">
        <v>6425</v>
      </c>
      <c r="G221" s="31" t="s">
        <v>6426</v>
      </c>
      <c r="H221" s="31" t="s">
        <v>6427</v>
      </c>
      <c r="I221" s="31" t="s">
        <v>6428</v>
      </c>
      <c r="K221" s="31" t="s">
        <v>5634</v>
      </c>
      <c r="L221" s="31" t="s">
        <v>457</v>
      </c>
      <c r="M221" s="31" t="s">
        <v>5405</v>
      </c>
      <c r="T221" s="31" t="s">
        <v>5370</v>
      </c>
      <c r="U221" s="31" t="s">
        <v>102</v>
      </c>
      <c r="V221" s="31" t="s">
        <v>3656</v>
      </c>
      <c r="W221" s="31"/>
      <c r="AA221" s="31" t="s">
        <v>3657</v>
      </c>
    </row>
    <row r="222" spans="1:27">
      <c r="A222" s="30" t="s">
        <v>6429</v>
      </c>
      <c r="B222" s="30" t="s">
        <v>15</v>
      </c>
      <c r="C222" s="30" t="s">
        <v>6419</v>
      </c>
      <c r="D222" s="31" t="s">
        <v>163</v>
      </c>
      <c r="E222" s="31" t="s">
        <v>5357</v>
      </c>
      <c r="F222" s="31" t="s">
        <v>6430</v>
      </c>
      <c r="G222" s="31" t="s">
        <v>6431</v>
      </c>
      <c r="H222" s="31" t="s">
        <v>6432</v>
      </c>
      <c r="I222" s="31" t="s">
        <v>6430</v>
      </c>
      <c r="K222" s="31" t="s">
        <v>5634</v>
      </c>
      <c r="L222" s="31" t="s">
        <v>457</v>
      </c>
      <c r="M222" s="31" t="s">
        <v>5405</v>
      </c>
      <c r="T222" s="31" t="s">
        <v>5370</v>
      </c>
      <c r="U222" s="31" t="s">
        <v>102</v>
      </c>
      <c r="V222" s="31" t="s">
        <v>3656</v>
      </c>
      <c r="W222" s="31"/>
      <c r="AA222" s="31" t="s">
        <v>3657</v>
      </c>
    </row>
    <row r="223" spans="1:27" ht="30">
      <c r="A223" s="30" t="s">
        <v>6433</v>
      </c>
      <c r="B223" s="30" t="s">
        <v>15</v>
      </c>
      <c r="C223" s="30" t="s">
        <v>170</v>
      </c>
      <c r="D223" s="31" t="s">
        <v>432</v>
      </c>
      <c r="E223" s="31" t="s">
        <v>5357</v>
      </c>
      <c r="F223" s="31" t="s">
        <v>6434</v>
      </c>
      <c r="G223" s="31" t="s">
        <v>6435</v>
      </c>
      <c r="H223" s="31" t="s">
        <v>6436</v>
      </c>
      <c r="I223" s="31" t="s">
        <v>6437</v>
      </c>
      <c r="K223" s="31" t="s">
        <v>5634</v>
      </c>
      <c r="L223" s="31" t="s">
        <v>457</v>
      </c>
      <c r="M223" s="31" t="s">
        <v>5405</v>
      </c>
      <c r="T223" s="31" t="s">
        <v>5370</v>
      </c>
      <c r="U223" s="31" t="s">
        <v>74</v>
      </c>
      <c r="V223" s="31" t="s">
        <v>3663</v>
      </c>
      <c r="W223" s="31"/>
      <c r="AA223" s="31" t="s">
        <v>3664</v>
      </c>
    </row>
    <row r="224" spans="1:27" ht="30">
      <c r="A224" s="30" t="s">
        <v>6438</v>
      </c>
      <c r="B224" s="30" t="s">
        <v>15</v>
      </c>
      <c r="C224" s="30" t="s">
        <v>420</v>
      </c>
      <c r="D224" s="31" t="s">
        <v>6439</v>
      </c>
      <c r="E224" s="31" t="s">
        <v>5357</v>
      </c>
      <c r="F224" s="31" t="s">
        <v>6440</v>
      </c>
      <c r="G224" s="31" t="s">
        <v>5794</v>
      </c>
      <c r="H224" s="31" t="s">
        <v>6441</v>
      </c>
      <c r="I224" s="31" t="s">
        <v>6442</v>
      </c>
      <c r="K224" s="31" t="s">
        <v>5634</v>
      </c>
      <c r="L224" s="31" t="s">
        <v>457</v>
      </c>
      <c r="M224" s="31" t="s">
        <v>5405</v>
      </c>
      <c r="T224" s="31" t="s">
        <v>5370</v>
      </c>
      <c r="U224" s="31" t="s">
        <v>74</v>
      </c>
      <c r="V224" s="31" t="s">
        <v>3663</v>
      </c>
      <c r="W224" s="31"/>
      <c r="AA224" s="31" t="s">
        <v>3664</v>
      </c>
    </row>
    <row r="225" spans="1:29" ht="30">
      <c r="A225" s="30" t="s">
        <v>6443</v>
      </c>
      <c r="B225" s="30" t="s">
        <v>15</v>
      </c>
      <c r="C225" s="30" t="s">
        <v>6419</v>
      </c>
      <c r="D225" s="31" t="s">
        <v>6444</v>
      </c>
      <c r="E225" s="31" t="s">
        <v>5357</v>
      </c>
      <c r="F225" s="31" t="s">
        <v>6445</v>
      </c>
      <c r="G225" s="31" t="s">
        <v>6446</v>
      </c>
      <c r="H225" s="31" t="s">
        <v>6447</v>
      </c>
      <c r="I225" s="31" t="s">
        <v>6448</v>
      </c>
      <c r="K225" s="31" t="s">
        <v>5634</v>
      </c>
      <c r="L225" s="31" t="s">
        <v>457</v>
      </c>
      <c r="M225" s="31" t="s">
        <v>5405</v>
      </c>
      <c r="T225" s="31" t="s">
        <v>5370</v>
      </c>
      <c r="U225" s="31" t="s">
        <v>95</v>
      </c>
      <c r="V225" s="31" t="s">
        <v>3671</v>
      </c>
      <c r="W225" s="31"/>
      <c r="AA225" s="31" t="s">
        <v>3672</v>
      </c>
    </row>
    <row r="226" spans="1:29" ht="30">
      <c r="A226" s="30" t="s">
        <v>6449</v>
      </c>
      <c r="B226" s="30" t="s">
        <v>15</v>
      </c>
      <c r="C226" s="30" t="s">
        <v>6419</v>
      </c>
      <c r="D226" s="31" t="s">
        <v>6444</v>
      </c>
      <c r="E226" s="31" t="s">
        <v>5357</v>
      </c>
      <c r="F226" s="31" t="s">
        <v>6450</v>
      </c>
      <c r="G226" s="31" t="s">
        <v>6451</v>
      </c>
      <c r="H226" s="31" t="s">
        <v>6452</v>
      </c>
      <c r="I226" s="31" t="s">
        <v>6453</v>
      </c>
      <c r="K226" s="31" t="s">
        <v>5634</v>
      </c>
      <c r="L226" s="31" t="s">
        <v>457</v>
      </c>
      <c r="M226" s="31" t="s">
        <v>5405</v>
      </c>
      <c r="T226" s="31" t="s">
        <v>5370</v>
      </c>
      <c r="U226" s="31" t="s">
        <v>95</v>
      </c>
      <c r="V226" s="31" t="s">
        <v>3671</v>
      </c>
      <c r="W226" s="31"/>
      <c r="AA226" s="31" t="s">
        <v>3672</v>
      </c>
    </row>
    <row r="227" spans="1:29" ht="30">
      <c r="A227" s="30" t="s">
        <v>6454</v>
      </c>
      <c r="B227" s="30" t="s">
        <v>15</v>
      </c>
      <c r="C227" s="30" t="s">
        <v>6419</v>
      </c>
      <c r="D227" s="31" t="s">
        <v>6444</v>
      </c>
      <c r="E227" s="31" t="s">
        <v>5357</v>
      </c>
      <c r="F227" s="31" t="s">
        <v>6455</v>
      </c>
      <c r="G227" s="31" t="s">
        <v>6456</v>
      </c>
      <c r="H227" s="31" t="s">
        <v>6457</v>
      </c>
      <c r="I227" s="31" t="s">
        <v>6458</v>
      </c>
      <c r="K227" s="31" t="s">
        <v>5634</v>
      </c>
      <c r="L227" s="31" t="s">
        <v>457</v>
      </c>
      <c r="M227" s="31" t="s">
        <v>5405</v>
      </c>
      <c r="T227" s="31" t="s">
        <v>5370</v>
      </c>
      <c r="U227" s="31" t="s">
        <v>95</v>
      </c>
      <c r="V227" s="31" t="s">
        <v>3671</v>
      </c>
      <c r="W227" s="31"/>
      <c r="AA227" s="31" t="s">
        <v>3672</v>
      </c>
    </row>
    <row r="228" spans="1:29" ht="60">
      <c r="A228" s="72" t="s">
        <v>6459</v>
      </c>
      <c r="B228" s="72" t="s">
        <v>15</v>
      </c>
      <c r="C228" s="72" t="s">
        <v>123</v>
      </c>
      <c r="D228" s="72" t="s">
        <v>6460</v>
      </c>
      <c r="E228" s="72" t="s">
        <v>6461</v>
      </c>
      <c r="F228" s="72" t="s">
        <v>6462</v>
      </c>
      <c r="G228" s="72" t="s">
        <v>6463</v>
      </c>
      <c r="H228" s="72" t="s">
        <v>6464</v>
      </c>
      <c r="I228" s="72" t="s">
        <v>6465</v>
      </c>
      <c r="J228" s="72"/>
      <c r="K228" s="72" t="s">
        <v>5634</v>
      </c>
      <c r="L228" s="72" t="s">
        <v>3885</v>
      </c>
      <c r="M228" s="72"/>
      <c r="N228" s="72"/>
      <c r="O228" s="72"/>
      <c r="P228" s="72"/>
      <c r="Q228" s="72"/>
      <c r="R228" s="72"/>
      <c r="S228" s="72"/>
      <c r="T228" s="72"/>
      <c r="U228" s="72"/>
      <c r="V228" s="72" t="s">
        <v>3881</v>
      </c>
      <c r="W228" s="72"/>
      <c r="X228" s="72"/>
      <c r="Y228" s="72"/>
      <c r="Z228" s="72"/>
      <c r="AA228" s="72"/>
      <c r="AB228" s="72"/>
      <c r="AC228" s="72"/>
    </row>
    <row r="229" spans="1:29" ht="60">
      <c r="A229" s="72" t="s">
        <v>6466</v>
      </c>
      <c r="B229" s="72" t="s">
        <v>15</v>
      </c>
      <c r="C229" s="72" t="s">
        <v>123</v>
      </c>
      <c r="D229" s="72" t="s">
        <v>6460</v>
      </c>
      <c r="E229" s="72" t="s">
        <v>6461</v>
      </c>
      <c r="F229" s="72" t="s">
        <v>6467</v>
      </c>
      <c r="G229" s="72" t="s">
        <v>6468</v>
      </c>
      <c r="H229" s="72" t="s">
        <v>6469</v>
      </c>
      <c r="I229" s="72" t="s">
        <v>6470</v>
      </c>
      <c r="J229" s="72"/>
      <c r="K229" s="72" t="s">
        <v>5634</v>
      </c>
      <c r="L229" s="72" t="s">
        <v>3885</v>
      </c>
      <c r="M229" s="72"/>
      <c r="N229" s="72"/>
      <c r="O229" s="72"/>
      <c r="P229" s="72"/>
      <c r="Q229" s="72"/>
      <c r="R229" s="72"/>
      <c r="S229" s="72"/>
      <c r="T229" s="72"/>
      <c r="U229" s="72"/>
      <c r="V229" s="72" t="s">
        <v>3881</v>
      </c>
      <c r="W229" s="72"/>
      <c r="X229" s="72"/>
      <c r="Y229" s="72"/>
      <c r="Z229" s="72"/>
      <c r="AA229" s="72"/>
      <c r="AB229" s="72"/>
      <c r="AC229" s="72"/>
    </row>
    <row r="230" spans="1:29" ht="45">
      <c r="A230" s="72" t="s">
        <v>6471</v>
      </c>
      <c r="B230" s="72" t="s">
        <v>15</v>
      </c>
      <c r="C230" s="72" t="s">
        <v>123</v>
      </c>
      <c r="D230" s="72" t="s">
        <v>6460</v>
      </c>
      <c r="E230" s="72" t="s">
        <v>6461</v>
      </c>
      <c r="F230" s="72" t="s">
        <v>6472</v>
      </c>
      <c r="G230" s="72" t="s">
        <v>6473</v>
      </c>
      <c r="H230" s="72" t="s">
        <v>6474</v>
      </c>
      <c r="I230" s="72" t="s">
        <v>6475</v>
      </c>
      <c r="J230" s="72"/>
      <c r="K230" s="72" t="s">
        <v>5634</v>
      </c>
      <c r="L230" s="72" t="s">
        <v>3885</v>
      </c>
      <c r="M230" s="72"/>
      <c r="N230" s="72"/>
      <c r="O230" s="72"/>
      <c r="P230" s="72"/>
      <c r="Q230" s="72"/>
      <c r="R230" s="72"/>
      <c r="S230" s="72"/>
      <c r="T230" s="72"/>
      <c r="U230" s="72"/>
      <c r="V230" s="72" t="s">
        <v>3881</v>
      </c>
      <c r="W230" s="72"/>
      <c r="X230" s="72"/>
      <c r="Y230" s="72"/>
      <c r="Z230" s="72"/>
      <c r="AA230" s="72"/>
      <c r="AB230" s="72"/>
      <c r="AC230" s="72"/>
    </row>
    <row r="231" spans="1:29" ht="30">
      <c r="A231" s="72" t="s">
        <v>6476</v>
      </c>
      <c r="B231" s="72" t="s">
        <v>15</v>
      </c>
      <c r="C231" s="72" t="s">
        <v>123</v>
      </c>
      <c r="D231" s="72" t="s">
        <v>6460</v>
      </c>
      <c r="E231" s="72" t="s">
        <v>6477</v>
      </c>
      <c r="F231" s="72" t="s">
        <v>6478</v>
      </c>
      <c r="G231" s="72" t="s">
        <v>6479</v>
      </c>
      <c r="H231" s="72" t="s">
        <v>6480</v>
      </c>
      <c r="I231" s="72" t="s">
        <v>6481</v>
      </c>
      <c r="J231" s="72"/>
      <c r="K231" s="72" t="s">
        <v>5634</v>
      </c>
      <c r="L231" s="72" t="s">
        <v>3885</v>
      </c>
      <c r="M231" s="72"/>
      <c r="N231" s="72"/>
      <c r="O231" s="72"/>
      <c r="P231" s="72"/>
      <c r="Q231" s="72"/>
      <c r="R231" s="72"/>
      <c r="S231" s="72"/>
      <c r="T231" s="72"/>
      <c r="U231" s="72"/>
      <c r="V231" s="72" t="s">
        <v>3881</v>
      </c>
      <c r="W231" s="72"/>
      <c r="X231" s="72"/>
      <c r="Y231" s="72"/>
      <c r="Z231" s="72"/>
      <c r="AA231" s="72"/>
      <c r="AB231" s="72"/>
      <c r="AC231" s="72"/>
    </row>
    <row r="232" spans="1:29" ht="45">
      <c r="A232" s="72" t="s">
        <v>6482</v>
      </c>
      <c r="B232" s="72" t="s">
        <v>15</v>
      </c>
      <c r="C232" s="72" t="s">
        <v>123</v>
      </c>
      <c r="D232" s="72" t="s">
        <v>6483</v>
      </c>
      <c r="E232" s="72" t="s">
        <v>6461</v>
      </c>
      <c r="F232" s="72" t="s">
        <v>6484</v>
      </c>
      <c r="G232" s="72" t="s">
        <v>6485</v>
      </c>
      <c r="H232" s="72" t="s">
        <v>6486</v>
      </c>
      <c r="I232" s="72" t="s">
        <v>6487</v>
      </c>
      <c r="J232" s="72"/>
      <c r="K232" s="72" t="s">
        <v>5634</v>
      </c>
      <c r="L232" s="72" t="s">
        <v>3885</v>
      </c>
      <c r="M232" s="72"/>
      <c r="N232" s="72"/>
      <c r="O232" s="72"/>
      <c r="P232" s="72"/>
      <c r="Q232" s="72"/>
      <c r="R232" s="72"/>
      <c r="S232" s="72"/>
      <c r="T232" s="72"/>
      <c r="U232" s="72"/>
      <c r="V232" s="72" t="s">
        <v>3881</v>
      </c>
      <c r="W232" s="72"/>
      <c r="X232" s="72"/>
      <c r="Y232" s="72"/>
      <c r="Z232" s="72"/>
      <c r="AA232" s="72"/>
      <c r="AB232" s="72"/>
      <c r="AC232" s="72"/>
    </row>
    <row r="233" spans="1:29" ht="45">
      <c r="A233" s="72" t="s">
        <v>6488</v>
      </c>
      <c r="B233" s="72" t="s">
        <v>15</v>
      </c>
      <c r="C233" s="72" t="s">
        <v>3901</v>
      </c>
      <c r="D233" s="72" t="s">
        <v>6489</v>
      </c>
      <c r="E233" s="72" t="s">
        <v>6461</v>
      </c>
      <c r="F233" s="72" t="s">
        <v>6490</v>
      </c>
      <c r="G233" s="72" t="s">
        <v>6491</v>
      </c>
      <c r="H233" s="72" t="s">
        <v>6492</v>
      </c>
      <c r="I233" s="72" t="s">
        <v>6493</v>
      </c>
      <c r="J233" s="72"/>
      <c r="K233" s="72" t="s">
        <v>5634</v>
      </c>
      <c r="L233" s="72" t="s">
        <v>3885</v>
      </c>
      <c r="M233" s="72"/>
      <c r="N233" s="72"/>
      <c r="O233" s="72"/>
      <c r="P233" s="72"/>
      <c r="Q233" s="72"/>
      <c r="R233" s="72"/>
      <c r="S233" s="72"/>
      <c r="T233" s="72"/>
      <c r="U233" s="72"/>
      <c r="V233" s="72" t="s">
        <v>3899</v>
      </c>
      <c r="W233" s="72"/>
      <c r="X233" s="72"/>
      <c r="Y233" s="72"/>
      <c r="Z233" s="72"/>
      <c r="AA233" s="72"/>
      <c r="AB233" s="72"/>
      <c r="AC233" s="72"/>
    </row>
    <row r="234" spans="1:29" ht="45">
      <c r="A234" s="72" t="s">
        <v>6494</v>
      </c>
      <c r="B234" s="72" t="s">
        <v>15</v>
      </c>
      <c r="C234" s="72" t="s">
        <v>123</v>
      </c>
      <c r="D234" s="72" t="s">
        <v>6495</v>
      </c>
      <c r="E234" s="72" t="s">
        <v>6461</v>
      </c>
      <c r="F234" s="72" t="s">
        <v>6496</v>
      </c>
      <c r="G234" s="72" t="s">
        <v>6497</v>
      </c>
      <c r="H234" s="72" t="s">
        <v>6498</v>
      </c>
      <c r="I234" s="72" t="s">
        <v>6499</v>
      </c>
      <c r="J234" s="72"/>
      <c r="K234" s="72" t="s">
        <v>5634</v>
      </c>
      <c r="L234" s="72" t="s">
        <v>3885</v>
      </c>
      <c r="M234" s="72"/>
      <c r="N234" s="72"/>
      <c r="O234" s="72"/>
      <c r="P234" s="72"/>
      <c r="Q234" s="72"/>
      <c r="R234" s="72"/>
      <c r="S234" s="72"/>
      <c r="T234" s="72"/>
      <c r="U234" s="72"/>
      <c r="V234" s="72" t="s">
        <v>3881</v>
      </c>
      <c r="W234" s="72"/>
      <c r="X234" s="72"/>
      <c r="Y234" s="72"/>
      <c r="Z234" s="72"/>
      <c r="AA234" s="72"/>
      <c r="AB234" s="72"/>
      <c r="AC234" s="72"/>
    </row>
    <row r="235" spans="1:29" ht="75">
      <c r="A235" s="72" t="s">
        <v>6500</v>
      </c>
      <c r="B235" s="72" t="s">
        <v>15</v>
      </c>
      <c r="C235" s="72" t="s">
        <v>123</v>
      </c>
      <c r="D235" s="72" t="s">
        <v>6501</v>
      </c>
      <c r="E235" s="72" t="s">
        <v>6461</v>
      </c>
      <c r="F235" s="72" t="s">
        <v>6502</v>
      </c>
      <c r="G235" s="72" t="s">
        <v>6503</v>
      </c>
      <c r="H235" s="72" t="s">
        <v>6504</v>
      </c>
      <c r="I235" s="72" t="s">
        <v>6505</v>
      </c>
      <c r="J235" s="72"/>
      <c r="K235" s="72" t="s">
        <v>5634</v>
      </c>
      <c r="L235" s="72" t="s">
        <v>630</v>
      </c>
      <c r="M235" s="72"/>
      <c r="N235" s="72"/>
      <c r="O235" s="72"/>
      <c r="P235" s="72"/>
      <c r="Q235" s="72"/>
      <c r="R235" s="72"/>
      <c r="S235" s="72"/>
      <c r="T235" s="72"/>
      <c r="U235" s="72"/>
      <c r="V235" s="72" t="s">
        <v>3906</v>
      </c>
      <c r="W235" s="72"/>
      <c r="X235" s="72"/>
      <c r="Y235" s="72"/>
      <c r="Z235" s="72"/>
      <c r="AA235" s="72"/>
      <c r="AB235" s="72"/>
      <c r="AC235" s="72"/>
    </row>
    <row r="236" spans="1:29" ht="75">
      <c r="A236" s="72" t="s">
        <v>6506</v>
      </c>
      <c r="B236" s="72" t="s">
        <v>15</v>
      </c>
      <c r="C236" s="72" t="s">
        <v>123</v>
      </c>
      <c r="D236" s="72" t="s">
        <v>6507</v>
      </c>
      <c r="E236" s="72" t="s">
        <v>6461</v>
      </c>
      <c r="F236" s="72" t="s">
        <v>6508</v>
      </c>
      <c r="G236" s="72" t="s">
        <v>6509</v>
      </c>
      <c r="H236" s="72" t="s">
        <v>6510</v>
      </c>
      <c r="I236" s="72" t="s">
        <v>6511</v>
      </c>
      <c r="J236" s="72"/>
      <c r="K236" s="72" t="s">
        <v>5634</v>
      </c>
      <c r="L236" s="72" t="s">
        <v>636</v>
      </c>
      <c r="M236" s="72"/>
      <c r="N236" s="72"/>
      <c r="O236" s="72"/>
      <c r="P236" s="72"/>
      <c r="Q236" s="72"/>
      <c r="R236" s="72"/>
      <c r="S236" s="72"/>
      <c r="T236" s="72"/>
      <c r="U236" s="72"/>
      <c r="V236" s="72" t="s">
        <v>3912</v>
      </c>
      <c r="W236" s="72"/>
      <c r="X236" s="72"/>
      <c r="Y236" s="72"/>
      <c r="Z236" s="72"/>
      <c r="AA236" s="72"/>
      <c r="AB236" s="72"/>
      <c r="AC236" s="72"/>
    </row>
    <row r="237" spans="1:29" ht="45">
      <c r="A237" s="72" t="s">
        <v>6512</v>
      </c>
      <c r="B237" s="72" t="s">
        <v>15</v>
      </c>
      <c r="C237" s="72" t="s">
        <v>123</v>
      </c>
      <c r="D237" s="72" t="s">
        <v>6513</v>
      </c>
      <c r="E237" s="72" t="s">
        <v>6461</v>
      </c>
      <c r="F237" s="72" t="s">
        <v>6514</v>
      </c>
      <c r="G237" s="72" t="s">
        <v>6515</v>
      </c>
      <c r="H237" s="72" t="s">
        <v>6516</v>
      </c>
      <c r="I237" s="72" t="s">
        <v>6517</v>
      </c>
      <c r="J237" s="72"/>
      <c r="K237" s="72" t="s">
        <v>5634</v>
      </c>
      <c r="L237" s="72" t="s">
        <v>630</v>
      </c>
      <c r="M237" s="72"/>
      <c r="N237" s="72"/>
      <c r="O237" s="72"/>
      <c r="P237" s="72"/>
      <c r="Q237" s="72"/>
      <c r="R237" s="72"/>
      <c r="S237" s="72"/>
      <c r="T237" s="72"/>
      <c r="U237" s="72"/>
      <c r="V237" s="72" t="s">
        <v>3918</v>
      </c>
      <c r="W237" s="72"/>
      <c r="X237" s="72"/>
      <c r="Y237" s="72"/>
      <c r="Z237" s="72"/>
      <c r="AA237" s="72"/>
      <c r="AB237" s="72"/>
      <c r="AC237" s="72"/>
    </row>
    <row r="238" spans="1:29" ht="45">
      <c r="A238" s="72" t="s">
        <v>6518</v>
      </c>
      <c r="B238" s="72" t="s">
        <v>15</v>
      </c>
      <c r="C238" s="72" t="s">
        <v>123</v>
      </c>
      <c r="D238" s="72" t="s">
        <v>6519</v>
      </c>
      <c r="E238" s="72" t="s">
        <v>6461</v>
      </c>
      <c r="F238" s="72" t="s">
        <v>6520</v>
      </c>
      <c r="G238" s="72" t="s">
        <v>6521</v>
      </c>
      <c r="H238" s="72" t="s">
        <v>6522</v>
      </c>
      <c r="I238" s="72" t="s">
        <v>6523</v>
      </c>
      <c r="J238" s="72"/>
      <c r="K238" s="72" t="s">
        <v>5634</v>
      </c>
      <c r="L238" s="72" t="s">
        <v>636</v>
      </c>
      <c r="M238" s="72"/>
      <c r="N238" s="72"/>
      <c r="O238" s="72"/>
      <c r="P238" s="72"/>
      <c r="Q238" s="72"/>
      <c r="R238" s="72"/>
      <c r="S238" s="72"/>
      <c r="T238" s="72"/>
      <c r="U238" s="72"/>
      <c r="V238" s="72" t="s">
        <v>3881</v>
      </c>
      <c r="W238" s="72"/>
      <c r="X238" s="72"/>
      <c r="Y238" s="72"/>
      <c r="Z238" s="72"/>
      <c r="AA238" s="72"/>
      <c r="AB238" s="72"/>
      <c r="AC238" s="72"/>
    </row>
    <row r="239" spans="1:29" ht="45">
      <c r="A239" s="72" t="s">
        <v>6524</v>
      </c>
      <c r="B239" s="72" t="s">
        <v>15</v>
      </c>
      <c r="C239" s="72" t="s">
        <v>407</v>
      </c>
      <c r="D239" s="72" t="s">
        <v>6362</v>
      </c>
      <c r="E239" s="72" t="s">
        <v>6461</v>
      </c>
      <c r="F239" s="72" t="s">
        <v>6525</v>
      </c>
      <c r="G239" s="72" t="s">
        <v>6526</v>
      </c>
      <c r="H239" s="72" t="s">
        <v>6527</v>
      </c>
      <c r="I239" s="72" t="s">
        <v>6528</v>
      </c>
      <c r="J239" s="72"/>
      <c r="K239" s="72" t="s">
        <v>5634</v>
      </c>
      <c r="L239" s="72" t="s">
        <v>630</v>
      </c>
      <c r="M239" s="72"/>
      <c r="N239" s="72"/>
      <c r="O239" s="72"/>
      <c r="P239" s="72"/>
      <c r="Q239" s="72"/>
      <c r="R239" s="72"/>
      <c r="S239" s="72"/>
      <c r="T239" s="72"/>
      <c r="U239" s="72"/>
      <c r="V239" s="72" t="s">
        <v>3881</v>
      </c>
      <c r="W239" s="72"/>
      <c r="X239" s="72"/>
      <c r="Y239" s="72"/>
      <c r="Z239" s="72"/>
      <c r="AA239" s="72"/>
      <c r="AB239" s="72"/>
      <c r="AC239" s="72"/>
    </row>
    <row r="240" spans="1:29" ht="60">
      <c r="A240" s="73" t="s">
        <v>6529</v>
      </c>
      <c r="B240" s="73" t="s">
        <v>15</v>
      </c>
      <c r="C240" s="73" t="s">
        <v>30</v>
      </c>
      <c r="D240" s="73" t="s">
        <v>6530</v>
      </c>
      <c r="E240" s="73" t="s">
        <v>6461</v>
      </c>
      <c r="F240" s="73" t="s">
        <v>6531</v>
      </c>
      <c r="G240" s="73" t="s">
        <v>6532</v>
      </c>
      <c r="H240" s="73" t="s">
        <v>6533</v>
      </c>
      <c r="I240" s="73" t="s">
        <v>6534</v>
      </c>
      <c r="J240" s="73"/>
      <c r="K240" s="73" t="s">
        <v>5634</v>
      </c>
      <c r="L240" s="73" t="s">
        <v>630</v>
      </c>
      <c r="M240" s="73"/>
      <c r="N240" s="73"/>
      <c r="O240" s="73"/>
      <c r="P240" s="73"/>
      <c r="Q240" s="73"/>
      <c r="R240" s="73"/>
      <c r="S240" s="73"/>
      <c r="T240" s="73"/>
      <c r="U240" s="73"/>
      <c r="V240" s="73" t="s">
        <v>3891</v>
      </c>
      <c r="W240" s="73"/>
      <c r="X240" s="73"/>
      <c r="Y240" s="73"/>
      <c r="Z240" s="73"/>
      <c r="AA240" s="73"/>
      <c r="AB240" s="73"/>
      <c r="AC240" s="73"/>
    </row>
    <row r="241" spans="1:29">
      <c r="A241" s="73" t="s">
        <v>6535</v>
      </c>
      <c r="B241" s="73" t="s">
        <v>15</v>
      </c>
      <c r="C241" s="73" t="s">
        <v>30</v>
      </c>
      <c r="D241" s="73" t="s">
        <v>6530</v>
      </c>
      <c r="E241" s="73" t="s">
        <v>6477</v>
      </c>
      <c r="F241" s="73" t="s">
        <v>6536</v>
      </c>
      <c r="G241" s="73" t="s">
        <v>6537</v>
      </c>
      <c r="H241" s="73" t="s">
        <v>6538</v>
      </c>
      <c r="I241" s="73" t="s">
        <v>6539</v>
      </c>
      <c r="J241" s="73"/>
      <c r="K241" s="73" t="s">
        <v>5634</v>
      </c>
      <c r="L241" s="73" t="s">
        <v>630</v>
      </c>
      <c r="M241" s="73"/>
      <c r="N241" s="73"/>
      <c r="O241" s="73"/>
      <c r="P241" s="73"/>
      <c r="Q241" s="73"/>
      <c r="R241" s="73"/>
      <c r="S241" s="73"/>
      <c r="T241" s="73"/>
      <c r="U241" s="73"/>
      <c r="V241" s="73" t="s">
        <v>3891</v>
      </c>
      <c r="W241" s="73"/>
      <c r="X241" s="73"/>
      <c r="Y241" s="73"/>
      <c r="Z241" s="73"/>
      <c r="AA241" s="73"/>
      <c r="AB241" s="73"/>
      <c r="AC241" s="73"/>
    </row>
    <row r="242" spans="1:29" ht="45">
      <c r="A242" s="73" t="s">
        <v>6540</v>
      </c>
      <c r="B242" s="73" t="s">
        <v>15</v>
      </c>
      <c r="C242" s="73" t="s">
        <v>30</v>
      </c>
      <c r="D242" s="73" t="s">
        <v>6530</v>
      </c>
      <c r="E242" s="73" t="s">
        <v>6477</v>
      </c>
      <c r="F242" s="73" t="s">
        <v>6541</v>
      </c>
      <c r="G242" s="73" t="s">
        <v>6542</v>
      </c>
      <c r="H242" s="73" t="s">
        <v>6543</v>
      </c>
      <c r="I242" s="73" t="s">
        <v>6544</v>
      </c>
      <c r="J242" s="73"/>
      <c r="K242" s="73" t="s">
        <v>5634</v>
      </c>
      <c r="L242" s="73" t="s">
        <v>630</v>
      </c>
      <c r="M242" s="73"/>
      <c r="N242" s="73"/>
      <c r="O242" s="73"/>
      <c r="P242" s="73"/>
      <c r="Q242" s="73"/>
      <c r="R242" s="73"/>
      <c r="S242" s="73"/>
      <c r="T242" s="73"/>
      <c r="U242" s="73"/>
      <c r="V242" s="73" t="s">
        <v>3891</v>
      </c>
      <c r="W242" s="73"/>
      <c r="X242" s="73"/>
      <c r="Y242" s="73"/>
      <c r="Z242" s="73"/>
      <c r="AA242" s="73"/>
      <c r="AB242" s="73"/>
      <c r="AC242" s="73"/>
    </row>
    <row r="243" spans="1:29" ht="60">
      <c r="A243" s="73" t="s">
        <v>6545</v>
      </c>
      <c r="B243" s="73" t="s">
        <v>15</v>
      </c>
      <c r="C243" s="73" t="s">
        <v>30</v>
      </c>
      <c r="D243" s="73" t="s">
        <v>6546</v>
      </c>
      <c r="E243" s="73" t="s">
        <v>6461</v>
      </c>
      <c r="F243" s="73" t="s">
        <v>6547</v>
      </c>
      <c r="G243" s="73" t="s">
        <v>6548</v>
      </c>
      <c r="H243" s="73" t="s">
        <v>6549</v>
      </c>
      <c r="I243" s="73" t="s">
        <v>6550</v>
      </c>
      <c r="J243" s="73"/>
      <c r="K243" s="73" t="s">
        <v>5634</v>
      </c>
      <c r="L243" s="73" t="s">
        <v>3885</v>
      </c>
      <c r="M243" s="73"/>
      <c r="N243" s="73"/>
      <c r="O243" s="73"/>
      <c r="P243" s="73"/>
      <c r="Q243" s="73"/>
      <c r="R243" s="73"/>
      <c r="S243" s="73"/>
      <c r="T243" s="73"/>
      <c r="U243" s="73"/>
      <c r="V243" s="73" t="s">
        <v>3891</v>
      </c>
      <c r="W243" s="73"/>
      <c r="X243" s="73"/>
      <c r="Y243" s="73"/>
      <c r="Z243" s="73"/>
      <c r="AA243" s="73"/>
      <c r="AB243" s="73"/>
      <c r="AC243" s="73"/>
    </row>
    <row r="244" spans="1:29" ht="45">
      <c r="A244" s="73" t="s">
        <v>6551</v>
      </c>
      <c r="B244" s="73" t="s">
        <v>15</v>
      </c>
      <c r="C244" s="73" t="s">
        <v>30</v>
      </c>
      <c r="D244" s="73" t="s">
        <v>6552</v>
      </c>
      <c r="E244" s="73" t="s">
        <v>6461</v>
      </c>
      <c r="F244" s="73" t="s">
        <v>6553</v>
      </c>
      <c r="G244" s="73" t="s">
        <v>6554</v>
      </c>
      <c r="H244" s="73" t="s">
        <v>6555</v>
      </c>
      <c r="I244" s="73" t="s">
        <v>6556</v>
      </c>
      <c r="J244" s="73"/>
      <c r="K244" s="73" t="s">
        <v>5634</v>
      </c>
      <c r="L244" s="73" t="s">
        <v>636</v>
      </c>
      <c r="M244" s="73"/>
      <c r="N244" s="73"/>
      <c r="O244" s="73"/>
      <c r="P244" s="73"/>
      <c r="Q244" s="73"/>
      <c r="R244" s="73"/>
      <c r="S244" s="73"/>
      <c r="T244" s="73"/>
      <c r="U244" s="73"/>
      <c r="V244" s="73" t="s">
        <v>3891</v>
      </c>
      <c r="W244" s="73"/>
      <c r="X244" s="73"/>
      <c r="Y244" s="73"/>
      <c r="Z244" s="73"/>
      <c r="AA244" s="73"/>
      <c r="AB244" s="73"/>
      <c r="AC244" s="73"/>
    </row>
    <row r="245" spans="1:29" ht="45">
      <c r="A245" s="73" t="s">
        <v>6557</v>
      </c>
      <c r="B245" s="73" t="s">
        <v>15</v>
      </c>
      <c r="C245" s="73" t="s">
        <v>30</v>
      </c>
      <c r="D245" s="73" t="s">
        <v>6558</v>
      </c>
      <c r="E245" s="73" t="s">
        <v>6461</v>
      </c>
      <c r="F245" s="73" t="s">
        <v>6559</v>
      </c>
      <c r="G245" s="73" t="s">
        <v>6560</v>
      </c>
      <c r="H245" s="73" t="s">
        <v>6561</v>
      </c>
      <c r="I245" s="73" t="s">
        <v>6562</v>
      </c>
      <c r="J245" s="73"/>
      <c r="K245" s="73" t="s">
        <v>5634</v>
      </c>
      <c r="L245" s="73" t="s">
        <v>630</v>
      </c>
      <c r="M245" s="73"/>
      <c r="N245" s="73"/>
      <c r="O245" s="73"/>
      <c r="P245" s="73"/>
      <c r="Q245" s="73"/>
      <c r="R245" s="73"/>
      <c r="S245" s="73"/>
      <c r="T245" s="73"/>
      <c r="U245" s="73"/>
      <c r="V245" s="73" t="s">
        <v>3891</v>
      </c>
      <c r="W245" s="73"/>
      <c r="X245" s="73"/>
      <c r="Y245" s="73"/>
      <c r="Z245" s="73"/>
      <c r="AA245" s="73"/>
      <c r="AB245" s="73"/>
      <c r="AC245" s="73"/>
    </row>
    <row r="246" spans="1:29" ht="30">
      <c r="A246" s="73" t="s">
        <v>6563</v>
      </c>
      <c r="B246" s="73" t="s">
        <v>15</v>
      </c>
      <c r="C246" s="73" t="s">
        <v>30</v>
      </c>
      <c r="D246" s="73" t="s">
        <v>6564</v>
      </c>
      <c r="E246" s="73" t="s">
        <v>6461</v>
      </c>
      <c r="F246" s="73" t="s">
        <v>6565</v>
      </c>
      <c r="G246" s="73" t="s">
        <v>6566</v>
      </c>
      <c r="H246" s="73" t="s">
        <v>6567</v>
      </c>
      <c r="I246" s="73" t="s">
        <v>6568</v>
      </c>
      <c r="J246" s="73"/>
      <c r="K246" s="73" t="s">
        <v>5634</v>
      </c>
      <c r="L246" s="73" t="s">
        <v>636</v>
      </c>
      <c r="M246" s="73"/>
      <c r="N246" s="73"/>
      <c r="O246" s="73"/>
      <c r="P246" s="73"/>
      <c r="Q246" s="73"/>
      <c r="R246" s="73"/>
      <c r="S246" s="73"/>
      <c r="T246" s="73"/>
      <c r="U246" s="73"/>
      <c r="V246" s="73" t="s">
        <v>3891</v>
      </c>
      <c r="W246" s="73"/>
      <c r="X246" s="73"/>
      <c r="Y246" s="73"/>
      <c r="Z246" s="73"/>
      <c r="AA246" s="73"/>
      <c r="AB246" s="73"/>
      <c r="AC246" s="73"/>
    </row>
    <row r="247" spans="1:29" ht="45">
      <c r="A247" s="74" t="s">
        <v>6569</v>
      </c>
      <c r="B247" s="74" t="s">
        <v>15</v>
      </c>
      <c r="C247" s="74" t="s">
        <v>3937</v>
      </c>
      <c r="D247" s="74" t="s">
        <v>6570</v>
      </c>
      <c r="E247" s="74" t="s">
        <v>6461</v>
      </c>
      <c r="F247" s="74" t="s">
        <v>6571</v>
      </c>
      <c r="G247" s="74" t="s">
        <v>6572</v>
      </c>
      <c r="H247" s="74" t="s">
        <v>6573</v>
      </c>
      <c r="I247" s="74" t="s">
        <v>6574</v>
      </c>
      <c r="J247" s="74"/>
      <c r="K247" s="74" t="s">
        <v>5634</v>
      </c>
      <c r="L247" s="74" t="s">
        <v>630</v>
      </c>
      <c r="M247" s="74"/>
      <c r="N247" s="74"/>
      <c r="O247" s="74"/>
      <c r="P247" s="74"/>
      <c r="Q247" s="74"/>
      <c r="R247" s="74"/>
      <c r="S247" s="74"/>
      <c r="T247" s="74"/>
      <c r="U247" s="74"/>
      <c r="V247" s="74" t="s">
        <v>3935</v>
      </c>
      <c r="W247" s="74"/>
      <c r="X247" s="74"/>
      <c r="Y247" s="74"/>
      <c r="Z247" s="74"/>
      <c r="AA247" s="74"/>
      <c r="AB247" s="74"/>
      <c r="AC247" s="74"/>
    </row>
    <row r="248" spans="1:29" ht="30">
      <c r="A248" s="73" t="s">
        <v>6575</v>
      </c>
      <c r="B248" s="73" t="s">
        <v>15</v>
      </c>
      <c r="C248" s="73" t="s">
        <v>30</v>
      </c>
      <c r="D248" s="73" t="s">
        <v>6576</v>
      </c>
      <c r="E248" s="73" t="s">
        <v>6461</v>
      </c>
      <c r="F248" s="73" t="s">
        <v>6577</v>
      </c>
      <c r="G248" s="73" t="s">
        <v>6578</v>
      </c>
      <c r="H248" s="73" t="s">
        <v>6579</v>
      </c>
      <c r="I248" s="73" t="s">
        <v>6580</v>
      </c>
      <c r="J248" s="73"/>
      <c r="K248" s="73" t="s">
        <v>5634</v>
      </c>
      <c r="L248" s="73" t="s">
        <v>636</v>
      </c>
      <c r="M248" s="73"/>
      <c r="N248" s="73"/>
      <c r="O248" s="73"/>
      <c r="P248" s="73"/>
      <c r="Q248" s="73"/>
      <c r="R248" s="73"/>
      <c r="S248" s="73"/>
      <c r="T248" s="73"/>
      <c r="U248" s="73"/>
      <c r="V248" s="73" t="s">
        <v>3891</v>
      </c>
      <c r="W248" s="73"/>
      <c r="X248" s="73"/>
      <c r="Y248" s="73"/>
      <c r="Z248" s="73"/>
      <c r="AA248" s="73"/>
      <c r="AB248" s="73"/>
      <c r="AC248" s="73"/>
    </row>
    <row r="249" spans="1:29" ht="75">
      <c r="A249" s="74" t="s">
        <v>6581</v>
      </c>
      <c r="B249" s="74" t="s">
        <v>15</v>
      </c>
      <c r="C249" s="74" t="s">
        <v>3937</v>
      </c>
      <c r="D249" s="74" t="s">
        <v>6570</v>
      </c>
      <c r="E249" s="74" t="s">
        <v>6582</v>
      </c>
      <c r="F249" s="74" t="s">
        <v>6583</v>
      </c>
      <c r="G249" s="74" t="s">
        <v>6584</v>
      </c>
      <c r="H249" s="74" t="s">
        <v>6585</v>
      </c>
      <c r="I249" s="74" t="s">
        <v>6586</v>
      </c>
      <c r="J249" s="74"/>
      <c r="K249" s="74" t="s">
        <v>5634</v>
      </c>
      <c r="L249" s="74" t="s">
        <v>630</v>
      </c>
      <c r="M249" s="74"/>
      <c r="N249" s="74"/>
      <c r="O249" s="74"/>
      <c r="P249" s="74"/>
      <c r="Q249" s="74"/>
      <c r="R249" s="74"/>
      <c r="S249" s="74"/>
      <c r="T249" s="74"/>
      <c r="U249" s="74"/>
      <c r="V249" s="74" t="s">
        <v>3935</v>
      </c>
      <c r="W249" s="74"/>
      <c r="X249" s="74"/>
      <c r="Y249" s="74"/>
      <c r="Z249" s="74"/>
      <c r="AA249" s="74"/>
      <c r="AB249" s="74"/>
      <c r="AC249" s="74"/>
    </row>
    <row r="250" spans="1:29" ht="45">
      <c r="A250" s="74" t="s">
        <v>6587</v>
      </c>
      <c r="B250" s="74" t="s">
        <v>15</v>
      </c>
      <c r="C250" s="74" t="s">
        <v>3937</v>
      </c>
      <c r="D250" s="74" t="s">
        <v>6570</v>
      </c>
      <c r="E250" s="74" t="s">
        <v>6461</v>
      </c>
      <c r="F250" s="74" t="s">
        <v>6588</v>
      </c>
      <c r="G250" s="74" t="s">
        <v>6589</v>
      </c>
      <c r="H250" s="74" t="s">
        <v>6590</v>
      </c>
      <c r="I250" s="74" t="s">
        <v>6591</v>
      </c>
      <c r="J250" s="74"/>
      <c r="K250" s="74" t="s">
        <v>5634</v>
      </c>
      <c r="L250" s="74" t="s">
        <v>630</v>
      </c>
      <c r="M250" s="74"/>
      <c r="N250" s="74"/>
      <c r="O250" s="74"/>
      <c r="P250" s="74"/>
      <c r="Q250" s="74"/>
      <c r="R250" s="74"/>
      <c r="S250" s="74"/>
      <c r="T250" s="74"/>
      <c r="U250" s="74"/>
      <c r="V250" s="74" t="s">
        <v>3935</v>
      </c>
      <c r="W250" s="74"/>
      <c r="X250" s="74"/>
      <c r="Y250" s="74"/>
      <c r="Z250" s="74"/>
      <c r="AA250" s="74"/>
      <c r="AB250" s="74"/>
      <c r="AC250" s="74"/>
    </row>
    <row r="251" spans="1:29" ht="60">
      <c r="A251" s="74" t="s">
        <v>6592</v>
      </c>
      <c r="B251" s="74" t="s">
        <v>15</v>
      </c>
      <c r="C251" s="74" t="s">
        <v>3937</v>
      </c>
      <c r="D251" s="74" t="s">
        <v>6593</v>
      </c>
      <c r="E251" s="74" t="s">
        <v>6461</v>
      </c>
      <c r="F251" s="74" t="s">
        <v>6594</v>
      </c>
      <c r="G251" s="74" t="s">
        <v>6595</v>
      </c>
      <c r="H251" s="74" t="s">
        <v>6596</v>
      </c>
      <c r="I251" s="74" t="s">
        <v>6597</v>
      </c>
      <c r="J251" s="74"/>
      <c r="K251" s="74" t="s">
        <v>5634</v>
      </c>
      <c r="L251" s="74" t="s">
        <v>636</v>
      </c>
      <c r="M251" s="74"/>
      <c r="N251" s="74"/>
      <c r="O251" s="74"/>
      <c r="P251" s="74"/>
      <c r="Q251" s="74"/>
      <c r="R251" s="74"/>
      <c r="S251" s="74"/>
      <c r="T251" s="74"/>
      <c r="U251" s="74"/>
      <c r="V251" s="74" t="s">
        <v>3949</v>
      </c>
      <c r="W251" s="74"/>
      <c r="X251" s="74"/>
      <c r="Y251" s="74"/>
      <c r="Z251" s="74"/>
      <c r="AA251" s="74"/>
      <c r="AB251" s="74"/>
      <c r="AC251" s="74"/>
    </row>
    <row r="252" spans="1:29" ht="60">
      <c r="A252" s="74" t="s">
        <v>6598</v>
      </c>
      <c r="B252" s="74" t="s">
        <v>15</v>
      </c>
      <c r="C252" s="74" t="s">
        <v>3937</v>
      </c>
      <c r="D252" s="74" t="s">
        <v>6599</v>
      </c>
      <c r="E252" s="74" t="s">
        <v>6461</v>
      </c>
      <c r="F252" s="74" t="s">
        <v>3962</v>
      </c>
      <c r="G252" s="74" t="s">
        <v>6600</v>
      </c>
      <c r="H252" s="74" t="s">
        <v>6601</v>
      </c>
      <c r="I252" s="74" t="s">
        <v>6602</v>
      </c>
      <c r="J252" s="74"/>
      <c r="K252" s="74" t="s">
        <v>5634</v>
      </c>
      <c r="L252" s="74" t="s">
        <v>630</v>
      </c>
      <c r="M252" s="74"/>
      <c r="N252" s="74"/>
      <c r="O252" s="74"/>
      <c r="P252" s="74"/>
      <c r="Q252" s="74"/>
      <c r="R252" s="74"/>
      <c r="S252" s="74"/>
      <c r="T252" s="74"/>
      <c r="U252" s="74"/>
      <c r="V252" s="74" t="s">
        <v>3961</v>
      </c>
      <c r="W252" s="74"/>
      <c r="X252" s="74"/>
      <c r="Y252" s="74"/>
      <c r="Z252" s="74"/>
      <c r="AA252" s="74"/>
      <c r="AB252" s="74"/>
      <c r="AC252" s="74"/>
    </row>
    <row r="253" spans="1:29" ht="75">
      <c r="A253" s="74" t="s">
        <v>6603</v>
      </c>
      <c r="B253" s="74" t="s">
        <v>15</v>
      </c>
      <c r="C253" s="74" t="s">
        <v>3937</v>
      </c>
      <c r="D253" s="74" t="s">
        <v>6604</v>
      </c>
      <c r="E253" s="74" t="s">
        <v>6461</v>
      </c>
      <c r="F253" s="74" t="s">
        <v>6605</v>
      </c>
      <c r="G253" s="74" t="s">
        <v>6606</v>
      </c>
      <c r="H253" s="74" t="s">
        <v>6607</v>
      </c>
      <c r="I253" s="74" t="s">
        <v>6608</v>
      </c>
      <c r="J253" s="74"/>
      <c r="K253" s="74" t="s">
        <v>5634</v>
      </c>
      <c r="L253" s="74" t="s">
        <v>3946</v>
      </c>
      <c r="M253" s="74"/>
      <c r="N253" s="74"/>
      <c r="O253" s="74"/>
      <c r="P253" s="74"/>
      <c r="Q253" s="74"/>
      <c r="R253" s="74"/>
      <c r="S253" s="74"/>
      <c r="T253" s="74"/>
      <c r="U253" s="74"/>
      <c r="V253" s="74" t="s">
        <v>3942</v>
      </c>
      <c r="W253" s="74"/>
      <c r="X253" s="74"/>
      <c r="Y253" s="74"/>
      <c r="Z253" s="74"/>
      <c r="AA253" s="74"/>
      <c r="AB253" s="74"/>
      <c r="AC253" s="74"/>
    </row>
    <row r="254" spans="1:29" ht="30">
      <c r="A254" s="74" t="s">
        <v>6609</v>
      </c>
      <c r="B254" s="74" t="s">
        <v>15</v>
      </c>
      <c r="C254" s="74" t="s">
        <v>3937</v>
      </c>
      <c r="D254" s="74" t="s">
        <v>6610</v>
      </c>
      <c r="E254" s="74" t="s">
        <v>6461</v>
      </c>
      <c r="F254" s="74" t="s">
        <v>6611</v>
      </c>
      <c r="G254" s="74" t="s">
        <v>6612</v>
      </c>
      <c r="H254" s="74" t="s">
        <v>6613</v>
      </c>
      <c r="I254" s="74" t="s">
        <v>6614</v>
      </c>
      <c r="J254" s="74"/>
      <c r="K254" s="74" t="s">
        <v>5634</v>
      </c>
      <c r="L254" s="74" t="s">
        <v>3946</v>
      </c>
      <c r="M254" s="74"/>
      <c r="N254" s="74"/>
      <c r="O254" s="74"/>
      <c r="P254" s="74"/>
      <c r="Q254" s="74"/>
      <c r="R254" s="74"/>
      <c r="S254" s="74"/>
      <c r="T254" s="74"/>
      <c r="U254" s="74"/>
      <c r="V254" s="74" t="s">
        <v>3868</v>
      </c>
      <c r="W254" s="74"/>
      <c r="X254" s="74"/>
      <c r="Y254" s="74"/>
      <c r="Z254" s="74"/>
      <c r="AA254" s="74"/>
      <c r="AB254" s="74"/>
      <c r="AC254" s="74"/>
    </row>
    <row r="255" spans="1:29" ht="30">
      <c r="A255" s="74" t="s">
        <v>6615</v>
      </c>
      <c r="B255" s="74" t="s">
        <v>15</v>
      </c>
      <c r="C255" s="74" t="s">
        <v>3937</v>
      </c>
      <c r="D255" s="74" t="s">
        <v>6616</v>
      </c>
      <c r="E255" s="74" t="s">
        <v>6477</v>
      </c>
      <c r="F255" s="74" t="s">
        <v>6617</v>
      </c>
      <c r="G255" s="74" t="s">
        <v>6618</v>
      </c>
      <c r="H255" s="74" t="s">
        <v>6619</v>
      </c>
      <c r="I255" s="74" t="s">
        <v>6620</v>
      </c>
      <c r="J255" s="74"/>
      <c r="K255" s="74" t="s">
        <v>5634</v>
      </c>
      <c r="L255" s="74" t="s">
        <v>636</v>
      </c>
      <c r="M255" s="74"/>
      <c r="N255" s="74"/>
      <c r="O255" s="74"/>
      <c r="P255" s="74"/>
      <c r="Q255" s="74"/>
      <c r="R255" s="74"/>
      <c r="S255" s="74"/>
      <c r="T255" s="74"/>
      <c r="U255" s="74"/>
      <c r="V255" s="74" t="s">
        <v>3955</v>
      </c>
      <c r="W255" s="74"/>
      <c r="X255" s="74"/>
      <c r="Y255" s="74"/>
      <c r="Z255" s="74"/>
      <c r="AA255" s="74"/>
      <c r="AB255" s="74"/>
      <c r="AC255" s="74"/>
    </row>
    <row r="256" spans="1:29" ht="45">
      <c r="A256" s="75" t="s">
        <v>6621</v>
      </c>
      <c r="B256" s="75" t="s">
        <v>15</v>
      </c>
      <c r="C256" s="75" t="s">
        <v>6622</v>
      </c>
      <c r="D256" s="75" t="s">
        <v>6623</v>
      </c>
      <c r="E256" s="75" t="s">
        <v>6461</v>
      </c>
      <c r="F256" s="75" t="s">
        <v>6624</v>
      </c>
      <c r="G256" s="75" t="s">
        <v>6625</v>
      </c>
      <c r="H256" s="75" t="s">
        <v>6626</v>
      </c>
      <c r="I256" s="75" t="s">
        <v>6627</v>
      </c>
      <c r="J256" s="75"/>
      <c r="K256" s="75" t="s">
        <v>5634</v>
      </c>
      <c r="L256" s="75" t="s">
        <v>3885</v>
      </c>
      <c r="M256" s="75"/>
      <c r="N256" s="75"/>
      <c r="O256" s="75"/>
      <c r="P256" s="75"/>
      <c r="Q256" s="75"/>
      <c r="R256" s="75"/>
      <c r="S256" s="75"/>
      <c r="T256" s="75"/>
      <c r="U256" s="75"/>
      <c r="V256" s="75" t="s">
        <v>3969</v>
      </c>
      <c r="W256" s="75"/>
      <c r="X256" s="75"/>
      <c r="Y256" s="75"/>
      <c r="Z256" s="75"/>
      <c r="AA256" s="75"/>
      <c r="AB256" s="75"/>
      <c r="AC256" s="75"/>
    </row>
    <row r="257" spans="1:29">
      <c r="A257" s="75" t="s">
        <v>6628</v>
      </c>
      <c r="B257" s="75" t="s">
        <v>15</v>
      </c>
      <c r="C257" s="75" t="s">
        <v>6622</v>
      </c>
      <c r="D257" s="75" t="s">
        <v>6623</v>
      </c>
      <c r="E257" s="75" t="s">
        <v>6477</v>
      </c>
      <c r="F257" s="75" t="s">
        <v>6629</v>
      </c>
      <c r="G257" s="75" t="s">
        <v>6630</v>
      </c>
      <c r="H257" s="75" t="s">
        <v>6631</v>
      </c>
      <c r="I257" s="75" t="s">
        <v>6632</v>
      </c>
      <c r="J257" s="75"/>
      <c r="K257" s="75" t="s">
        <v>5634</v>
      </c>
      <c r="L257" s="75" t="s">
        <v>3885</v>
      </c>
      <c r="M257" s="75"/>
      <c r="N257" s="75"/>
      <c r="O257" s="75"/>
      <c r="P257" s="75"/>
      <c r="Q257" s="75"/>
      <c r="R257" s="75"/>
      <c r="S257" s="75"/>
      <c r="T257" s="75"/>
      <c r="U257" s="75"/>
      <c r="V257" s="75" t="s">
        <v>3969</v>
      </c>
      <c r="W257" s="75"/>
      <c r="X257" s="75"/>
      <c r="Y257" s="75"/>
      <c r="Z257" s="75"/>
      <c r="AA257" s="75"/>
      <c r="AB257" s="75"/>
      <c r="AC257" s="75"/>
    </row>
    <row r="258" spans="1:29" ht="45">
      <c r="A258" s="75" t="s">
        <v>6633</v>
      </c>
      <c r="B258" s="75" t="s">
        <v>15</v>
      </c>
      <c r="C258" s="75" t="s">
        <v>6622</v>
      </c>
      <c r="D258" s="75" t="s">
        <v>6623</v>
      </c>
      <c r="E258" s="75" t="s">
        <v>6477</v>
      </c>
      <c r="F258" s="75" t="s">
        <v>6634</v>
      </c>
      <c r="G258" s="75" t="s">
        <v>6635</v>
      </c>
      <c r="H258" s="75" t="s">
        <v>6636</v>
      </c>
      <c r="I258" s="75" t="s">
        <v>6637</v>
      </c>
      <c r="J258" s="75"/>
      <c r="K258" s="75" t="s">
        <v>5634</v>
      </c>
      <c r="L258" s="75" t="s">
        <v>3885</v>
      </c>
      <c r="M258" s="75"/>
      <c r="N258" s="75"/>
      <c r="O258" s="75"/>
      <c r="P258" s="75"/>
      <c r="Q258" s="75"/>
      <c r="R258" s="75"/>
      <c r="S258" s="75"/>
      <c r="T258" s="75"/>
      <c r="U258" s="75"/>
      <c r="V258" s="75" t="s">
        <v>3969</v>
      </c>
      <c r="W258" s="75"/>
      <c r="X258" s="75"/>
      <c r="Y258" s="75"/>
      <c r="Z258" s="75"/>
      <c r="AA258" s="75"/>
      <c r="AB258" s="75"/>
      <c r="AC258" s="75"/>
    </row>
    <row r="259" spans="1:29" ht="30">
      <c r="A259" s="76" t="s">
        <v>6638</v>
      </c>
      <c r="B259" s="76" t="s">
        <v>15</v>
      </c>
      <c r="C259" s="76" t="s">
        <v>5523</v>
      </c>
      <c r="D259" s="76" t="s">
        <v>6639</v>
      </c>
      <c r="E259" s="76" t="s">
        <v>6461</v>
      </c>
      <c r="F259" s="76" t="s">
        <v>6640</v>
      </c>
      <c r="G259" s="76" t="s">
        <v>6641</v>
      </c>
      <c r="H259" s="76" t="s">
        <v>6642</v>
      </c>
      <c r="I259" s="76" t="s">
        <v>6643</v>
      </c>
      <c r="J259" s="76"/>
      <c r="K259" s="76" t="s">
        <v>5634</v>
      </c>
      <c r="L259" s="76" t="s">
        <v>3885</v>
      </c>
      <c r="M259" s="76"/>
      <c r="N259" s="76"/>
      <c r="O259" s="76"/>
      <c r="P259" s="76"/>
      <c r="Q259" s="76"/>
      <c r="R259" s="76"/>
      <c r="S259" s="76"/>
      <c r="T259" s="76"/>
      <c r="U259" s="76"/>
      <c r="V259" s="76" t="s">
        <v>3926</v>
      </c>
      <c r="W259" s="76"/>
      <c r="X259" s="76"/>
      <c r="Y259" s="76"/>
      <c r="Z259" s="76"/>
      <c r="AA259" s="76"/>
      <c r="AB259" s="76"/>
      <c r="AC259" s="76"/>
    </row>
    <row r="260" spans="1:29" ht="30">
      <c r="A260" s="76" t="s">
        <v>6644</v>
      </c>
      <c r="B260" s="76" t="s">
        <v>15</v>
      </c>
      <c r="C260" s="76" t="s">
        <v>5523</v>
      </c>
      <c r="D260" s="76" t="s">
        <v>6639</v>
      </c>
      <c r="E260" s="76" t="s">
        <v>5523</v>
      </c>
      <c r="F260" s="76" t="s">
        <v>6645</v>
      </c>
      <c r="G260" s="76" t="s">
        <v>6646</v>
      </c>
      <c r="H260" s="76" t="s">
        <v>6647</v>
      </c>
      <c r="I260" s="76" t="s">
        <v>6648</v>
      </c>
      <c r="J260" s="76"/>
      <c r="K260" s="76" t="s">
        <v>5634</v>
      </c>
      <c r="L260" s="76" t="s">
        <v>3885</v>
      </c>
      <c r="M260" s="76"/>
      <c r="N260" s="76"/>
      <c r="O260" s="76"/>
      <c r="P260" s="76"/>
      <c r="Q260" s="76"/>
      <c r="R260" s="76"/>
      <c r="S260" s="76"/>
      <c r="T260" s="76"/>
      <c r="U260" s="76"/>
      <c r="V260" s="76" t="s">
        <v>3926</v>
      </c>
      <c r="W260" s="76"/>
      <c r="X260" s="76"/>
      <c r="Y260" s="76"/>
      <c r="Z260" s="76"/>
      <c r="AA260" s="76"/>
      <c r="AB260" s="76"/>
      <c r="AC260" s="76"/>
    </row>
    <row r="261" spans="1:29">
      <c r="A261" s="76" t="s">
        <v>6649</v>
      </c>
      <c r="B261" s="76" t="s">
        <v>15</v>
      </c>
      <c r="C261" s="76" t="s">
        <v>5523</v>
      </c>
      <c r="D261" s="76" t="s">
        <v>6650</v>
      </c>
      <c r="E261" s="76" t="s">
        <v>5523</v>
      </c>
      <c r="F261" s="76" t="s">
        <v>6651</v>
      </c>
      <c r="G261" s="76" t="s">
        <v>6652</v>
      </c>
      <c r="H261" s="76" t="s">
        <v>6653</v>
      </c>
      <c r="I261" s="76" t="s">
        <v>6654</v>
      </c>
      <c r="J261" s="76"/>
      <c r="K261" s="76" t="s">
        <v>5634</v>
      </c>
      <c r="L261" s="76" t="s">
        <v>3885</v>
      </c>
      <c r="M261" s="76"/>
      <c r="N261" s="76"/>
      <c r="O261" s="76"/>
      <c r="P261" s="76"/>
      <c r="Q261" s="76"/>
      <c r="R261" s="76"/>
      <c r="S261" s="76"/>
      <c r="T261" s="76"/>
      <c r="U261" s="76"/>
      <c r="V261" s="76" t="s">
        <v>3993</v>
      </c>
      <c r="W261" s="76"/>
      <c r="X261" s="76"/>
      <c r="Y261" s="76"/>
      <c r="Z261" s="76"/>
      <c r="AA261" s="76"/>
      <c r="AB261" s="76"/>
      <c r="AC261" s="76"/>
    </row>
    <row r="262" spans="1:29" ht="30">
      <c r="A262" s="76" t="s">
        <v>6655</v>
      </c>
      <c r="B262" s="76" t="s">
        <v>15</v>
      </c>
      <c r="C262" s="76" t="s">
        <v>5523</v>
      </c>
      <c r="D262" s="76" t="s">
        <v>6656</v>
      </c>
      <c r="E262" s="76" t="s">
        <v>5523</v>
      </c>
      <c r="F262" s="76" t="s">
        <v>6657</v>
      </c>
      <c r="G262" s="76" t="s">
        <v>6658</v>
      </c>
      <c r="H262" s="76" t="s">
        <v>6659</v>
      </c>
      <c r="I262" s="76" t="s">
        <v>6660</v>
      </c>
      <c r="J262" s="76"/>
      <c r="K262" s="76" t="s">
        <v>5634</v>
      </c>
      <c r="L262" s="76" t="s">
        <v>630</v>
      </c>
      <c r="M262" s="76"/>
      <c r="N262" s="76"/>
      <c r="O262" s="76"/>
      <c r="P262" s="76"/>
      <c r="Q262" s="76"/>
      <c r="R262" s="76"/>
      <c r="S262" s="76"/>
      <c r="T262" s="76"/>
      <c r="U262" s="76"/>
      <c r="V262" s="76" t="s">
        <v>3993</v>
      </c>
      <c r="W262" s="76"/>
      <c r="X262" s="76"/>
      <c r="Y262" s="76"/>
      <c r="Z262" s="76"/>
      <c r="AA262" s="76"/>
      <c r="AB262" s="76"/>
      <c r="AC262" s="76"/>
    </row>
    <row r="263" spans="1:29" ht="45">
      <c r="A263" s="75" t="s">
        <v>6661</v>
      </c>
      <c r="B263" s="75" t="s">
        <v>15</v>
      </c>
      <c r="C263" s="75" t="s">
        <v>6362</v>
      </c>
      <c r="D263" s="75" t="s">
        <v>6662</v>
      </c>
      <c r="E263" s="75" t="s">
        <v>6461</v>
      </c>
      <c r="F263" s="75" t="s">
        <v>6663</v>
      </c>
      <c r="G263" s="75" t="s">
        <v>6664</v>
      </c>
      <c r="H263" s="75" t="s">
        <v>6665</v>
      </c>
      <c r="I263" s="75" t="s">
        <v>6666</v>
      </c>
      <c r="J263" s="75"/>
      <c r="K263" s="75" t="s">
        <v>5634</v>
      </c>
      <c r="L263" s="75" t="s">
        <v>630</v>
      </c>
      <c r="M263" s="75"/>
      <c r="N263" s="75"/>
      <c r="O263" s="75"/>
      <c r="P263" s="75"/>
      <c r="Q263" s="75"/>
      <c r="R263" s="75"/>
      <c r="S263" s="75"/>
      <c r="T263" s="75"/>
      <c r="U263" s="75"/>
      <c r="V263" s="75" t="s">
        <v>3975</v>
      </c>
      <c r="W263" s="75"/>
      <c r="X263" s="75"/>
      <c r="Y263" s="75"/>
      <c r="Z263" s="75"/>
      <c r="AA263" s="75"/>
      <c r="AB263" s="75"/>
      <c r="AC263" s="75"/>
    </row>
    <row r="264" spans="1:29" ht="30">
      <c r="A264" s="77" t="s">
        <v>6667</v>
      </c>
      <c r="B264" s="77" t="s">
        <v>15</v>
      </c>
      <c r="C264" s="77" t="s">
        <v>407</v>
      </c>
      <c r="D264" s="77" t="s">
        <v>6668</v>
      </c>
      <c r="E264" s="77" t="s">
        <v>6461</v>
      </c>
      <c r="F264" s="77" t="s">
        <v>6669</v>
      </c>
      <c r="G264" s="77" t="s">
        <v>6670</v>
      </c>
      <c r="H264" s="77" t="s">
        <v>6671</v>
      </c>
      <c r="I264" s="77" t="s">
        <v>6672</v>
      </c>
      <c r="J264" s="77"/>
      <c r="K264" s="77" t="s">
        <v>5634</v>
      </c>
      <c r="L264" s="77" t="s">
        <v>630</v>
      </c>
      <c r="M264" s="77"/>
      <c r="N264" s="77"/>
      <c r="O264" s="77"/>
      <c r="P264" s="77"/>
      <c r="Q264" s="77"/>
      <c r="R264" s="77"/>
      <c r="S264" s="77"/>
      <c r="T264" s="77"/>
      <c r="U264" s="77"/>
      <c r="V264" s="77" t="s">
        <v>3891</v>
      </c>
      <c r="W264" s="77"/>
      <c r="X264" s="77"/>
      <c r="Y264" s="77"/>
      <c r="Z264" s="77"/>
      <c r="AA264" s="77"/>
      <c r="AB264" s="77"/>
      <c r="AC264" s="77"/>
    </row>
    <row r="265" spans="1:29" ht="30">
      <c r="A265" s="77" t="s">
        <v>6673</v>
      </c>
      <c r="B265" s="77" t="s">
        <v>15</v>
      </c>
      <c r="C265" s="77" t="s">
        <v>407</v>
      </c>
      <c r="D265" s="77" t="s">
        <v>6674</v>
      </c>
      <c r="E265" s="77" t="s">
        <v>5523</v>
      </c>
      <c r="F265" s="77" t="s">
        <v>6675</v>
      </c>
      <c r="G265" s="77" t="s">
        <v>6676</v>
      </c>
      <c r="H265" s="77" t="s">
        <v>6677</v>
      </c>
      <c r="I265" s="77" t="s">
        <v>6678</v>
      </c>
      <c r="J265" s="77"/>
      <c r="K265" s="77" t="s">
        <v>5634</v>
      </c>
      <c r="L265" s="77" t="s">
        <v>630</v>
      </c>
      <c r="M265" s="77"/>
      <c r="N265" s="77"/>
      <c r="O265" s="77"/>
      <c r="P265" s="77"/>
      <c r="Q265" s="77"/>
      <c r="R265" s="77"/>
      <c r="S265" s="77"/>
      <c r="T265" s="77"/>
      <c r="U265" s="77"/>
      <c r="V265" s="77" t="s">
        <v>3891</v>
      </c>
      <c r="W265" s="77"/>
      <c r="X265" s="77"/>
      <c r="Y265" s="77"/>
      <c r="Z265" s="77"/>
      <c r="AA265" s="77"/>
      <c r="AB265" s="77"/>
      <c r="AC265" s="77"/>
    </row>
    <row r="266" spans="1:29" ht="45">
      <c r="A266" s="77" t="s">
        <v>6679</v>
      </c>
      <c r="B266" s="77" t="s">
        <v>15</v>
      </c>
      <c r="C266" s="77" t="s">
        <v>3901</v>
      </c>
      <c r="D266" s="77" t="s">
        <v>6680</v>
      </c>
      <c r="E266" s="77" t="s">
        <v>6461</v>
      </c>
      <c r="F266" s="77" t="s">
        <v>6681</v>
      </c>
      <c r="G266" s="77" t="s">
        <v>6682</v>
      </c>
      <c r="H266" s="77" t="s">
        <v>6683</v>
      </c>
      <c r="I266" s="77" t="s">
        <v>6684</v>
      </c>
      <c r="J266" s="77"/>
      <c r="K266" s="77" t="s">
        <v>5634</v>
      </c>
      <c r="L266" s="77" t="s">
        <v>630</v>
      </c>
      <c r="M266" s="77"/>
      <c r="N266" s="77"/>
      <c r="O266" s="77"/>
      <c r="P266" s="77"/>
      <c r="Q266" s="77"/>
      <c r="R266" s="77"/>
      <c r="S266" s="77"/>
      <c r="T266" s="77"/>
      <c r="U266" s="77"/>
      <c r="V266" s="77" t="s">
        <v>3906</v>
      </c>
      <c r="W266" s="77"/>
      <c r="X266" s="77"/>
      <c r="Y266" s="77"/>
      <c r="Z266" s="77"/>
      <c r="AA266" s="77"/>
      <c r="AB266" s="77"/>
      <c r="AC266" s="77"/>
    </row>
    <row r="267" spans="1:29" ht="30">
      <c r="A267" s="77" t="s">
        <v>6685</v>
      </c>
      <c r="B267" s="77" t="s">
        <v>15</v>
      </c>
      <c r="C267" s="77" t="s">
        <v>182</v>
      </c>
      <c r="D267" s="77" t="s">
        <v>6686</v>
      </c>
      <c r="E267" s="77" t="s">
        <v>6477</v>
      </c>
      <c r="F267" s="77" t="s">
        <v>6687</v>
      </c>
      <c r="G267" s="77" t="s">
        <v>6688</v>
      </c>
      <c r="H267" s="77" t="s">
        <v>6689</v>
      </c>
      <c r="I267" s="77" t="s">
        <v>6690</v>
      </c>
      <c r="J267" s="77"/>
      <c r="K267" s="77" t="s">
        <v>5634</v>
      </c>
      <c r="L267" s="77" t="s">
        <v>636</v>
      </c>
      <c r="M267" s="77"/>
      <c r="N267" s="77"/>
      <c r="O267" s="77"/>
      <c r="P267" s="77"/>
      <c r="Q267" s="77"/>
      <c r="R267" s="77"/>
      <c r="S267" s="77"/>
      <c r="T267" s="77"/>
      <c r="U267" s="77"/>
      <c r="V267" s="77" t="s">
        <v>3987</v>
      </c>
      <c r="W267" s="77"/>
      <c r="X267" s="77"/>
      <c r="Y267" s="77"/>
      <c r="Z267" s="77"/>
      <c r="AA267" s="77"/>
      <c r="AB267" s="77"/>
      <c r="AC267" s="77"/>
    </row>
    <row r="268" spans="1:29" ht="45">
      <c r="A268" s="73" t="s">
        <v>6691</v>
      </c>
      <c r="B268" s="73" t="s">
        <v>15</v>
      </c>
      <c r="C268" s="73" t="s">
        <v>30</v>
      </c>
      <c r="D268" s="73" t="s">
        <v>6692</v>
      </c>
      <c r="E268" s="73" t="s">
        <v>6477</v>
      </c>
      <c r="F268" s="73" t="s">
        <v>6693</v>
      </c>
      <c r="G268" s="73" t="s">
        <v>6694</v>
      </c>
      <c r="H268" s="73" t="s">
        <v>6695</v>
      </c>
      <c r="I268" s="73" t="s">
        <v>6696</v>
      </c>
      <c r="J268" s="73"/>
      <c r="K268" s="73" t="s">
        <v>5634</v>
      </c>
      <c r="L268" s="73" t="s">
        <v>630</v>
      </c>
      <c r="M268" s="73"/>
      <c r="N268" s="73"/>
      <c r="O268" s="73"/>
      <c r="P268" s="73"/>
      <c r="Q268" s="73"/>
      <c r="R268" s="73"/>
      <c r="S268" s="73"/>
      <c r="T268" s="73"/>
      <c r="U268" s="73"/>
      <c r="V268" s="73" t="s">
        <v>3891</v>
      </c>
      <c r="W268" s="73"/>
      <c r="X268" s="73"/>
      <c r="Y268" s="73"/>
      <c r="Z268" s="73"/>
      <c r="AA268" s="73"/>
      <c r="AB268" s="73"/>
      <c r="AC268" s="73"/>
    </row>
    <row r="269" spans="1:29" ht="30">
      <c r="A269" s="76" t="s">
        <v>6697</v>
      </c>
      <c r="B269" s="76" t="s">
        <v>15</v>
      </c>
      <c r="C269" s="76" t="s">
        <v>6698</v>
      </c>
      <c r="D269" s="76" t="s">
        <v>6699</v>
      </c>
      <c r="E269" s="76" t="s">
        <v>6461</v>
      </c>
      <c r="F269" s="76" t="s">
        <v>6700</v>
      </c>
      <c r="G269" s="76" t="s">
        <v>6701</v>
      </c>
      <c r="H269" s="76" t="s">
        <v>6702</v>
      </c>
      <c r="I269" s="76" t="s">
        <v>6703</v>
      </c>
      <c r="J269" s="76"/>
      <c r="K269" s="76" t="s">
        <v>5634</v>
      </c>
      <c r="L269" s="76" t="s">
        <v>3885</v>
      </c>
      <c r="M269" s="76"/>
      <c r="N269" s="76"/>
      <c r="O269" s="76"/>
      <c r="P269" s="76"/>
      <c r="Q269" s="76"/>
      <c r="R269" s="76"/>
      <c r="S269" s="76"/>
      <c r="T269" s="76"/>
      <c r="U269" s="76"/>
      <c r="V269" s="76" t="s">
        <v>3891</v>
      </c>
      <c r="W269" s="76"/>
      <c r="X269" s="76"/>
      <c r="Y269" s="76"/>
      <c r="Z269" s="76"/>
      <c r="AA269" s="76"/>
      <c r="AB269" s="76"/>
      <c r="AC269" s="76"/>
    </row>
    <row r="270" spans="1:29">
      <c r="A270" t="s">
        <v>6704</v>
      </c>
      <c r="B270" t="s">
        <v>15</v>
      </c>
      <c r="C270" t="s">
        <v>6705</v>
      </c>
      <c r="D270" t="s">
        <v>2570</v>
      </c>
      <c r="E270" t="s">
        <v>2059</v>
      </c>
      <c r="F270" t="s">
        <v>6706</v>
      </c>
      <c r="G270" t="s">
        <v>6707</v>
      </c>
      <c r="H270" t="s">
        <v>6708</v>
      </c>
      <c r="I270" t="s">
        <v>6709</v>
      </c>
      <c r="K270" t="s">
        <v>5634</v>
      </c>
      <c r="L270" t="s">
        <v>457</v>
      </c>
      <c r="M270" t="s">
        <v>5405</v>
      </c>
      <c r="O270" t="s">
        <v>6710</v>
      </c>
      <c r="P270" t="s">
        <v>5366</v>
      </c>
      <c r="Q270" t="s">
        <v>5367</v>
      </c>
      <c r="R270" t="s">
        <v>6711</v>
      </c>
      <c r="S270" t="s">
        <v>6712</v>
      </c>
      <c r="T270" t="s">
        <v>17</v>
      </c>
      <c r="U270" t="s">
        <v>1994</v>
      </c>
      <c r="AC270" t="s">
        <v>6713</v>
      </c>
    </row>
    <row r="271" spans="1:29">
      <c r="A271" t="s">
        <v>6714</v>
      </c>
      <c r="B271" t="s">
        <v>15</v>
      </c>
      <c r="C271" t="s">
        <v>6705</v>
      </c>
      <c r="D271" t="s">
        <v>2570</v>
      </c>
      <c r="E271" t="s">
        <v>2059</v>
      </c>
      <c r="F271" t="s">
        <v>6715</v>
      </c>
      <c r="G271" t="s">
        <v>6707</v>
      </c>
      <c r="H271" t="s">
        <v>6716</v>
      </c>
      <c r="I271" t="s">
        <v>6717</v>
      </c>
      <c r="K271" t="s">
        <v>5634</v>
      </c>
      <c r="L271" t="s">
        <v>457</v>
      </c>
      <c r="M271" t="s">
        <v>5405</v>
      </c>
      <c r="O271" t="s">
        <v>6710</v>
      </c>
      <c r="P271" t="s">
        <v>5366</v>
      </c>
      <c r="Q271" t="s">
        <v>5367</v>
      </c>
      <c r="R271" t="s">
        <v>6711</v>
      </c>
      <c r="S271" t="s">
        <v>6712</v>
      </c>
      <c r="T271" t="s">
        <v>17</v>
      </c>
      <c r="U271" t="s">
        <v>1994</v>
      </c>
      <c r="AC271" t="s">
        <v>6713</v>
      </c>
    </row>
    <row r="272" spans="1:29">
      <c r="A272" t="s">
        <v>6718</v>
      </c>
      <c r="B272" t="s">
        <v>15</v>
      </c>
      <c r="C272" t="s">
        <v>6705</v>
      </c>
      <c r="D272" t="s">
        <v>3123</v>
      </c>
      <c r="E272" t="s">
        <v>6461</v>
      </c>
      <c r="F272" t="s">
        <v>6719</v>
      </c>
      <c r="G272" t="s">
        <v>6720</v>
      </c>
      <c r="H272" t="s">
        <v>6721</v>
      </c>
      <c r="I272" t="s">
        <v>6722</v>
      </c>
      <c r="K272" t="s">
        <v>5634</v>
      </c>
      <c r="L272" t="s">
        <v>457</v>
      </c>
      <c r="M272" t="s">
        <v>438</v>
      </c>
      <c r="O272" t="s">
        <v>6710</v>
      </c>
      <c r="P272" t="s">
        <v>5366</v>
      </c>
      <c r="Q272" t="s">
        <v>5367</v>
      </c>
      <c r="R272" t="s">
        <v>6711</v>
      </c>
      <c r="S272" t="s">
        <v>6712</v>
      </c>
      <c r="T272" t="s">
        <v>17</v>
      </c>
      <c r="AC272" t="s">
        <v>6713</v>
      </c>
    </row>
    <row r="273" spans="1:29">
      <c r="A273" t="s">
        <v>6723</v>
      </c>
      <c r="B273" t="s">
        <v>15</v>
      </c>
      <c r="C273" t="s">
        <v>6705</v>
      </c>
      <c r="D273" t="s">
        <v>3179</v>
      </c>
      <c r="E273" t="s">
        <v>6461</v>
      </c>
      <c r="F273" t="s">
        <v>6724</v>
      </c>
      <c r="G273" t="s">
        <v>6725</v>
      </c>
      <c r="H273" t="s">
        <v>6726</v>
      </c>
      <c r="I273" t="s">
        <v>6727</v>
      </c>
      <c r="K273" t="s">
        <v>5634</v>
      </c>
      <c r="L273" t="s">
        <v>496</v>
      </c>
      <c r="M273" t="s">
        <v>5391</v>
      </c>
      <c r="O273" t="s">
        <v>6710</v>
      </c>
      <c r="P273" t="s">
        <v>5366</v>
      </c>
      <c r="Q273" t="s">
        <v>5367</v>
      </c>
      <c r="R273" t="s">
        <v>6711</v>
      </c>
      <c r="S273" t="s">
        <v>6712</v>
      </c>
      <c r="T273" t="s">
        <v>17</v>
      </c>
      <c r="AC273" t="s">
        <v>6713</v>
      </c>
    </row>
    <row r="274" spans="1:29">
      <c r="A274" t="s">
        <v>6728</v>
      </c>
      <c r="B274" t="s">
        <v>15</v>
      </c>
      <c r="C274" t="s">
        <v>6705</v>
      </c>
      <c r="D274" t="s">
        <v>2597</v>
      </c>
      <c r="E274" t="s">
        <v>1966</v>
      </c>
      <c r="F274" t="s">
        <v>6729</v>
      </c>
      <c r="G274" t="s">
        <v>5969</v>
      </c>
      <c r="H274" t="s">
        <v>6730</v>
      </c>
      <c r="I274" t="s">
        <v>6731</v>
      </c>
      <c r="K274" t="s">
        <v>5634</v>
      </c>
      <c r="L274" t="s">
        <v>457</v>
      </c>
      <c r="M274" t="s">
        <v>5405</v>
      </c>
      <c r="O274" t="s">
        <v>6710</v>
      </c>
      <c r="P274" t="s">
        <v>5366</v>
      </c>
      <c r="Q274" t="s">
        <v>1164</v>
      </c>
      <c r="R274" t="s">
        <v>6732</v>
      </c>
      <c r="S274" t="s">
        <v>6712</v>
      </c>
      <c r="T274" t="s">
        <v>17</v>
      </c>
      <c r="U274" t="s">
        <v>1968</v>
      </c>
      <c r="AC274" t="s">
        <v>6713</v>
      </c>
    </row>
    <row r="275" spans="1:29">
      <c r="A275" t="s">
        <v>6733</v>
      </c>
      <c r="B275" t="s">
        <v>15</v>
      </c>
      <c r="C275" t="s">
        <v>13</v>
      </c>
      <c r="D275" t="s">
        <v>6734</v>
      </c>
      <c r="E275" t="s">
        <v>6461</v>
      </c>
      <c r="F275" t="s">
        <v>6735</v>
      </c>
      <c r="G275" t="s">
        <v>6025</v>
      </c>
      <c r="H275" t="s">
        <v>6736</v>
      </c>
      <c r="I275" t="s">
        <v>6737</v>
      </c>
      <c r="K275" t="s">
        <v>5634</v>
      </c>
      <c r="L275" t="s">
        <v>496</v>
      </c>
      <c r="M275" t="s">
        <v>5391</v>
      </c>
      <c r="O275" t="s">
        <v>6710</v>
      </c>
      <c r="P275" t="s">
        <v>5366</v>
      </c>
      <c r="Q275" t="s">
        <v>5367</v>
      </c>
      <c r="R275" t="s">
        <v>6711</v>
      </c>
      <c r="S275" t="s">
        <v>6712</v>
      </c>
      <c r="T275" t="s">
        <v>17</v>
      </c>
      <c r="U275" t="s">
        <v>14</v>
      </c>
      <c r="V275" t="s">
        <v>6738</v>
      </c>
      <c r="W275" t="s">
        <v>2079</v>
      </c>
      <c r="AC275" t="s">
        <v>6713</v>
      </c>
    </row>
    <row r="276" spans="1:29">
      <c r="A276" t="s">
        <v>6739</v>
      </c>
      <c r="B276" t="s">
        <v>15</v>
      </c>
      <c r="C276" t="s">
        <v>22</v>
      </c>
      <c r="D276" t="s">
        <v>6740</v>
      </c>
      <c r="E276" t="s">
        <v>6461</v>
      </c>
      <c r="F276" t="s">
        <v>6741</v>
      </c>
      <c r="G276" t="s">
        <v>6742</v>
      </c>
      <c r="H276" t="s">
        <v>6743</v>
      </c>
      <c r="I276" t="s">
        <v>6744</v>
      </c>
      <c r="K276" t="s">
        <v>5634</v>
      </c>
      <c r="L276" t="s">
        <v>496</v>
      </c>
      <c r="M276" t="s">
        <v>5391</v>
      </c>
      <c r="O276" t="s">
        <v>6710</v>
      </c>
      <c r="P276" t="s">
        <v>5366</v>
      </c>
      <c r="Q276" t="s">
        <v>5367</v>
      </c>
      <c r="R276" t="s">
        <v>6711</v>
      </c>
      <c r="S276" t="s">
        <v>6712</v>
      </c>
      <c r="T276" t="s">
        <v>17</v>
      </c>
      <c r="U276" t="s">
        <v>24</v>
      </c>
      <c r="AC276" t="s">
        <v>6713</v>
      </c>
    </row>
    <row r="277" spans="1:29">
      <c r="A277" t="s">
        <v>6745</v>
      </c>
      <c r="B277" t="s">
        <v>15</v>
      </c>
      <c r="C277" t="s">
        <v>420</v>
      </c>
      <c r="D277" t="s">
        <v>101</v>
      </c>
      <c r="E277" t="s">
        <v>2059</v>
      </c>
      <c r="F277" t="s">
        <v>6746</v>
      </c>
      <c r="G277" t="s">
        <v>6747</v>
      </c>
      <c r="H277" t="s">
        <v>6748</v>
      </c>
      <c r="I277" t="s">
        <v>6749</v>
      </c>
      <c r="K277" t="s">
        <v>5634</v>
      </c>
      <c r="L277" t="s">
        <v>457</v>
      </c>
      <c r="M277" t="s">
        <v>5405</v>
      </c>
      <c r="O277" t="s">
        <v>6710</v>
      </c>
      <c r="P277" t="s">
        <v>5366</v>
      </c>
      <c r="Q277" t="s">
        <v>5367</v>
      </c>
      <c r="R277" t="s">
        <v>6711</v>
      </c>
      <c r="S277" t="s">
        <v>6712</v>
      </c>
      <c r="T277" t="s">
        <v>17</v>
      </c>
      <c r="U277" t="s">
        <v>102</v>
      </c>
      <c r="AC277" t="s">
        <v>6713</v>
      </c>
    </row>
    <row r="278" spans="1:29">
      <c r="A278" t="s">
        <v>6750</v>
      </c>
      <c r="B278" t="s">
        <v>15</v>
      </c>
      <c r="C278" t="s">
        <v>6751</v>
      </c>
      <c r="D278" t="s">
        <v>6752</v>
      </c>
      <c r="E278" t="s">
        <v>1966</v>
      </c>
      <c r="F278" t="s">
        <v>6753</v>
      </c>
      <c r="G278" t="s">
        <v>5969</v>
      </c>
      <c r="H278" t="s">
        <v>6754</v>
      </c>
      <c r="I278" t="s">
        <v>6755</v>
      </c>
      <c r="K278" t="s">
        <v>5634</v>
      </c>
      <c r="L278" t="s">
        <v>496</v>
      </c>
      <c r="M278" t="s">
        <v>5391</v>
      </c>
      <c r="O278" t="s">
        <v>6710</v>
      </c>
      <c r="P278" t="s">
        <v>5366</v>
      </c>
      <c r="Q278" t="s">
        <v>1164</v>
      </c>
      <c r="R278" t="s">
        <v>6732</v>
      </c>
      <c r="S278" t="s">
        <v>6712</v>
      </c>
      <c r="T278" t="s">
        <v>17</v>
      </c>
      <c r="U278" t="s">
        <v>171</v>
      </c>
      <c r="AC278" t="s">
        <v>6713</v>
      </c>
    </row>
    <row r="279" spans="1:29">
      <c r="A279" t="s">
        <v>6756</v>
      </c>
      <c r="B279" t="s">
        <v>15</v>
      </c>
      <c r="C279" t="s">
        <v>6705</v>
      </c>
      <c r="D279" t="s">
        <v>5957</v>
      </c>
      <c r="E279" t="s">
        <v>2059</v>
      </c>
      <c r="F279" t="s">
        <v>6757</v>
      </c>
      <c r="G279" t="s">
        <v>6758</v>
      </c>
      <c r="H279" t="s">
        <v>6759</v>
      </c>
      <c r="I279" t="s">
        <v>6760</v>
      </c>
      <c r="K279" t="s">
        <v>5634</v>
      </c>
      <c r="L279" t="s">
        <v>496</v>
      </c>
      <c r="M279" t="s">
        <v>5405</v>
      </c>
      <c r="O279" t="s">
        <v>6710</v>
      </c>
      <c r="P279" t="s">
        <v>5366</v>
      </c>
      <c r="Q279" t="s">
        <v>5367</v>
      </c>
      <c r="R279" t="s">
        <v>6711</v>
      </c>
      <c r="S279" t="s">
        <v>6712</v>
      </c>
      <c r="T279" t="s">
        <v>17</v>
      </c>
      <c r="U279" t="s">
        <v>1937</v>
      </c>
      <c r="AC279" t="s">
        <v>6713</v>
      </c>
    </row>
    <row r="280" spans="1:29">
      <c r="A280" t="s">
        <v>6761</v>
      </c>
      <c r="B280" t="s">
        <v>15</v>
      </c>
      <c r="C280" t="s">
        <v>6705</v>
      </c>
      <c r="D280" t="s">
        <v>2289</v>
      </c>
      <c r="E280" t="s">
        <v>6461</v>
      </c>
      <c r="F280" t="s">
        <v>6762</v>
      </c>
      <c r="G280" t="s">
        <v>6763</v>
      </c>
      <c r="H280" t="s">
        <v>6764</v>
      </c>
      <c r="I280" t="s">
        <v>6765</v>
      </c>
      <c r="K280" t="s">
        <v>5634</v>
      </c>
      <c r="L280" t="s">
        <v>457</v>
      </c>
      <c r="M280" t="s">
        <v>5405</v>
      </c>
      <c r="O280" t="s">
        <v>6710</v>
      </c>
      <c r="P280" t="s">
        <v>5366</v>
      </c>
      <c r="Q280" t="s">
        <v>5367</v>
      </c>
      <c r="R280" t="s">
        <v>6711</v>
      </c>
      <c r="S280" t="s">
        <v>6712</v>
      </c>
      <c r="T280" t="s">
        <v>17</v>
      </c>
      <c r="U280" t="s">
        <v>135</v>
      </c>
      <c r="AC280" t="s">
        <v>6713</v>
      </c>
    </row>
    <row r="281" spans="1:29">
      <c r="A281" t="s">
        <v>6766</v>
      </c>
      <c r="B281" t="s">
        <v>15</v>
      </c>
      <c r="C281" t="s">
        <v>6767</v>
      </c>
      <c r="D281" t="s">
        <v>6768</v>
      </c>
      <c r="E281" t="s">
        <v>6769</v>
      </c>
      <c r="F281" t="s">
        <v>6770</v>
      </c>
      <c r="G281" t="s">
        <v>6771</v>
      </c>
      <c r="H281" t="s">
        <v>6772</v>
      </c>
      <c r="I281" t="s">
        <v>6773</v>
      </c>
      <c r="J281" t="s">
        <v>6774</v>
      </c>
      <c r="K281" t="s">
        <v>6775</v>
      </c>
      <c r="L281" t="s">
        <v>496</v>
      </c>
      <c r="M281" t="s">
        <v>496</v>
      </c>
      <c r="N281" t="s">
        <v>6776</v>
      </c>
      <c r="O281" t="s">
        <v>5365</v>
      </c>
      <c r="P281" t="s">
        <v>5366</v>
      </c>
      <c r="Q281" t="s">
        <v>5367</v>
      </c>
      <c r="R281" t="s">
        <v>5556</v>
      </c>
      <c r="S281" t="s">
        <v>6777</v>
      </c>
      <c r="T281" t="s">
        <v>5370</v>
      </c>
      <c r="X281" t="s">
        <v>6778</v>
      </c>
      <c r="AC281" t="s">
        <v>6779</v>
      </c>
    </row>
    <row r="282" spans="1:29">
      <c r="A282" t="s">
        <v>6780</v>
      </c>
      <c r="B282" t="s">
        <v>15</v>
      </c>
      <c r="C282" t="s">
        <v>6767</v>
      </c>
      <c r="D282" t="s">
        <v>6768</v>
      </c>
      <c r="E282" t="s">
        <v>6769</v>
      </c>
      <c r="F282" t="s">
        <v>6781</v>
      </c>
      <c r="G282" t="s">
        <v>6771</v>
      </c>
      <c r="H282" t="s">
        <v>6782</v>
      </c>
      <c r="I282" t="s">
        <v>6783</v>
      </c>
      <c r="J282" t="s">
        <v>6774</v>
      </c>
      <c r="K282" t="s">
        <v>6775</v>
      </c>
      <c r="L282" t="s">
        <v>496</v>
      </c>
      <c r="M282" t="s">
        <v>496</v>
      </c>
      <c r="N282" t="s">
        <v>6776</v>
      </c>
      <c r="O282" t="s">
        <v>5365</v>
      </c>
      <c r="P282" t="s">
        <v>5366</v>
      </c>
      <c r="Q282" t="s">
        <v>5367</v>
      </c>
      <c r="R282" t="s">
        <v>5556</v>
      </c>
      <c r="S282" t="s">
        <v>6777</v>
      </c>
      <c r="T282" t="s">
        <v>5370</v>
      </c>
      <c r="X282" t="s">
        <v>6784</v>
      </c>
      <c r="AC282" t="s">
        <v>6779</v>
      </c>
    </row>
    <row r="283" spans="1:29">
      <c r="A283" t="s">
        <v>6785</v>
      </c>
      <c r="B283" t="s">
        <v>15</v>
      </c>
      <c r="C283" t="s">
        <v>6767</v>
      </c>
      <c r="D283" t="s">
        <v>6768</v>
      </c>
      <c r="E283" t="s">
        <v>6769</v>
      </c>
      <c r="F283" t="s">
        <v>6786</v>
      </c>
      <c r="G283" t="s">
        <v>6771</v>
      </c>
      <c r="H283" t="s">
        <v>6782</v>
      </c>
      <c r="I283" t="s">
        <v>6787</v>
      </c>
      <c r="J283" t="s">
        <v>6774</v>
      </c>
      <c r="K283" t="s">
        <v>6775</v>
      </c>
      <c r="L283" t="s">
        <v>496</v>
      </c>
      <c r="M283" t="s">
        <v>496</v>
      </c>
      <c r="N283" t="s">
        <v>6776</v>
      </c>
      <c r="O283" t="s">
        <v>5365</v>
      </c>
      <c r="P283" t="s">
        <v>5366</v>
      </c>
      <c r="Q283" t="s">
        <v>5367</v>
      </c>
      <c r="R283" t="s">
        <v>5556</v>
      </c>
      <c r="S283" t="s">
        <v>6777</v>
      </c>
      <c r="T283" t="s">
        <v>5370</v>
      </c>
      <c r="X283" t="s">
        <v>6788</v>
      </c>
      <c r="AC283" t="s">
        <v>6779</v>
      </c>
    </row>
    <row r="284" spans="1:29">
      <c r="A284" t="s">
        <v>6789</v>
      </c>
      <c r="B284" t="s">
        <v>15</v>
      </c>
      <c r="C284" t="s">
        <v>6767</v>
      </c>
      <c r="D284" t="s">
        <v>6768</v>
      </c>
      <c r="E284" t="s">
        <v>6769</v>
      </c>
      <c r="F284" t="s">
        <v>6790</v>
      </c>
      <c r="G284" t="s">
        <v>6771</v>
      </c>
      <c r="H284" t="s">
        <v>6791</v>
      </c>
      <c r="I284" t="s">
        <v>6783</v>
      </c>
      <c r="J284" t="s">
        <v>6774</v>
      </c>
      <c r="K284" t="s">
        <v>6775</v>
      </c>
      <c r="L284" t="s">
        <v>496</v>
      </c>
      <c r="M284" t="s">
        <v>496</v>
      </c>
      <c r="N284" t="s">
        <v>6776</v>
      </c>
      <c r="O284" t="s">
        <v>5365</v>
      </c>
      <c r="P284" t="s">
        <v>5366</v>
      </c>
      <c r="Q284" t="s">
        <v>5367</v>
      </c>
      <c r="R284" t="s">
        <v>5556</v>
      </c>
      <c r="S284" t="s">
        <v>6777</v>
      </c>
      <c r="T284" t="s">
        <v>5370</v>
      </c>
      <c r="X284" t="s">
        <v>6792</v>
      </c>
      <c r="AC284" t="s">
        <v>6779</v>
      </c>
    </row>
    <row r="285" spans="1:29">
      <c r="A285" t="s">
        <v>6793</v>
      </c>
      <c r="B285" t="s">
        <v>15</v>
      </c>
      <c r="C285" t="s">
        <v>6751</v>
      </c>
      <c r="D285" t="s">
        <v>6794</v>
      </c>
      <c r="E285" t="s">
        <v>6769</v>
      </c>
      <c r="F285" t="s">
        <v>6795</v>
      </c>
      <c r="G285" t="s">
        <v>6771</v>
      </c>
      <c r="H285" t="s">
        <v>6796</v>
      </c>
      <c r="I285" t="s">
        <v>6797</v>
      </c>
      <c r="J285" t="s">
        <v>6798</v>
      </c>
      <c r="K285" t="s">
        <v>6775</v>
      </c>
      <c r="L285" t="s">
        <v>6799</v>
      </c>
      <c r="M285" t="s">
        <v>6799</v>
      </c>
      <c r="N285" t="s">
        <v>6776</v>
      </c>
      <c r="O285" t="s">
        <v>5365</v>
      </c>
      <c r="P285" t="s">
        <v>5366</v>
      </c>
      <c r="Q285" t="s">
        <v>5367</v>
      </c>
      <c r="R285" t="s">
        <v>5556</v>
      </c>
      <c r="S285" t="s">
        <v>6777</v>
      </c>
      <c r="T285" t="s">
        <v>5370</v>
      </c>
      <c r="X285" t="s">
        <v>6800</v>
      </c>
      <c r="AC285" t="s">
        <v>6779</v>
      </c>
    </row>
    <row r="286" spans="1:29">
      <c r="A286" t="s">
        <v>6801</v>
      </c>
      <c r="B286" t="s">
        <v>15</v>
      </c>
      <c r="C286" t="s">
        <v>6767</v>
      </c>
      <c r="D286" t="s">
        <v>6802</v>
      </c>
      <c r="E286" t="s">
        <v>6769</v>
      </c>
      <c r="F286" t="s">
        <v>6803</v>
      </c>
      <c r="G286" t="s">
        <v>6771</v>
      </c>
      <c r="H286" t="s">
        <v>6804</v>
      </c>
      <c r="I286" t="s">
        <v>6805</v>
      </c>
      <c r="J286" t="s">
        <v>6806</v>
      </c>
      <c r="K286" t="s">
        <v>6775</v>
      </c>
      <c r="L286" t="s">
        <v>496</v>
      </c>
      <c r="M286" t="s">
        <v>496</v>
      </c>
      <c r="N286" t="s">
        <v>6776</v>
      </c>
      <c r="O286" t="s">
        <v>5365</v>
      </c>
      <c r="P286" t="s">
        <v>5366</v>
      </c>
      <c r="Q286" t="s">
        <v>5367</v>
      </c>
      <c r="R286" t="s">
        <v>5556</v>
      </c>
      <c r="S286" t="s">
        <v>6777</v>
      </c>
      <c r="T286" t="s">
        <v>5370</v>
      </c>
      <c r="X286" t="s">
        <v>6807</v>
      </c>
      <c r="AC286" t="s">
        <v>6779</v>
      </c>
    </row>
    <row r="287" spans="1:29">
      <c r="A287" t="s">
        <v>6808</v>
      </c>
      <c r="B287" t="s">
        <v>15</v>
      </c>
      <c r="C287" t="s">
        <v>6623</v>
      </c>
      <c r="D287" t="s">
        <v>6809</v>
      </c>
      <c r="E287" t="s">
        <v>6769</v>
      </c>
      <c r="F287" t="s">
        <v>6810</v>
      </c>
      <c r="G287" t="s">
        <v>6771</v>
      </c>
      <c r="H287" t="s">
        <v>6811</v>
      </c>
      <c r="I287" t="s">
        <v>6812</v>
      </c>
      <c r="J287" t="s">
        <v>6813</v>
      </c>
      <c r="K287" t="s">
        <v>6775</v>
      </c>
      <c r="L287" t="s">
        <v>457</v>
      </c>
      <c r="M287" t="s">
        <v>457</v>
      </c>
      <c r="N287" t="s">
        <v>6776</v>
      </c>
      <c r="O287" t="s">
        <v>5365</v>
      </c>
      <c r="P287" t="s">
        <v>5366</v>
      </c>
      <c r="Q287" t="s">
        <v>5367</v>
      </c>
      <c r="R287" t="s">
        <v>5556</v>
      </c>
      <c r="S287" t="s">
        <v>6777</v>
      </c>
      <c r="T287" t="s">
        <v>5370</v>
      </c>
      <c r="X287" t="s">
        <v>6814</v>
      </c>
      <c r="AC287" t="s">
        <v>6815</v>
      </c>
    </row>
    <row r="288" spans="1:29">
      <c r="A288" t="s">
        <v>6816</v>
      </c>
      <c r="B288" t="s">
        <v>15</v>
      </c>
      <c r="C288" t="s">
        <v>6623</v>
      </c>
      <c r="D288" t="s">
        <v>3937</v>
      </c>
      <c r="E288" t="s">
        <v>6769</v>
      </c>
      <c r="F288" t="s">
        <v>6817</v>
      </c>
      <c r="G288" t="s">
        <v>6771</v>
      </c>
      <c r="H288" t="s">
        <v>6818</v>
      </c>
      <c r="I288" t="s">
        <v>6819</v>
      </c>
      <c r="J288" t="s">
        <v>6820</v>
      </c>
      <c r="K288" t="s">
        <v>6821</v>
      </c>
      <c r="L288" t="s">
        <v>457</v>
      </c>
      <c r="M288" t="s">
        <v>457</v>
      </c>
      <c r="N288" t="s">
        <v>6776</v>
      </c>
      <c r="O288" t="s">
        <v>5365</v>
      </c>
      <c r="P288" t="s">
        <v>5366</v>
      </c>
      <c r="Q288" t="s">
        <v>5367</v>
      </c>
      <c r="R288" t="s">
        <v>5556</v>
      </c>
      <c r="S288" t="s">
        <v>6777</v>
      </c>
      <c r="T288" t="s">
        <v>5370</v>
      </c>
      <c r="X288" t="s">
        <v>6822</v>
      </c>
      <c r="AC288" t="s">
        <v>6815</v>
      </c>
    </row>
    <row r="289" spans="1:29">
      <c r="A289" t="s">
        <v>6823</v>
      </c>
      <c r="B289" t="s">
        <v>15</v>
      </c>
      <c r="C289" t="s">
        <v>6623</v>
      </c>
      <c r="D289" t="s">
        <v>6824</v>
      </c>
      <c r="E289" t="s">
        <v>6769</v>
      </c>
      <c r="F289" t="s">
        <v>6825</v>
      </c>
      <c r="G289" t="s">
        <v>6771</v>
      </c>
      <c r="H289" t="s">
        <v>6826</v>
      </c>
      <c r="I289" t="s">
        <v>6827</v>
      </c>
      <c r="J289" t="s">
        <v>6828</v>
      </c>
      <c r="K289" t="s">
        <v>6775</v>
      </c>
      <c r="L289" t="s">
        <v>457</v>
      </c>
      <c r="M289" t="s">
        <v>496</v>
      </c>
      <c r="N289" t="s">
        <v>6776</v>
      </c>
      <c r="O289" t="s">
        <v>5365</v>
      </c>
      <c r="P289" t="s">
        <v>5366</v>
      </c>
      <c r="Q289" t="s">
        <v>5367</v>
      </c>
      <c r="R289" t="s">
        <v>5556</v>
      </c>
      <c r="S289" t="s">
        <v>6777</v>
      </c>
      <c r="T289" t="s">
        <v>5370</v>
      </c>
      <c r="AC289" t="s">
        <v>6815</v>
      </c>
    </row>
    <row r="290" spans="1:29">
      <c r="A290" t="s">
        <v>6829</v>
      </c>
      <c r="B290" t="s">
        <v>15</v>
      </c>
      <c r="C290" t="s">
        <v>6623</v>
      </c>
      <c r="D290" t="s">
        <v>6639</v>
      </c>
      <c r="E290" t="s">
        <v>6769</v>
      </c>
      <c r="F290" t="s">
        <v>6830</v>
      </c>
      <c r="G290" t="s">
        <v>6771</v>
      </c>
      <c r="H290" t="s">
        <v>6831</v>
      </c>
      <c r="I290" t="s">
        <v>6832</v>
      </c>
      <c r="J290" t="s">
        <v>6833</v>
      </c>
      <c r="K290" t="s">
        <v>6775</v>
      </c>
      <c r="L290" t="s">
        <v>496</v>
      </c>
      <c r="M290" t="s">
        <v>496</v>
      </c>
      <c r="N290" t="s">
        <v>6776</v>
      </c>
      <c r="O290" t="s">
        <v>5365</v>
      </c>
      <c r="P290" t="s">
        <v>5366</v>
      </c>
      <c r="Q290" t="s">
        <v>5367</v>
      </c>
      <c r="R290" t="s">
        <v>5556</v>
      </c>
      <c r="S290" t="s">
        <v>6777</v>
      </c>
      <c r="T290" t="s">
        <v>5370</v>
      </c>
      <c r="X290" t="s">
        <v>6834</v>
      </c>
      <c r="AC290" t="s">
        <v>6815</v>
      </c>
    </row>
    <row r="291" spans="1:29">
      <c r="A291" t="s">
        <v>6835</v>
      </c>
      <c r="B291" t="s">
        <v>15</v>
      </c>
      <c r="C291" t="s">
        <v>6623</v>
      </c>
      <c r="D291" t="s">
        <v>6836</v>
      </c>
      <c r="E291" t="s">
        <v>6769</v>
      </c>
      <c r="F291" t="s">
        <v>6837</v>
      </c>
      <c r="G291" t="s">
        <v>6771</v>
      </c>
      <c r="H291" t="s">
        <v>6838</v>
      </c>
      <c r="I291" t="s">
        <v>6839</v>
      </c>
      <c r="J291" t="s">
        <v>6840</v>
      </c>
      <c r="K291" t="s">
        <v>6775</v>
      </c>
      <c r="L291" t="s">
        <v>496</v>
      </c>
      <c r="M291" t="s">
        <v>6799</v>
      </c>
      <c r="N291" t="s">
        <v>6776</v>
      </c>
      <c r="O291" t="s">
        <v>5365</v>
      </c>
      <c r="P291" t="s">
        <v>5366</v>
      </c>
      <c r="Q291" t="s">
        <v>5367</v>
      </c>
      <c r="R291" t="s">
        <v>5556</v>
      </c>
      <c r="S291" t="s">
        <v>6777</v>
      </c>
      <c r="T291" t="s">
        <v>5370</v>
      </c>
      <c r="AC291" t="s">
        <v>6815</v>
      </c>
    </row>
    <row r="292" spans="1:29">
      <c r="A292" t="s">
        <v>6841</v>
      </c>
      <c r="B292" t="s">
        <v>15</v>
      </c>
      <c r="C292" t="s">
        <v>6623</v>
      </c>
      <c r="D292" t="s">
        <v>6809</v>
      </c>
      <c r="E292" t="s">
        <v>6769</v>
      </c>
      <c r="F292" t="s">
        <v>6842</v>
      </c>
      <c r="G292" t="s">
        <v>6771</v>
      </c>
      <c r="H292" t="s">
        <v>6843</v>
      </c>
      <c r="I292" t="s">
        <v>6844</v>
      </c>
      <c r="J292" t="s">
        <v>6845</v>
      </c>
      <c r="K292" t="s">
        <v>6775</v>
      </c>
      <c r="L292" t="s">
        <v>457</v>
      </c>
      <c r="M292" t="s">
        <v>457</v>
      </c>
      <c r="N292" t="s">
        <v>6776</v>
      </c>
      <c r="O292" t="s">
        <v>5365</v>
      </c>
      <c r="P292" t="s">
        <v>5366</v>
      </c>
      <c r="Q292" t="s">
        <v>5367</v>
      </c>
      <c r="R292" t="s">
        <v>5556</v>
      </c>
      <c r="S292" t="s">
        <v>6777</v>
      </c>
      <c r="T292" t="s">
        <v>5370</v>
      </c>
      <c r="X292" t="s">
        <v>6814</v>
      </c>
      <c r="AC292" t="s">
        <v>6846</v>
      </c>
    </row>
    <row r="293" spans="1:29">
      <c r="A293" t="s">
        <v>6847</v>
      </c>
      <c r="B293" t="s">
        <v>15</v>
      </c>
      <c r="C293" t="s">
        <v>6623</v>
      </c>
      <c r="D293" t="s">
        <v>3937</v>
      </c>
      <c r="E293" t="s">
        <v>6769</v>
      </c>
      <c r="F293" t="s">
        <v>6848</v>
      </c>
      <c r="G293" t="s">
        <v>6771</v>
      </c>
      <c r="H293" t="s">
        <v>6849</v>
      </c>
      <c r="I293" t="s">
        <v>6850</v>
      </c>
      <c r="J293" t="s">
        <v>6851</v>
      </c>
      <c r="K293" t="s">
        <v>6775</v>
      </c>
      <c r="L293" t="s">
        <v>457</v>
      </c>
      <c r="M293" t="s">
        <v>457</v>
      </c>
      <c r="N293" t="s">
        <v>6776</v>
      </c>
      <c r="O293" t="s">
        <v>5365</v>
      </c>
      <c r="P293" t="s">
        <v>5366</v>
      </c>
      <c r="Q293" t="s">
        <v>5367</v>
      </c>
      <c r="R293" t="s">
        <v>5556</v>
      </c>
      <c r="S293" t="s">
        <v>6777</v>
      </c>
      <c r="T293" t="s">
        <v>5370</v>
      </c>
      <c r="X293" t="s">
        <v>6822</v>
      </c>
      <c r="AC293" t="s">
        <v>6846</v>
      </c>
    </row>
    <row r="294" spans="1:29">
      <c r="A294" t="s">
        <v>6852</v>
      </c>
      <c r="B294" t="s">
        <v>15</v>
      </c>
      <c r="C294" t="s">
        <v>6623</v>
      </c>
      <c r="D294" t="s">
        <v>3937</v>
      </c>
      <c r="E294" t="s">
        <v>6769</v>
      </c>
      <c r="F294" t="s">
        <v>6853</v>
      </c>
      <c r="G294" t="s">
        <v>6771</v>
      </c>
      <c r="H294" t="s">
        <v>6854</v>
      </c>
      <c r="I294" t="s">
        <v>6855</v>
      </c>
      <c r="J294" t="s">
        <v>6856</v>
      </c>
      <c r="K294" t="s">
        <v>6775</v>
      </c>
      <c r="L294" t="s">
        <v>457</v>
      </c>
      <c r="M294" t="s">
        <v>496</v>
      </c>
      <c r="N294" t="s">
        <v>6776</v>
      </c>
      <c r="O294" t="s">
        <v>5365</v>
      </c>
      <c r="P294" t="s">
        <v>5366</v>
      </c>
      <c r="Q294" t="s">
        <v>5367</v>
      </c>
      <c r="R294" t="s">
        <v>5556</v>
      </c>
      <c r="S294" t="s">
        <v>6777</v>
      </c>
      <c r="T294" t="s">
        <v>5370</v>
      </c>
      <c r="X294" t="s">
        <v>6857</v>
      </c>
      <c r="AC294" t="s">
        <v>6846</v>
      </c>
    </row>
    <row r="295" spans="1:29">
      <c r="A295" t="s">
        <v>6858</v>
      </c>
      <c r="B295" t="s">
        <v>15</v>
      </c>
      <c r="C295" t="s">
        <v>6623</v>
      </c>
      <c r="D295" t="s">
        <v>6639</v>
      </c>
      <c r="E295" t="s">
        <v>6769</v>
      </c>
      <c r="F295" t="s">
        <v>6859</v>
      </c>
      <c r="G295" t="s">
        <v>6771</v>
      </c>
      <c r="H295" t="s">
        <v>6860</v>
      </c>
      <c r="I295" t="s">
        <v>6861</v>
      </c>
      <c r="J295" t="s">
        <v>6862</v>
      </c>
      <c r="K295" t="s">
        <v>6775</v>
      </c>
      <c r="L295" t="s">
        <v>496</v>
      </c>
      <c r="M295" t="s">
        <v>496</v>
      </c>
      <c r="N295" t="s">
        <v>6776</v>
      </c>
      <c r="O295" t="s">
        <v>5365</v>
      </c>
      <c r="P295" t="s">
        <v>5366</v>
      </c>
      <c r="Q295" t="s">
        <v>5367</v>
      </c>
      <c r="R295" t="s">
        <v>5556</v>
      </c>
      <c r="S295" t="s">
        <v>6777</v>
      </c>
      <c r="T295" t="s">
        <v>5370</v>
      </c>
      <c r="X295" t="s">
        <v>6834</v>
      </c>
      <c r="AC295" t="s">
        <v>6846</v>
      </c>
    </row>
  </sheetData>
  <autoFilter ref="A1:AC1" xr:uid="{00000000-0009-0000-0000-000007000000}"/>
  <phoneticPr fontId="15" type="noConversion"/>
  <dataValidations count="15">
    <dataValidation type="list" allowBlank="1" sqref="B2:B200" xr:uid="{00000000-0002-0000-0700-000000000000}">
      <formula1>"Web,App (iOS),App (Android),Web + App,공통"</formula1>
    </dataValidation>
    <dataValidation type="list" allowBlank="1" sqref="E2:E200" xr:uid="{00000000-0002-0000-0700-000001000000}">
      <formula1>"기능 테스트,UI/UX 테스트,API 테스트,성능 테스트,보안 테스트,호환성 테스트,회귀 테스트,탐색적 테스트"</formula1>
    </dataValidation>
    <dataValidation type="list" allowBlank="1" sqref="K2:K200" xr:uid="{00000000-0002-0000-0700-000002000000}">
      <formula1>"미실행,Pass,Fail,Block,N/A,보류"</formula1>
    </dataValidation>
    <dataValidation type="list" allowBlank="1" sqref="L2:L200" xr:uid="{00000000-0002-0000-0700-000003000000}">
      <formula1>"Critical,High,Medium,Low"</formula1>
    </dataValidation>
    <dataValidation type="list" allowBlank="1" sqref="M2:M200" xr:uid="{00000000-0002-0000-0700-000004000000}">
      <formula1>"Blocker,Critical,Major,Minor,Trivial"</formula1>
    </dataValidation>
    <dataValidation type="list" allowBlank="1" sqref="N2:N200" xr:uid="{00000000-0002-0000-0700-000005000000}">
      <formula1>"기획자1,기획자2,디자이너1,개발자1,개발자2,QA담당자1,QA담당자2"</formula1>
    </dataValidation>
    <dataValidation type="list" allowBlank="1" sqref="O2:O200" xr:uid="{00000000-0002-0000-0700-000006000000}">
      <formula1>"Production,Staging,Dev,QA"</formula1>
    </dataValidation>
    <dataValidation type="list" allowBlank="1" sqref="P2:P200" xr:uid="{00000000-0002-0000-0700-000007000000}">
      <formula1>"Chrome,Safari,Firefox,Edge,Samsung Internet,인앱브라우저"</formula1>
    </dataValidation>
    <dataValidation type="list" allowBlank="1" sqref="Q2:Q200" xr:uid="{00000000-0002-0000-0700-000008000000}">
      <formula1>"Desktop,iPhone 15,iPhone 14,Galaxy S24,Galaxy S23,iPad,Galaxy Tab,기타"</formula1>
    </dataValidation>
    <dataValidation type="list" allowBlank="1" sqref="R2:R200" xr:uid="{00000000-0002-0000-0700-000009000000}">
      <formula1>"Windows 11,Windows 10,macOS,iOS 17,iOS 16,Android 14,Android 13"</formula1>
    </dataValidation>
    <dataValidation type="list" allowBlank="1" sqref="S2:S200" xr:uid="{00000000-0002-0000-0700-00000A000000}">
      <formula1>"1차,2차,3차,리그레션,핫픽스"</formula1>
    </dataValidation>
    <dataValidation type="list" allowBlank="1" sqref="T2:T200" xr:uid="{00000000-0002-0000-0700-00000B000000}">
      <formula1>"수동,자동화 완료,자동화 예정,자동화 불가"</formula1>
    </dataValidation>
    <dataValidation type="list" allowBlank="1" sqref="U2:U200" xr:uid="{00000000-0002-0000-0700-00000C000000}">
      <formula1>_xlfn._LONGTEXT("SCR-001,SCR-002,SCR-010,SCR-011,SCR-012,SCR-013,SCR-014,SCR-020,SCR-021,SCR-030,SCR-031,SCR-032,SCR-040,SCR-041,SCR-050,SCR-051,SCR-052,SCR-053,SCR-060,SCR-061,SCR-062,SCR-063,SCR-070,SCR-071,SCR-072,SCR-073,SCR-080,SCR-081,SCR-090,SCR-091,SCR-092,SCR-093",",SCR-094")</formula1>
    </dataValidation>
    <dataValidation type="list" allowBlank="1" sqref="V2:V200" xr:uid="{00000000-0002-0000-0700-00000D000000}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type="list" allowBlank="1" sqref="W2:W200" xr:uid="{00000000-0002-0000-0700-00000E000000}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2"/>
  <sheetViews>
    <sheetView workbookViewId="0"/>
  </sheetViews>
  <sheetFormatPr baseColWidth="10" defaultColWidth="8.83203125" defaultRowHeight="17"/>
  <cols>
    <col min="1" max="1" width="22" customWidth="1"/>
    <col min="2" max="2" width="16" customWidth="1"/>
    <col min="3" max="4" width="14" customWidth="1"/>
  </cols>
  <sheetData>
    <row r="1" spans="1:4" ht="23">
      <c r="A1" s="3" t="s">
        <v>6863</v>
      </c>
    </row>
    <row r="3" spans="1:4">
      <c r="A3" s="4" t="s">
        <v>6864</v>
      </c>
      <c r="B3" s="5"/>
      <c r="C3" s="5"/>
      <c r="D3" s="5"/>
    </row>
    <row r="4" spans="1:4">
      <c r="A4" s="6" t="s">
        <v>6865</v>
      </c>
      <c r="B4" s="6" t="s">
        <v>6866</v>
      </c>
      <c r="C4" s="6" t="s">
        <v>674</v>
      </c>
      <c r="D4" s="6" t="s">
        <v>6867</v>
      </c>
    </row>
    <row r="5" spans="1:4">
      <c r="A5" s="7" t="s">
        <v>6868</v>
      </c>
      <c r="B5" s="7">
        <f>COUNTA('IA(정보구조)'!A2:A500)</f>
        <v>72</v>
      </c>
      <c r="C5" s="7">
        <f>COUNTIF('IA(정보구조)'!K2:K500,"확정")</f>
        <v>0</v>
      </c>
      <c r="D5" s="7">
        <f>COUNTIF('IA(정보구조)'!K2:K500,"작성중")</f>
        <v>0</v>
      </c>
    </row>
    <row r="6" spans="1:4">
      <c r="A6" s="7" t="s">
        <v>6869</v>
      </c>
      <c r="B6" s="7">
        <f>COUNTA(화면설계서!A2:A500)</f>
        <v>148</v>
      </c>
      <c r="C6" s="7">
        <f>COUNTIF(화면설계서!Q2:Q500,"확정")</f>
        <v>148</v>
      </c>
      <c r="D6" s="7">
        <f>COUNTIF(화면설계서!Q2:Q500,"작성중")</f>
        <v>0</v>
      </c>
    </row>
    <row r="7" spans="1:4">
      <c r="A7" s="7" t="s">
        <v>6870</v>
      </c>
      <c r="B7" s="7">
        <f>COUNTA(기능명세서!A2:A500)</f>
        <v>157</v>
      </c>
      <c r="C7" s="7">
        <f>COUNTIF(기능명세서!P2:P500,"개발완료")</f>
        <v>64</v>
      </c>
      <c r="D7" s="7">
        <f>COUNTIF(기능명세서!P2:P500,"기획완료")</f>
        <v>29</v>
      </c>
    </row>
    <row r="8" spans="1:4">
      <c r="A8" s="7" t="s">
        <v>6871</v>
      </c>
      <c r="B8" s="7">
        <f>COUNTA(API명세서!A2:A500)</f>
        <v>77</v>
      </c>
      <c r="C8" s="7">
        <f>COUNTIF(API명세서!M2:M500,"개발완료")</f>
        <v>69</v>
      </c>
      <c r="D8" s="7">
        <f>COUNTIF(API명세서!M2:M500,"설계중")</f>
        <v>8</v>
      </c>
    </row>
    <row r="9" spans="1:4">
      <c r="A9" s="7" t="s">
        <v>6872</v>
      </c>
      <c r="B9" s="7">
        <f>COUNTA('데이터 정의서'!A2:A500)</f>
        <v>499</v>
      </c>
      <c r="C9" s="7">
        <f>COUNTIF('데이터 정의서'!L2:L500,"확정")</f>
        <v>365</v>
      </c>
      <c r="D9" s="7">
        <f>COUNTIF('데이터 정의서'!L2:L500,"작성중")</f>
        <v>0</v>
      </c>
    </row>
    <row r="12" spans="1:4">
      <c r="A12" s="4" t="s">
        <v>6873</v>
      </c>
      <c r="B12" s="5"/>
    </row>
    <row r="13" spans="1:4">
      <c r="A13" s="7" t="s">
        <v>6874</v>
      </c>
      <c r="B13" s="7">
        <f>COUNTA(QA테스트케이스!A2:A500)</f>
        <v>294</v>
      </c>
    </row>
    <row r="14" spans="1:4">
      <c r="A14" s="7" t="s">
        <v>6775</v>
      </c>
      <c r="B14" s="7">
        <f>COUNTIF(QA테스트케이스!K2:K500,"통과")</f>
        <v>50</v>
      </c>
    </row>
    <row r="15" spans="1:4">
      <c r="A15" s="7" t="s">
        <v>6821</v>
      </c>
      <c r="B15" s="7">
        <f>COUNTIF(QA테스트케이스!K2:K500,"실패")</f>
        <v>0</v>
      </c>
    </row>
    <row r="16" spans="1:4">
      <c r="A16" s="7" t="s">
        <v>6875</v>
      </c>
      <c r="B16" s="7">
        <f>COUNTIF(QA테스트케이스!K2:K500,"차단")</f>
        <v>0</v>
      </c>
    </row>
    <row r="17" spans="1:4">
      <c r="A17" s="7" t="s">
        <v>5634</v>
      </c>
      <c r="B17" s="7">
        <f>COUNTIF(QA테스트케이스!K2:K500,"미실행")</f>
        <v>229</v>
      </c>
    </row>
    <row r="18" spans="1:4">
      <c r="A18" s="7" t="s">
        <v>6876</v>
      </c>
      <c r="B18" s="7">
        <f>IF(B14&gt;0,B14/(B14+B15+B16)*100,0)</f>
        <v>100</v>
      </c>
    </row>
    <row r="21" spans="1:4">
      <c r="A21" s="4" t="s">
        <v>6877</v>
      </c>
      <c r="B21" s="5"/>
      <c r="C21" s="5"/>
      <c r="D21" s="5"/>
    </row>
    <row r="22" spans="1:4">
      <c r="A22" s="6" t="s">
        <v>5</v>
      </c>
      <c r="B22" s="6" t="s">
        <v>6878</v>
      </c>
      <c r="C22" s="6" t="s">
        <v>6775</v>
      </c>
      <c r="D22" s="6" t="s">
        <v>6821</v>
      </c>
    </row>
    <row r="23" spans="1:4">
      <c r="A23" s="7" t="s">
        <v>15</v>
      </c>
      <c r="B23" s="7">
        <f>COUNTIF(QA테스트케이스!B2:B500,"Web")</f>
        <v>294</v>
      </c>
      <c r="C23" s="7">
        <f>COUNTIFS(QA테스트케이스!B2:B500,"Web",QA테스트케이스!K2:K500,"통과")</f>
        <v>50</v>
      </c>
      <c r="D23" s="7">
        <f>COUNTIFS(QA테스트케이스!B2:B500,"Web",QA테스트케이스!K2:K500,"실패")</f>
        <v>0</v>
      </c>
    </row>
    <row r="24" spans="1:4">
      <c r="A24" s="7" t="s">
        <v>6879</v>
      </c>
      <c r="B24" s="7">
        <f>COUNTIF(QA테스트케이스!B2:B500,"App (iOS)")</f>
        <v>0</v>
      </c>
      <c r="C24" s="7">
        <f>COUNTIFS(QA테스트케이스!B2:B500,"App (iOS)",QA테스트케이스!K2:K500,"통과")</f>
        <v>0</v>
      </c>
      <c r="D24" s="7">
        <f>COUNTIFS(QA테스트케이스!B2:B500,"App (iOS)",QA테스트케이스!K2:K500,"실패")</f>
        <v>0</v>
      </c>
    </row>
    <row r="25" spans="1:4">
      <c r="A25" s="7" t="s">
        <v>6880</v>
      </c>
      <c r="B25" s="7">
        <f>COUNTIF(QA테스트케이스!B2:B500,"App (Android)")</f>
        <v>0</v>
      </c>
      <c r="C25" s="7">
        <f>COUNTIFS(QA테스트케이스!B2:B500,"App (Android)",QA테스트케이스!K2:K500,"통과")</f>
        <v>0</v>
      </c>
      <c r="D25" s="7">
        <f>COUNTIFS(QA테스트케이스!B2:B500,"App (Android)",QA테스트케이스!K2:K500,"실패")</f>
        <v>0</v>
      </c>
    </row>
    <row r="26" spans="1:4">
      <c r="A26" s="7" t="s">
        <v>3094</v>
      </c>
      <c r="B26" s="7">
        <f>COUNTIF(QA테스트케이스!B2:B500,"공통")</f>
        <v>0</v>
      </c>
      <c r="C26" s="7">
        <f>COUNTIFS(QA테스트케이스!B2:B500,"공통",QA테스트케이스!K2:K500,"통과")</f>
        <v>0</v>
      </c>
      <c r="D26" s="7">
        <f>COUNTIFS(QA테스트케이스!B2:B500,"공통",QA테스트케이스!K2:K500,"실패")</f>
        <v>0</v>
      </c>
    </row>
    <row r="29" spans="1:4">
      <c r="A29" s="4" t="s">
        <v>6881</v>
      </c>
      <c r="B29" s="5"/>
    </row>
    <row r="30" spans="1:4">
      <c r="A30" s="7" t="s">
        <v>6882</v>
      </c>
      <c r="B30" s="7">
        <f>COUNTIF('사용자 스토리'!J2:J500,"Backlog")</f>
        <v>0</v>
      </c>
    </row>
    <row r="31" spans="1:4">
      <c r="A31" s="7" t="s">
        <v>543</v>
      </c>
      <c r="B31" s="7">
        <f>COUNTIF('사용자 스토리'!J2:J500,"To Do")</f>
        <v>26</v>
      </c>
    </row>
    <row r="32" spans="1:4">
      <c r="A32" s="7" t="s">
        <v>6883</v>
      </c>
      <c r="B32" s="7">
        <f>COUNTIF('사용자 스토리'!J2:J500,"In Progress")</f>
        <v>0</v>
      </c>
    </row>
    <row r="33" spans="1:4">
      <c r="A33" s="7" t="s">
        <v>6884</v>
      </c>
      <c r="B33" s="7">
        <f>COUNTIF('사용자 스토리'!J2:J500,"In Review")</f>
        <v>0</v>
      </c>
    </row>
    <row r="34" spans="1:4">
      <c r="A34" s="7" t="s">
        <v>441</v>
      </c>
      <c r="B34" s="7">
        <f>COUNTIF('사용자 스토리'!J2:J500,"Done")</f>
        <v>34</v>
      </c>
    </row>
    <row r="36" spans="1:4">
      <c r="A36" s="4" t="s">
        <v>6885</v>
      </c>
      <c r="B36" s="5"/>
    </row>
    <row r="37" spans="1:4">
      <c r="A37" s="7" t="s">
        <v>6886</v>
      </c>
      <c r="B37" s="7">
        <f>COUNTA('UI 요소 상세'!A2:A500)</f>
        <v>192</v>
      </c>
    </row>
    <row r="38" spans="1:4">
      <c r="A38" s="7" t="s">
        <v>6099</v>
      </c>
      <c r="B38" s="7">
        <f>COUNTIF('UI 요소 상세'!N2:N500,"완료")</f>
        <v>0</v>
      </c>
    </row>
    <row r="39" spans="1:4">
      <c r="A39" s="7" t="s">
        <v>2084</v>
      </c>
      <c r="B39" s="7">
        <f>COUNTIF('UI 요소 상세'!N2:N500,"설계중")</f>
        <v>129</v>
      </c>
    </row>
    <row r="40" spans="1:4">
      <c r="A40" s="7" t="s">
        <v>6887</v>
      </c>
      <c r="B40" s="7">
        <f>COUNTIF('UI 요소 상세'!N2:N500,"개발중")</f>
        <v>0</v>
      </c>
    </row>
    <row r="42" spans="1:4">
      <c r="A42" t="s">
        <v>6888</v>
      </c>
    </row>
    <row r="43" spans="1:4">
      <c r="A43" t="s">
        <v>6889</v>
      </c>
      <c r="B43" t="s">
        <v>6890</v>
      </c>
      <c r="C43" t="s">
        <v>6891</v>
      </c>
      <c r="D43" t="s">
        <v>6892</v>
      </c>
    </row>
    <row r="44" spans="1:4">
      <c r="A44" t="s">
        <v>6893</v>
      </c>
      <c r="B44" t="s">
        <v>6894</v>
      </c>
      <c r="C44" t="s">
        <v>6895</v>
      </c>
      <c r="D44" t="s">
        <v>6896</v>
      </c>
    </row>
    <row r="45" spans="1:4">
      <c r="A45" t="s">
        <v>6897</v>
      </c>
      <c r="B45" t="s">
        <v>6898</v>
      </c>
      <c r="C45" t="s">
        <v>6899</v>
      </c>
      <c r="D45" t="s">
        <v>6900</v>
      </c>
    </row>
    <row r="46" spans="1:4">
      <c r="A46" t="s">
        <v>6901</v>
      </c>
      <c r="B46" t="s">
        <v>6902</v>
      </c>
      <c r="C46" t="s">
        <v>6902</v>
      </c>
      <c r="D46" t="s">
        <v>6903</v>
      </c>
    </row>
    <row r="47" spans="1:4">
      <c r="A47" t="s">
        <v>6886</v>
      </c>
      <c r="B47">
        <v>156</v>
      </c>
      <c r="C47">
        <v>156</v>
      </c>
      <c r="D47" t="s">
        <v>6904</v>
      </c>
    </row>
    <row r="48" spans="1:4">
      <c r="A48" t="s">
        <v>6874</v>
      </c>
      <c r="B48" t="s">
        <v>6905</v>
      </c>
      <c r="C48" t="s">
        <v>4969</v>
      </c>
      <c r="D48" t="s">
        <v>6906</v>
      </c>
    </row>
    <row r="49" spans="1:4">
      <c r="A49" t="s">
        <v>6907</v>
      </c>
      <c r="B49" t="s">
        <v>6908</v>
      </c>
      <c r="C49" t="s">
        <v>6909</v>
      </c>
      <c r="D49" t="s">
        <v>6910</v>
      </c>
    </row>
    <row r="50" spans="1:4">
      <c r="A50" t="s">
        <v>6911</v>
      </c>
      <c r="B50" t="s">
        <v>6912</v>
      </c>
      <c r="C50" t="s">
        <v>6913</v>
      </c>
      <c r="D50" t="s">
        <v>6914</v>
      </c>
    </row>
    <row r="51" spans="1:4">
      <c r="A51" t="s">
        <v>6915</v>
      </c>
      <c r="B51" t="s">
        <v>6916</v>
      </c>
      <c r="C51" t="s">
        <v>6917</v>
      </c>
      <c r="D51" t="s">
        <v>6900</v>
      </c>
    </row>
    <row r="53" spans="1:4">
      <c r="A53" t="s">
        <v>6918</v>
      </c>
    </row>
    <row r="54" spans="1:4">
      <c r="A54" t="s">
        <v>6919</v>
      </c>
      <c r="B54" t="s">
        <v>6920</v>
      </c>
      <c r="C54" t="s">
        <v>6921</v>
      </c>
      <c r="D54" t="s">
        <v>6922</v>
      </c>
    </row>
    <row r="55" spans="1:4">
      <c r="A55" t="s">
        <v>6923</v>
      </c>
      <c r="B55" t="s">
        <v>6924</v>
      </c>
      <c r="C55" t="s">
        <v>6925</v>
      </c>
      <c r="D55" t="s">
        <v>6904</v>
      </c>
    </row>
    <row r="56" spans="1:4">
      <c r="A56" t="s">
        <v>6926</v>
      </c>
      <c r="B56" t="s">
        <v>6927</v>
      </c>
      <c r="C56" t="s">
        <v>6928</v>
      </c>
      <c r="D56" t="s">
        <v>6904</v>
      </c>
    </row>
    <row r="57" spans="1:4">
      <c r="A57" t="s">
        <v>6929</v>
      </c>
      <c r="B57" t="s">
        <v>6930</v>
      </c>
      <c r="C57" t="s">
        <v>6931</v>
      </c>
      <c r="D57" t="s">
        <v>6932</v>
      </c>
    </row>
    <row r="59" spans="1:4" ht="18">
      <c r="A59" s="28" t="s">
        <v>6933</v>
      </c>
    </row>
    <row r="60" spans="1:4">
      <c r="A60" t="s">
        <v>6934</v>
      </c>
      <c r="B60">
        <v>49</v>
      </c>
    </row>
    <row r="61" spans="1:4">
      <c r="A61" t="s">
        <v>6935</v>
      </c>
      <c r="B61">
        <v>75</v>
      </c>
    </row>
    <row r="63" spans="1:4">
      <c r="A63" s="80" t="s">
        <v>6936</v>
      </c>
      <c r="B63" s="81"/>
      <c r="C63" s="81"/>
      <c r="D63" s="81"/>
    </row>
    <row r="64" spans="1:4">
      <c r="A64" s="82" t="s">
        <v>6937</v>
      </c>
      <c r="B64" s="82" t="s">
        <v>6938</v>
      </c>
      <c r="C64" s="82" t="s">
        <v>6939</v>
      </c>
      <c r="D64" s="82" t="s">
        <v>6940</v>
      </c>
    </row>
    <row r="65" spans="1:4" ht="30">
      <c r="A65" s="83" t="s">
        <v>6941</v>
      </c>
      <c r="B65" s="83" t="s">
        <v>6942</v>
      </c>
      <c r="C65" s="83" t="s">
        <v>6943</v>
      </c>
      <c r="D65" s="83" t="s">
        <v>6944</v>
      </c>
    </row>
    <row r="66" spans="1:4" ht="30">
      <c r="A66" s="72" t="s">
        <v>6945</v>
      </c>
      <c r="B66" s="72" t="s">
        <v>6946</v>
      </c>
      <c r="C66" s="72" t="s">
        <v>6947</v>
      </c>
      <c r="D66" s="72" t="s">
        <v>6948</v>
      </c>
    </row>
    <row r="67" spans="1:4" ht="30">
      <c r="A67" s="73" t="s">
        <v>6949</v>
      </c>
      <c r="B67" s="73" t="s">
        <v>6950</v>
      </c>
      <c r="C67" s="73" t="s">
        <v>6951</v>
      </c>
      <c r="D67" s="73" t="s">
        <v>6952</v>
      </c>
    </row>
    <row r="68" spans="1:4" ht="30">
      <c r="A68" s="74" t="s">
        <v>6953</v>
      </c>
      <c r="B68" s="74" t="s">
        <v>6954</v>
      </c>
      <c r="C68" s="74" t="s">
        <v>6955</v>
      </c>
      <c r="D68" s="74" t="s">
        <v>6956</v>
      </c>
    </row>
    <row r="69" spans="1:4" ht="30">
      <c r="A69" s="75" t="s">
        <v>6957</v>
      </c>
      <c r="B69" s="75" t="s">
        <v>6958</v>
      </c>
      <c r="C69" s="75" t="s">
        <v>6959</v>
      </c>
      <c r="D69" s="75" t="s">
        <v>6960</v>
      </c>
    </row>
    <row r="70" spans="1:4" ht="30">
      <c r="A70" s="76" t="s">
        <v>6961</v>
      </c>
      <c r="B70" s="76" t="s">
        <v>6954</v>
      </c>
      <c r="C70" s="76" t="s">
        <v>6962</v>
      </c>
      <c r="D70" s="76" t="s">
        <v>6963</v>
      </c>
    </row>
    <row r="71" spans="1:4" ht="30">
      <c r="A71" s="77" t="s">
        <v>6964</v>
      </c>
      <c r="B71" s="77" t="s">
        <v>6965</v>
      </c>
      <c r="C71" s="77" t="s">
        <v>6966</v>
      </c>
      <c r="D71" s="77" t="s">
        <v>6967</v>
      </c>
    </row>
    <row r="72" spans="1:4">
      <c r="A72" s="84" t="s">
        <v>6968</v>
      </c>
      <c r="B72" s="84" t="s">
        <v>6969</v>
      </c>
      <c r="C72" s="84" t="s">
        <v>6970</v>
      </c>
      <c r="D72" s="84" t="s">
        <v>6971</v>
      </c>
    </row>
    <row r="74" spans="1:4">
      <c r="A74" s="80" t="s">
        <v>6972</v>
      </c>
      <c r="B74" s="81"/>
      <c r="C74" s="81"/>
      <c r="D74" s="81"/>
    </row>
    <row r="75" spans="1:4">
      <c r="A75" s="72" t="s">
        <v>6973</v>
      </c>
      <c r="B75" s="72" t="s">
        <v>6974</v>
      </c>
      <c r="C75" s="72" t="s">
        <v>6099</v>
      </c>
    </row>
    <row r="76" spans="1:4" ht="30">
      <c r="A76" s="72" t="s">
        <v>6975</v>
      </c>
      <c r="B76" s="72" t="s">
        <v>6976</v>
      </c>
      <c r="C76" s="72" t="s">
        <v>6099</v>
      </c>
    </row>
    <row r="77" spans="1:4" ht="30">
      <c r="A77" s="72" t="s">
        <v>6977</v>
      </c>
      <c r="B77" s="72" t="s">
        <v>6978</v>
      </c>
      <c r="C77" s="72" t="s">
        <v>6099</v>
      </c>
    </row>
    <row r="78" spans="1:4" ht="30">
      <c r="A78" s="72" t="s">
        <v>6979</v>
      </c>
      <c r="B78" s="72" t="s">
        <v>6980</v>
      </c>
      <c r="C78" s="72" t="s">
        <v>6099</v>
      </c>
    </row>
    <row r="79" spans="1:4">
      <c r="A79" s="72" t="s">
        <v>6981</v>
      </c>
      <c r="B79" s="72" t="s">
        <v>6980</v>
      </c>
      <c r="C79" s="72" t="s">
        <v>6099</v>
      </c>
    </row>
    <row r="80" spans="1:4" ht="30">
      <c r="A80" s="72" t="s">
        <v>6982</v>
      </c>
      <c r="B80" s="72" t="s">
        <v>6976</v>
      </c>
      <c r="C80" s="72" t="s">
        <v>6099</v>
      </c>
    </row>
    <row r="81" spans="1:3">
      <c r="A81" s="72" t="s">
        <v>6983</v>
      </c>
      <c r="B81" s="72" t="s">
        <v>6980</v>
      </c>
      <c r="C81" s="72" t="s">
        <v>6099</v>
      </c>
    </row>
    <row r="82" spans="1:3">
      <c r="A82" s="72" t="s">
        <v>6984</v>
      </c>
      <c r="B82" s="72" t="s">
        <v>6980</v>
      </c>
      <c r="C82" s="72" t="s">
        <v>6099</v>
      </c>
    </row>
    <row r="83" spans="1:3">
      <c r="A83" s="72" t="s">
        <v>6985</v>
      </c>
      <c r="B83" s="72" t="s">
        <v>6980</v>
      </c>
      <c r="C83" s="72" t="s">
        <v>6099</v>
      </c>
    </row>
    <row r="84" spans="1:3" ht="30">
      <c r="A84" s="72" t="s">
        <v>6986</v>
      </c>
      <c r="B84" s="72" t="s">
        <v>6976</v>
      </c>
      <c r="C84" s="72" t="s">
        <v>6099</v>
      </c>
    </row>
    <row r="85" spans="1:3" ht="30">
      <c r="A85" s="72" t="s">
        <v>6987</v>
      </c>
      <c r="B85" s="72" t="s">
        <v>6988</v>
      </c>
      <c r="C85" s="72" t="s">
        <v>6099</v>
      </c>
    </row>
    <row r="86" spans="1:3" ht="30">
      <c r="A86" s="72" t="s">
        <v>6989</v>
      </c>
      <c r="B86" s="72" t="s">
        <v>6980</v>
      </c>
      <c r="C86" s="72" t="s">
        <v>6099</v>
      </c>
    </row>
    <row r="87" spans="1:3" ht="30">
      <c r="A87" s="72" t="s">
        <v>6990</v>
      </c>
      <c r="B87" s="72" t="s">
        <v>6980</v>
      </c>
      <c r="C87" s="72" t="s">
        <v>6099</v>
      </c>
    </row>
    <row r="88" spans="1:3">
      <c r="A88" s="72" t="s">
        <v>6991</v>
      </c>
      <c r="B88" s="72" t="s">
        <v>6980</v>
      </c>
      <c r="C88" s="72" t="s">
        <v>6099</v>
      </c>
    </row>
    <row r="89" spans="1:3">
      <c r="A89" s="72" t="s">
        <v>6992</v>
      </c>
      <c r="B89" s="72" t="s">
        <v>6980</v>
      </c>
      <c r="C89" s="72" t="s">
        <v>6099</v>
      </c>
    </row>
    <row r="90" spans="1:3">
      <c r="A90" s="72" t="s">
        <v>6993</v>
      </c>
      <c r="B90" s="72" t="s">
        <v>6980</v>
      </c>
      <c r="C90" s="72" t="s">
        <v>6099</v>
      </c>
    </row>
    <row r="91" spans="1:3">
      <c r="A91" s="72" t="s">
        <v>6994</v>
      </c>
      <c r="B91" s="72" t="s">
        <v>6988</v>
      </c>
      <c r="C91" s="72" t="s">
        <v>6099</v>
      </c>
    </row>
    <row r="92" spans="1:3">
      <c r="A92" s="72" t="s">
        <v>6995</v>
      </c>
      <c r="B92" s="72" t="s">
        <v>6980</v>
      </c>
      <c r="C92" s="72" t="s">
        <v>6099</v>
      </c>
    </row>
    <row r="93" spans="1:3">
      <c r="A93" s="72" t="s">
        <v>6996</v>
      </c>
      <c r="B93" s="72" t="s">
        <v>6980</v>
      </c>
      <c r="C93" s="72" t="s">
        <v>6099</v>
      </c>
    </row>
    <row r="94" spans="1:3">
      <c r="A94" s="72" t="s">
        <v>6611</v>
      </c>
      <c r="B94" s="72" t="s">
        <v>6980</v>
      </c>
      <c r="C94" s="72" t="s">
        <v>6099</v>
      </c>
    </row>
    <row r="95" spans="1:3">
      <c r="A95" s="72" t="s">
        <v>6997</v>
      </c>
      <c r="B95" s="72" t="s">
        <v>6980</v>
      </c>
      <c r="C95" s="72" t="s">
        <v>6099</v>
      </c>
    </row>
    <row r="96" spans="1:3">
      <c r="A96" s="72" t="s">
        <v>6998</v>
      </c>
      <c r="B96" s="72" t="s">
        <v>6978</v>
      </c>
      <c r="C96" s="72" t="s">
        <v>6099</v>
      </c>
    </row>
    <row r="97" spans="1:4">
      <c r="A97" s="72" t="s">
        <v>6999</v>
      </c>
      <c r="B97" s="72" t="s">
        <v>7000</v>
      </c>
      <c r="C97" s="72" t="s">
        <v>6099</v>
      </c>
    </row>
    <row r="98" spans="1:4">
      <c r="A98" s="72" t="s">
        <v>7001</v>
      </c>
      <c r="B98" s="72" t="s">
        <v>6978</v>
      </c>
      <c r="C98" s="72" t="s">
        <v>6099</v>
      </c>
    </row>
    <row r="99" spans="1:4">
      <c r="A99" s="72" t="s">
        <v>7002</v>
      </c>
      <c r="B99" s="72" t="s">
        <v>6980</v>
      </c>
      <c r="C99" s="72" t="s">
        <v>6099</v>
      </c>
    </row>
    <row r="100" spans="1:4">
      <c r="A100" s="72" t="s">
        <v>7003</v>
      </c>
      <c r="B100" s="72" t="s">
        <v>6980</v>
      </c>
      <c r="C100" s="72" t="s">
        <v>6099</v>
      </c>
    </row>
    <row r="101" spans="1:4">
      <c r="A101" s="72" t="s">
        <v>7004</v>
      </c>
      <c r="B101" s="72" t="s">
        <v>6980</v>
      </c>
      <c r="C101" s="72" t="s">
        <v>6099</v>
      </c>
    </row>
    <row r="102" spans="1:4">
      <c r="A102" s="72" t="s">
        <v>7005</v>
      </c>
      <c r="B102" s="72" t="s">
        <v>6980</v>
      </c>
      <c r="C102" s="72" t="s">
        <v>6099</v>
      </c>
    </row>
    <row r="103" spans="1:4" ht="30">
      <c r="A103" s="72" t="s">
        <v>7006</v>
      </c>
      <c r="B103" s="72" t="s">
        <v>6980</v>
      </c>
      <c r="C103" s="72" t="s">
        <v>6099</v>
      </c>
    </row>
    <row r="104" spans="1:4">
      <c r="A104" s="72" t="s">
        <v>7007</v>
      </c>
      <c r="B104" s="72" t="s">
        <v>7008</v>
      </c>
      <c r="C104" s="72" t="s">
        <v>6099</v>
      </c>
    </row>
    <row r="105" spans="1:4">
      <c r="A105" s="72" t="s">
        <v>7009</v>
      </c>
      <c r="B105" s="72" t="s">
        <v>7008</v>
      </c>
      <c r="C105" s="72" t="s">
        <v>6099</v>
      </c>
    </row>
    <row r="106" spans="1:4">
      <c r="A106" s="72" t="s">
        <v>7010</v>
      </c>
      <c r="B106" s="72" t="s">
        <v>7008</v>
      </c>
      <c r="C106" s="72" t="s">
        <v>6099</v>
      </c>
    </row>
    <row r="107" spans="1:4">
      <c r="A107" s="72" t="s">
        <v>7011</v>
      </c>
      <c r="B107" s="72" t="s">
        <v>7008</v>
      </c>
      <c r="C107" s="72" t="s">
        <v>6099</v>
      </c>
    </row>
    <row r="109" spans="1:4" ht="18">
      <c r="A109" s="28" t="s">
        <v>7012</v>
      </c>
    </row>
    <row r="110" spans="1:4">
      <c r="A110" s="85" t="s">
        <v>7013</v>
      </c>
      <c r="B110" s="85" t="s">
        <v>10</v>
      </c>
      <c r="C110" s="85" t="s">
        <v>7014</v>
      </c>
      <c r="D110" s="85" t="s">
        <v>11</v>
      </c>
    </row>
    <row r="111" spans="1:4">
      <c r="A111" t="s">
        <v>7015</v>
      </c>
      <c r="B111" t="s">
        <v>6099</v>
      </c>
      <c r="C111" t="s">
        <v>7016</v>
      </c>
      <c r="D111" t="s">
        <v>7017</v>
      </c>
    </row>
    <row r="112" spans="1:4">
      <c r="A112" t="s">
        <v>7018</v>
      </c>
      <c r="B112" t="s">
        <v>6099</v>
      </c>
      <c r="C112" t="s">
        <v>7019</v>
      </c>
      <c r="D112" t="s">
        <v>7020</v>
      </c>
    </row>
    <row r="113" spans="1:4">
      <c r="A113" t="s">
        <v>7021</v>
      </c>
      <c r="B113" t="s">
        <v>6099</v>
      </c>
      <c r="C113" t="s">
        <v>7022</v>
      </c>
      <c r="D113" t="s">
        <v>7023</v>
      </c>
    </row>
    <row r="114" spans="1:4">
      <c r="A114" t="s">
        <v>7024</v>
      </c>
      <c r="B114" t="s">
        <v>6099</v>
      </c>
      <c r="C114" t="s">
        <v>7025</v>
      </c>
      <c r="D114" t="s">
        <v>7026</v>
      </c>
    </row>
    <row r="115" spans="1:4">
      <c r="A115" t="s">
        <v>7027</v>
      </c>
      <c r="B115" t="s">
        <v>6099</v>
      </c>
      <c r="C115" t="s">
        <v>7028</v>
      </c>
      <c r="D115" t="s">
        <v>7029</v>
      </c>
    </row>
    <row r="116" spans="1:4">
      <c r="A116" t="s">
        <v>7030</v>
      </c>
      <c r="B116" t="s">
        <v>6099</v>
      </c>
      <c r="C116" t="s">
        <v>7031</v>
      </c>
      <c r="D116" t="s">
        <v>6762</v>
      </c>
    </row>
    <row r="117" spans="1:4">
      <c r="A117" t="s">
        <v>7032</v>
      </c>
      <c r="B117" t="s">
        <v>6099</v>
      </c>
      <c r="C117" t="s">
        <v>7033</v>
      </c>
      <c r="D117" t="s">
        <v>7034</v>
      </c>
    </row>
    <row r="118" spans="1:4">
      <c r="A118" t="s">
        <v>7035</v>
      </c>
      <c r="B118" t="s">
        <v>6099</v>
      </c>
      <c r="C118" t="s">
        <v>7036</v>
      </c>
      <c r="D118" t="s">
        <v>7037</v>
      </c>
    </row>
    <row r="119" spans="1:4">
      <c r="A119" t="s">
        <v>7038</v>
      </c>
      <c r="B119" t="s">
        <v>6099</v>
      </c>
      <c r="C119" t="s">
        <v>7039</v>
      </c>
      <c r="D119" t="s">
        <v>7040</v>
      </c>
    </row>
    <row r="120" spans="1:4">
      <c r="A120" t="s">
        <v>7041</v>
      </c>
      <c r="B120" t="s">
        <v>6099</v>
      </c>
      <c r="C120" t="s">
        <v>7042</v>
      </c>
      <c r="D120" t="s">
        <v>7043</v>
      </c>
    </row>
    <row r="121" spans="1:4">
      <c r="A121" t="s">
        <v>7044</v>
      </c>
      <c r="B121" t="s">
        <v>7045</v>
      </c>
      <c r="C121" t="s">
        <v>7046</v>
      </c>
      <c r="D121" t="s">
        <v>7047</v>
      </c>
    </row>
    <row r="122" spans="1:4">
      <c r="A122" t="s">
        <v>7048</v>
      </c>
      <c r="B122" t="s">
        <v>7045</v>
      </c>
      <c r="C122" t="s">
        <v>7049</v>
      </c>
      <c r="D122" t="s">
        <v>7050</v>
      </c>
    </row>
  </sheetData>
  <phoneticPr fontId="1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14" customWidth="1"/>
    <col min="3" max="3" width="24" customWidth="1"/>
    <col min="4" max="4" width="70" customWidth="1"/>
    <col min="5" max="6" width="16" customWidth="1"/>
    <col min="7" max="7" width="12" customWidth="1"/>
    <col min="8" max="8" width="10" customWidth="1"/>
  </cols>
  <sheetData>
    <row r="1" spans="1:8" ht="30" customHeight="1">
      <c r="A1" s="8" t="s">
        <v>7051</v>
      </c>
      <c r="B1" s="8" t="s">
        <v>7052</v>
      </c>
      <c r="C1" s="8" t="s">
        <v>7053</v>
      </c>
      <c r="D1" s="8" t="s">
        <v>7054</v>
      </c>
      <c r="E1" s="8" t="s">
        <v>7055</v>
      </c>
      <c r="F1" s="8" t="s">
        <v>6939</v>
      </c>
      <c r="G1" s="8" t="s">
        <v>430</v>
      </c>
      <c r="H1" s="8" t="s">
        <v>10</v>
      </c>
    </row>
    <row r="2" spans="1:8" ht="48" customHeight="1">
      <c r="A2" s="9" t="s">
        <v>7056</v>
      </c>
      <c r="B2" s="9" t="s">
        <v>12</v>
      </c>
      <c r="C2" s="10" t="s">
        <v>7057</v>
      </c>
      <c r="D2" s="11" t="s">
        <v>7058</v>
      </c>
      <c r="E2" s="12" t="s">
        <v>14</v>
      </c>
      <c r="F2" s="12" t="s">
        <v>2078</v>
      </c>
      <c r="G2" s="13" t="s">
        <v>438</v>
      </c>
      <c r="H2" s="12" t="s">
        <v>674</v>
      </c>
    </row>
    <row r="3" spans="1:8" ht="48" customHeight="1">
      <c r="A3" s="9" t="s">
        <v>7059</v>
      </c>
      <c r="B3" s="9" t="s">
        <v>12</v>
      </c>
      <c r="C3" s="10" t="s">
        <v>7060</v>
      </c>
      <c r="D3" s="11" t="s">
        <v>7061</v>
      </c>
      <c r="E3" s="12" t="s">
        <v>14</v>
      </c>
      <c r="F3" s="12" t="s">
        <v>2078</v>
      </c>
      <c r="G3" s="13" t="s">
        <v>438</v>
      </c>
      <c r="H3" s="12" t="s">
        <v>674</v>
      </c>
    </row>
    <row r="4" spans="1:8" ht="48" customHeight="1">
      <c r="A4" s="9" t="s">
        <v>7062</v>
      </c>
      <c r="B4" s="9" t="s">
        <v>12</v>
      </c>
      <c r="C4" s="10" t="s">
        <v>7063</v>
      </c>
      <c r="D4" s="11" t="s">
        <v>7064</v>
      </c>
      <c r="E4" s="12" t="s">
        <v>14</v>
      </c>
      <c r="F4" s="12" t="s">
        <v>2078</v>
      </c>
      <c r="G4" s="13" t="s">
        <v>438</v>
      </c>
      <c r="H4" s="12" t="s">
        <v>674</v>
      </c>
    </row>
    <row r="5" spans="1:8" ht="48" customHeight="1">
      <c r="A5" s="9" t="s">
        <v>7065</v>
      </c>
      <c r="B5" s="9" t="s">
        <v>12</v>
      </c>
      <c r="C5" s="10" t="s">
        <v>7066</v>
      </c>
      <c r="D5" s="11" t="s">
        <v>7067</v>
      </c>
      <c r="E5" s="12" t="s">
        <v>14</v>
      </c>
      <c r="F5" s="12" t="s">
        <v>2161</v>
      </c>
      <c r="G5" s="14" t="s">
        <v>457</v>
      </c>
      <c r="H5" s="12" t="s">
        <v>674</v>
      </c>
    </row>
    <row r="6" spans="1:8" ht="48" customHeight="1">
      <c r="A6" s="9" t="s">
        <v>7068</v>
      </c>
      <c r="B6" s="9" t="s">
        <v>12</v>
      </c>
      <c r="C6" s="10" t="s">
        <v>7069</v>
      </c>
      <c r="D6" s="11" t="s">
        <v>7070</v>
      </c>
      <c r="E6" s="12" t="s">
        <v>200</v>
      </c>
      <c r="F6" s="12" t="s">
        <v>2254</v>
      </c>
      <c r="G6" s="13" t="s">
        <v>438</v>
      </c>
      <c r="H6" s="12" t="s">
        <v>674</v>
      </c>
    </row>
    <row r="7" spans="1:8" ht="48" customHeight="1">
      <c r="A7" s="15" t="s">
        <v>7071</v>
      </c>
      <c r="B7" s="15" t="s">
        <v>31</v>
      </c>
      <c r="C7" s="10" t="s">
        <v>7072</v>
      </c>
      <c r="D7" s="11" t="s">
        <v>7073</v>
      </c>
      <c r="E7" s="12" t="s">
        <v>32</v>
      </c>
      <c r="F7" s="12" t="s">
        <v>2444</v>
      </c>
      <c r="G7" s="13" t="s">
        <v>438</v>
      </c>
      <c r="H7" s="12" t="s">
        <v>674</v>
      </c>
    </row>
    <row r="8" spans="1:8" ht="48" customHeight="1">
      <c r="A8" s="15" t="s">
        <v>7074</v>
      </c>
      <c r="B8" s="15" t="s">
        <v>31</v>
      </c>
      <c r="C8" s="10" t="s">
        <v>7075</v>
      </c>
      <c r="D8" s="11" t="s">
        <v>7076</v>
      </c>
      <c r="E8" s="12" t="s">
        <v>43</v>
      </c>
      <c r="F8" s="12" t="s">
        <v>2520</v>
      </c>
      <c r="G8" s="14" t="s">
        <v>457</v>
      </c>
      <c r="H8" s="12" t="s">
        <v>674</v>
      </c>
    </row>
    <row r="9" spans="1:8" ht="48" customHeight="1">
      <c r="A9" s="15" t="s">
        <v>7077</v>
      </c>
      <c r="B9" s="15" t="s">
        <v>31</v>
      </c>
      <c r="C9" s="10" t="s">
        <v>7078</v>
      </c>
      <c r="D9" s="11" t="s">
        <v>7079</v>
      </c>
      <c r="E9" s="12" t="s">
        <v>47</v>
      </c>
      <c r="F9" s="12" t="s">
        <v>2763</v>
      </c>
      <c r="G9" s="14" t="s">
        <v>457</v>
      </c>
      <c r="H9" s="12" t="s">
        <v>674</v>
      </c>
    </row>
    <row r="10" spans="1:8" ht="48" customHeight="1">
      <c r="A10" s="15" t="s">
        <v>7080</v>
      </c>
      <c r="B10" s="15" t="s">
        <v>31</v>
      </c>
      <c r="C10" s="10" t="s">
        <v>7081</v>
      </c>
      <c r="D10" s="11" t="s">
        <v>7082</v>
      </c>
      <c r="E10" s="12" t="s">
        <v>38</v>
      </c>
      <c r="F10" s="12" t="s">
        <v>2489</v>
      </c>
      <c r="G10" s="14" t="s">
        <v>457</v>
      </c>
      <c r="H10" s="12" t="s">
        <v>674</v>
      </c>
    </row>
    <row r="11" spans="1:8" ht="48" customHeight="1">
      <c r="A11" s="15" t="s">
        <v>7083</v>
      </c>
      <c r="B11" s="15" t="s">
        <v>31</v>
      </c>
      <c r="C11" s="10" t="s">
        <v>7084</v>
      </c>
      <c r="D11" s="11" t="s">
        <v>7085</v>
      </c>
      <c r="E11" s="12" t="s">
        <v>32</v>
      </c>
      <c r="F11" s="12" t="s">
        <v>2444</v>
      </c>
      <c r="G11" s="16" t="s">
        <v>496</v>
      </c>
      <c r="H11" s="12" t="s">
        <v>674</v>
      </c>
    </row>
    <row r="12" spans="1:8" ht="48" customHeight="1">
      <c r="A12" s="17" t="s">
        <v>7086</v>
      </c>
      <c r="B12" s="17" t="s">
        <v>73</v>
      </c>
      <c r="C12" s="10" t="s">
        <v>7087</v>
      </c>
      <c r="D12" s="11" t="s">
        <v>7088</v>
      </c>
      <c r="E12" s="12" t="s">
        <v>74</v>
      </c>
      <c r="F12" s="12" t="s">
        <v>2716</v>
      </c>
      <c r="G12" s="13" t="s">
        <v>438</v>
      </c>
      <c r="H12" s="12" t="s">
        <v>674</v>
      </c>
    </row>
    <row r="13" spans="1:8" ht="48" customHeight="1">
      <c r="A13" s="17" t="s">
        <v>7089</v>
      </c>
      <c r="B13" s="17" t="s">
        <v>73</v>
      </c>
      <c r="C13" s="10" t="s">
        <v>7090</v>
      </c>
      <c r="D13" s="11" t="s">
        <v>7091</v>
      </c>
      <c r="E13" s="12" t="s">
        <v>74</v>
      </c>
      <c r="F13" s="12" t="s">
        <v>2983</v>
      </c>
      <c r="G13" s="13" t="s">
        <v>438</v>
      </c>
      <c r="H13" s="12" t="s">
        <v>674</v>
      </c>
    </row>
    <row r="14" spans="1:8" ht="48" customHeight="1">
      <c r="A14" s="17" t="s">
        <v>7092</v>
      </c>
      <c r="B14" s="17" t="s">
        <v>73</v>
      </c>
      <c r="C14" s="10" t="s">
        <v>7093</v>
      </c>
      <c r="D14" s="11" t="s">
        <v>7094</v>
      </c>
      <c r="E14" s="12" t="s">
        <v>74</v>
      </c>
      <c r="F14" s="12" t="s">
        <v>3000</v>
      </c>
      <c r="G14" s="14" t="s">
        <v>457</v>
      </c>
      <c r="H14" s="12" t="s">
        <v>674</v>
      </c>
    </row>
    <row r="15" spans="1:8" ht="48" customHeight="1">
      <c r="A15" s="17" t="s">
        <v>7095</v>
      </c>
      <c r="B15" s="17" t="s">
        <v>73</v>
      </c>
      <c r="C15" s="10" t="s">
        <v>7096</v>
      </c>
      <c r="D15" s="11" t="s">
        <v>7097</v>
      </c>
      <c r="E15" s="12" t="s">
        <v>84</v>
      </c>
      <c r="F15" s="12" t="s">
        <v>2737</v>
      </c>
      <c r="G15" s="14" t="s">
        <v>457</v>
      </c>
      <c r="H15" s="12" t="s">
        <v>674</v>
      </c>
    </row>
    <row r="16" spans="1:8" ht="48" customHeight="1">
      <c r="A16" s="17" t="s">
        <v>7098</v>
      </c>
      <c r="B16" s="17" t="s">
        <v>73</v>
      </c>
      <c r="C16" s="10" t="s">
        <v>7099</v>
      </c>
      <c r="D16" s="11" t="s">
        <v>7100</v>
      </c>
      <c r="E16" s="12" t="s">
        <v>80</v>
      </c>
      <c r="F16" s="12" t="s">
        <v>3497</v>
      </c>
      <c r="G16" s="16" t="s">
        <v>496</v>
      </c>
      <c r="H16" s="12" t="s">
        <v>674</v>
      </c>
    </row>
    <row r="17" spans="1:8" ht="48" customHeight="1">
      <c r="A17" s="18" t="s">
        <v>7101</v>
      </c>
      <c r="B17" s="18" t="s">
        <v>90</v>
      </c>
      <c r="C17" s="10" t="s">
        <v>7102</v>
      </c>
      <c r="D17" s="11" t="s">
        <v>7103</v>
      </c>
      <c r="E17" s="12" t="s">
        <v>91</v>
      </c>
      <c r="F17" s="12" t="s">
        <v>3554</v>
      </c>
      <c r="G17" s="14" t="s">
        <v>457</v>
      </c>
      <c r="H17" s="12" t="s">
        <v>674</v>
      </c>
    </row>
    <row r="18" spans="1:8" ht="48" customHeight="1">
      <c r="A18" s="18" t="s">
        <v>7104</v>
      </c>
      <c r="B18" s="18" t="s">
        <v>90</v>
      </c>
      <c r="C18" s="10" t="s">
        <v>7105</v>
      </c>
      <c r="D18" s="11" t="s">
        <v>7106</v>
      </c>
      <c r="E18" s="12" t="s">
        <v>91</v>
      </c>
      <c r="F18" s="12" t="s">
        <v>3554</v>
      </c>
      <c r="G18" s="14" t="s">
        <v>457</v>
      </c>
      <c r="H18" s="12" t="s">
        <v>674</v>
      </c>
    </row>
    <row r="19" spans="1:8" ht="48" customHeight="1">
      <c r="A19" s="18" t="s">
        <v>7107</v>
      </c>
      <c r="B19" s="18" t="s">
        <v>90</v>
      </c>
      <c r="C19" s="10" t="s">
        <v>7108</v>
      </c>
      <c r="D19" s="11" t="s">
        <v>7109</v>
      </c>
      <c r="E19" s="12" t="s">
        <v>95</v>
      </c>
      <c r="F19" s="12" t="s">
        <v>3564</v>
      </c>
      <c r="G19" s="14" t="s">
        <v>457</v>
      </c>
      <c r="H19" s="12" t="s">
        <v>674</v>
      </c>
    </row>
    <row r="20" spans="1:8" ht="48" customHeight="1">
      <c r="A20" s="18" t="s">
        <v>7110</v>
      </c>
      <c r="B20" s="18" t="s">
        <v>90</v>
      </c>
      <c r="C20" s="10" t="s">
        <v>7111</v>
      </c>
      <c r="D20" s="11" t="s">
        <v>7112</v>
      </c>
      <c r="E20" s="12" t="s">
        <v>95</v>
      </c>
      <c r="F20" s="12" t="s">
        <v>3574</v>
      </c>
      <c r="G20" s="16" t="s">
        <v>496</v>
      </c>
      <c r="H20" s="12" t="s">
        <v>674</v>
      </c>
    </row>
    <row r="21" spans="1:8" ht="48" customHeight="1">
      <c r="A21" s="19" t="s">
        <v>7113</v>
      </c>
      <c r="B21" s="19" t="s">
        <v>420</v>
      </c>
      <c r="C21" s="10" t="s">
        <v>7114</v>
      </c>
      <c r="D21" s="11" t="s">
        <v>7115</v>
      </c>
      <c r="E21" s="12" t="s">
        <v>102</v>
      </c>
      <c r="F21" s="12" t="s">
        <v>3656</v>
      </c>
      <c r="G21" s="14" t="s">
        <v>457</v>
      </c>
      <c r="H21" s="12" t="s">
        <v>674</v>
      </c>
    </row>
    <row r="22" spans="1:8" ht="48" customHeight="1">
      <c r="A22" s="19" t="s">
        <v>7116</v>
      </c>
      <c r="B22" s="19" t="s">
        <v>420</v>
      </c>
      <c r="C22" s="10" t="s">
        <v>7117</v>
      </c>
      <c r="D22" s="11" t="s">
        <v>7118</v>
      </c>
      <c r="E22" s="12" t="s">
        <v>102</v>
      </c>
      <c r="F22" s="12" t="s">
        <v>3656</v>
      </c>
      <c r="G22" s="16" t="s">
        <v>496</v>
      </c>
      <c r="H22" s="12" t="s">
        <v>674</v>
      </c>
    </row>
    <row r="23" spans="1:8" ht="48" customHeight="1">
      <c r="A23" s="19" t="s">
        <v>7119</v>
      </c>
      <c r="B23" s="19" t="s">
        <v>420</v>
      </c>
      <c r="C23" s="10" t="s">
        <v>7120</v>
      </c>
      <c r="D23" s="11" t="s">
        <v>7121</v>
      </c>
      <c r="E23" s="12" t="s">
        <v>113</v>
      </c>
      <c r="F23" s="12" t="s">
        <v>3671</v>
      </c>
      <c r="G23" s="14" t="s">
        <v>457</v>
      </c>
      <c r="H23" s="12" t="s">
        <v>674</v>
      </c>
    </row>
    <row r="24" spans="1:8" ht="48" customHeight="1">
      <c r="A24" s="19" t="s">
        <v>7122</v>
      </c>
      <c r="B24" s="19" t="s">
        <v>420</v>
      </c>
      <c r="C24" s="10" t="s">
        <v>7123</v>
      </c>
      <c r="D24" s="11" t="s">
        <v>7124</v>
      </c>
      <c r="E24" s="12" t="s">
        <v>119</v>
      </c>
      <c r="F24" s="12"/>
      <c r="G24" s="16" t="s">
        <v>496</v>
      </c>
      <c r="H24" s="12" t="s">
        <v>674</v>
      </c>
    </row>
    <row r="25" spans="1:8" ht="48" customHeight="1">
      <c r="A25" s="20" t="s">
        <v>7125</v>
      </c>
      <c r="B25" s="20" t="s">
        <v>58</v>
      </c>
      <c r="C25" s="10" t="s">
        <v>7126</v>
      </c>
      <c r="D25" s="11" t="s">
        <v>7127</v>
      </c>
      <c r="E25" s="12" t="s">
        <v>60</v>
      </c>
      <c r="F25" s="12" t="s">
        <v>2603</v>
      </c>
      <c r="G25" s="14" t="s">
        <v>457</v>
      </c>
      <c r="H25" s="12" t="s">
        <v>674</v>
      </c>
    </row>
    <row r="26" spans="1:8" ht="48" customHeight="1">
      <c r="A26" s="20" t="s">
        <v>7128</v>
      </c>
      <c r="B26" s="20" t="s">
        <v>58</v>
      </c>
      <c r="C26" s="10" t="s">
        <v>7129</v>
      </c>
      <c r="D26" s="11" t="s">
        <v>7130</v>
      </c>
      <c r="E26" s="12" t="s">
        <v>60</v>
      </c>
      <c r="F26" s="12" t="s">
        <v>2868</v>
      </c>
      <c r="G26" s="14" t="s">
        <v>457</v>
      </c>
      <c r="H26" s="12" t="s">
        <v>674</v>
      </c>
    </row>
    <row r="27" spans="1:8" ht="48" customHeight="1">
      <c r="A27" s="20" t="s">
        <v>7131</v>
      </c>
      <c r="B27" s="20" t="s">
        <v>58</v>
      </c>
      <c r="C27" s="10" t="s">
        <v>7132</v>
      </c>
      <c r="D27" s="11" t="s">
        <v>7133</v>
      </c>
      <c r="E27" s="12" t="s">
        <v>67</v>
      </c>
      <c r="F27" s="12" t="s">
        <v>3073</v>
      </c>
      <c r="G27" s="14" t="s">
        <v>457</v>
      </c>
      <c r="H27" s="12" t="s">
        <v>674</v>
      </c>
    </row>
    <row r="28" spans="1:8" ht="48" customHeight="1">
      <c r="A28" s="20" t="s">
        <v>7134</v>
      </c>
      <c r="B28" s="20" t="s">
        <v>58</v>
      </c>
      <c r="C28" s="10" t="s">
        <v>7135</v>
      </c>
      <c r="D28" s="11" t="s">
        <v>7136</v>
      </c>
      <c r="E28" s="12" t="s">
        <v>67</v>
      </c>
      <c r="F28" s="12" t="s">
        <v>2612</v>
      </c>
      <c r="G28" s="14" t="s">
        <v>457</v>
      </c>
      <c r="H28" s="12" t="s">
        <v>674</v>
      </c>
    </row>
    <row r="29" spans="1:8" ht="48" customHeight="1">
      <c r="A29" s="21" t="s">
        <v>7137</v>
      </c>
      <c r="B29" s="21" t="s">
        <v>7138</v>
      </c>
      <c r="C29" s="10" t="s">
        <v>7139</v>
      </c>
      <c r="D29" s="11" t="s">
        <v>7140</v>
      </c>
      <c r="E29" s="12" t="s">
        <v>125</v>
      </c>
      <c r="F29" s="12" t="s">
        <v>2580</v>
      </c>
      <c r="G29" s="13" t="s">
        <v>438</v>
      </c>
      <c r="H29" s="12" t="s">
        <v>674</v>
      </c>
    </row>
    <row r="30" spans="1:8" ht="48" customHeight="1">
      <c r="A30" s="21" t="s">
        <v>7141</v>
      </c>
      <c r="B30" s="21" t="s">
        <v>7138</v>
      </c>
      <c r="C30" s="10" t="s">
        <v>7142</v>
      </c>
      <c r="D30" s="11" t="s">
        <v>7143</v>
      </c>
      <c r="E30" s="12" t="s">
        <v>125</v>
      </c>
      <c r="F30" s="12"/>
      <c r="G30" s="14" t="s">
        <v>457</v>
      </c>
      <c r="H30" s="12" t="s">
        <v>674</v>
      </c>
    </row>
    <row r="31" spans="1:8" ht="48" customHeight="1">
      <c r="A31" s="21" t="s">
        <v>7144</v>
      </c>
      <c r="B31" s="21" t="s">
        <v>7138</v>
      </c>
      <c r="C31" s="10" t="s">
        <v>7145</v>
      </c>
      <c r="D31" s="11" t="s">
        <v>7146</v>
      </c>
      <c r="E31" s="12" t="s">
        <v>135</v>
      </c>
      <c r="F31" s="12" t="s">
        <v>2868</v>
      </c>
      <c r="G31" s="14" t="s">
        <v>457</v>
      </c>
      <c r="H31" s="12" t="s">
        <v>674</v>
      </c>
    </row>
    <row r="32" spans="1:8" ht="48" customHeight="1">
      <c r="A32" s="21" t="s">
        <v>7147</v>
      </c>
      <c r="B32" s="21" t="s">
        <v>7138</v>
      </c>
      <c r="C32" s="10" t="s">
        <v>7148</v>
      </c>
      <c r="D32" s="11" t="s">
        <v>7149</v>
      </c>
      <c r="E32" s="12" t="s">
        <v>140</v>
      </c>
      <c r="F32" s="12" t="s">
        <v>2868</v>
      </c>
      <c r="G32" s="16" t="s">
        <v>496</v>
      </c>
      <c r="H32" s="12" t="s">
        <v>674</v>
      </c>
    </row>
    <row r="33" spans="1:8" ht="48" customHeight="1">
      <c r="A33" s="22" t="s">
        <v>7150</v>
      </c>
      <c r="B33" s="22" t="s">
        <v>144</v>
      </c>
      <c r="C33" s="10" t="s">
        <v>7151</v>
      </c>
      <c r="D33" s="11" t="s">
        <v>7152</v>
      </c>
      <c r="E33" s="12" t="s">
        <v>146</v>
      </c>
      <c r="F33" s="12" t="s">
        <v>2612</v>
      </c>
      <c r="G33" s="14" t="s">
        <v>457</v>
      </c>
      <c r="H33" s="12" t="s">
        <v>674</v>
      </c>
    </row>
    <row r="34" spans="1:8" ht="48" customHeight="1">
      <c r="A34" s="22" t="s">
        <v>7153</v>
      </c>
      <c r="B34" s="22" t="s">
        <v>144</v>
      </c>
      <c r="C34" s="10" t="s">
        <v>7154</v>
      </c>
      <c r="D34" s="11" t="s">
        <v>7155</v>
      </c>
      <c r="E34" s="12" t="s">
        <v>152</v>
      </c>
      <c r="F34" s="12" t="s">
        <v>3844</v>
      </c>
      <c r="G34" s="14" t="s">
        <v>457</v>
      </c>
      <c r="H34" s="12" t="s">
        <v>674</v>
      </c>
    </row>
    <row r="35" spans="1:8" ht="48" customHeight="1">
      <c r="A35" s="22" t="s">
        <v>7156</v>
      </c>
      <c r="B35" s="22" t="s">
        <v>144</v>
      </c>
      <c r="C35" s="10" t="s">
        <v>7157</v>
      </c>
      <c r="D35" s="11" t="s">
        <v>7158</v>
      </c>
      <c r="E35" s="12" t="s">
        <v>158</v>
      </c>
      <c r="F35" s="12" t="s">
        <v>2906</v>
      </c>
      <c r="G35" s="16" t="s">
        <v>496</v>
      </c>
      <c r="H35" s="12" t="s">
        <v>674</v>
      </c>
    </row>
    <row r="36" spans="1:8" ht="48" customHeight="1">
      <c r="A36" s="22" t="s">
        <v>7159</v>
      </c>
      <c r="B36" s="22" t="s">
        <v>144</v>
      </c>
      <c r="C36" s="10" t="s">
        <v>7160</v>
      </c>
      <c r="D36" s="11" t="s">
        <v>7161</v>
      </c>
      <c r="E36" s="12" t="s">
        <v>164</v>
      </c>
      <c r="F36" s="12" t="s">
        <v>2917</v>
      </c>
      <c r="G36" s="16" t="s">
        <v>496</v>
      </c>
      <c r="H36" s="12" t="s">
        <v>674</v>
      </c>
    </row>
    <row r="37" spans="1:8" ht="48" customHeight="1">
      <c r="A37" s="23" t="s">
        <v>7162</v>
      </c>
      <c r="B37" s="23" t="s">
        <v>170</v>
      </c>
      <c r="C37" s="10" t="s">
        <v>7163</v>
      </c>
      <c r="D37" s="11" t="s">
        <v>7164</v>
      </c>
      <c r="E37" s="12" t="s">
        <v>171</v>
      </c>
      <c r="F37" s="12" t="s">
        <v>2648</v>
      </c>
      <c r="G37" s="13" t="s">
        <v>438</v>
      </c>
      <c r="H37" s="12" t="s">
        <v>674</v>
      </c>
    </row>
    <row r="38" spans="1:8" ht="48" customHeight="1">
      <c r="A38" s="23" t="s">
        <v>7165</v>
      </c>
      <c r="B38" s="23" t="s">
        <v>170</v>
      </c>
      <c r="C38" s="10" t="s">
        <v>7166</v>
      </c>
      <c r="D38" s="11" t="s">
        <v>7167</v>
      </c>
      <c r="E38" s="12" t="s">
        <v>171</v>
      </c>
      <c r="F38" s="12" t="s">
        <v>3671</v>
      </c>
      <c r="G38" s="14" t="s">
        <v>457</v>
      </c>
      <c r="H38" s="12" t="s">
        <v>674</v>
      </c>
    </row>
    <row r="39" spans="1:8" ht="48" customHeight="1">
      <c r="A39" s="23" t="s">
        <v>7168</v>
      </c>
      <c r="B39" s="23" t="s">
        <v>170</v>
      </c>
      <c r="C39" s="10" t="s">
        <v>7169</v>
      </c>
      <c r="D39" s="11" t="s">
        <v>7170</v>
      </c>
      <c r="E39" s="12" t="s">
        <v>171</v>
      </c>
      <c r="F39" s="12" t="s">
        <v>2648</v>
      </c>
      <c r="G39" s="14" t="s">
        <v>457</v>
      </c>
      <c r="H39" s="12" t="s">
        <v>674</v>
      </c>
    </row>
    <row r="40" spans="1:8" ht="48" customHeight="1">
      <c r="A40" s="24" t="s">
        <v>7171</v>
      </c>
      <c r="B40" s="24" t="s">
        <v>205</v>
      </c>
      <c r="C40" s="10" t="s">
        <v>7172</v>
      </c>
      <c r="D40" s="11" t="s">
        <v>7173</v>
      </c>
      <c r="E40" s="12" t="s">
        <v>206</v>
      </c>
      <c r="F40" s="12"/>
      <c r="G40" s="14" t="s">
        <v>457</v>
      </c>
      <c r="H40" s="12" t="s">
        <v>674</v>
      </c>
    </row>
    <row r="41" spans="1:8" ht="48" customHeight="1">
      <c r="A41" s="24" t="s">
        <v>7174</v>
      </c>
      <c r="B41" s="24" t="s">
        <v>205</v>
      </c>
      <c r="C41" s="10" t="s">
        <v>7175</v>
      </c>
      <c r="D41" s="11" t="s">
        <v>7176</v>
      </c>
      <c r="E41" s="12" t="s">
        <v>206</v>
      </c>
      <c r="F41" s="12"/>
      <c r="G41" s="13" t="s">
        <v>438</v>
      </c>
      <c r="H41" s="12" t="s">
        <v>674</v>
      </c>
    </row>
    <row r="42" spans="1:8" ht="48" customHeight="1">
      <c r="A42" s="24" t="s">
        <v>7177</v>
      </c>
      <c r="B42" s="24" t="s">
        <v>205</v>
      </c>
      <c r="C42" s="10" t="s">
        <v>7178</v>
      </c>
      <c r="D42" s="11" t="s">
        <v>7179</v>
      </c>
      <c r="E42" s="12" t="s">
        <v>206</v>
      </c>
      <c r="F42" s="12" t="s">
        <v>2254</v>
      </c>
      <c r="G42" s="14" t="s">
        <v>457</v>
      </c>
      <c r="H42" s="12" t="s">
        <v>674</v>
      </c>
    </row>
    <row r="43" spans="1:8" ht="48" customHeight="1">
      <c r="A43" s="25" t="s">
        <v>7180</v>
      </c>
      <c r="B43" s="25" t="s">
        <v>22</v>
      </c>
      <c r="C43" s="10" t="s">
        <v>7181</v>
      </c>
      <c r="D43" s="11" t="s">
        <v>7182</v>
      </c>
      <c r="E43" s="12" t="s">
        <v>24</v>
      </c>
      <c r="F43" s="12" t="s">
        <v>2161</v>
      </c>
      <c r="G43" s="16" t="s">
        <v>496</v>
      </c>
      <c r="H43" s="12" t="s">
        <v>674</v>
      </c>
    </row>
    <row r="44" spans="1:8" ht="45">
      <c r="A44" s="34" t="s">
        <v>7183</v>
      </c>
      <c r="B44" s="34" t="s">
        <v>420</v>
      </c>
      <c r="C44" s="35" t="s">
        <v>7184</v>
      </c>
      <c r="D44" s="36" t="s">
        <v>7185</v>
      </c>
      <c r="E44" s="34" t="s">
        <v>262</v>
      </c>
      <c r="F44" s="34" t="s">
        <v>3626</v>
      </c>
      <c r="G44" s="37" t="s">
        <v>438</v>
      </c>
      <c r="H44" s="34" t="s">
        <v>216</v>
      </c>
    </row>
    <row r="45" spans="1:8" ht="45">
      <c r="A45" s="38" t="s">
        <v>7186</v>
      </c>
      <c r="B45" s="38" t="s">
        <v>58</v>
      </c>
      <c r="C45" s="39" t="s">
        <v>7187</v>
      </c>
      <c r="D45" s="40" t="s">
        <v>7188</v>
      </c>
      <c r="E45" s="38" t="s">
        <v>212</v>
      </c>
      <c r="F45" s="38" t="s">
        <v>3497</v>
      </c>
      <c r="G45" s="41" t="s">
        <v>438</v>
      </c>
      <c r="H45" s="38" t="s">
        <v>216</v>
      </c>
    </row>
    <row r="46" spans="1:8" ht="45">
      <c r="A46" s="38" t="s">
        <v>7189</v>
      </c>
      <c r="B46" s="38" t="s">
        <v>58</v>
      </c>
      <c r="C46" s="39" t="s">
        <v>7190</v>
      </c>
      <c r="D46" s="40" t="s">
        <v>7191</v>
      </c>
      <c r="E46" s="38" t="s">
        <v>212</v>
      </c>
      <c r="F46" s="38" t="s">
        <v>3517</v>
      </c>
      <c r="G46" s="41" t="s">
        <v>438</v>
      </c>
      <c r="H46" s="38" t="s">
        <v>216</v>
      </c>
    </row>
    <row r="47" spans="1:8" ht="45">
      <c r="A47" s="38" t="s">
        <v>7192</v>
      </c>
      <c r="B47" s="38" t="s">
        <v>58</v>
      </c>
      <c r="C47" s="39" t="s">
        <v>7193</v>
      </c>
      <c r="D47" s="40" t="s">
        <v>7194</v>
      </c>
      <c r="E47" s="38" t="s">
        <v>219</v>
      </c>
      <c r="F47" s="38" t="s">
        <v>3527</v>
      </c>
      <c r="G47" s="41" t="s">
        <v>457</v>
      </c>
      <c r="H47" s="38" t="s">
        <v>216</v>
      </c>
    </row>
    <row r="48" spans="1:8" ht="45">
      <c r="A48" s="38" t="s">
        <v>7195</v>
      </c>
      <c r="B48" s="38" t="s">
        <v>58</v>
      </c>
      <c r="C48" s="39" t="s">
        <v>7196</v>
      </c>
      <c r="D48" s="40" t="s">
        <v>7197</v>
      </c>
      <c r="E48" s="38" t="s">
        <v>225</v>
      </c>
      <c r="F48" s="38" t="s">
        <v>3545</v>
      </c>
      <c r="G48" s="41" t="s">
        <v>457</v>
      </c>
      <c r="H48" s="38" t="s">
        <v>216</v>
      </c>
    </row>
    <row r="49" spans="1:8" ht="45">
      <c r="A49" s="34" t="s">
        <v>7198</v>
      </c>
      <c r="B49" s="34" t="s">
        <v>420</v>
      </c>
      <c r="C49" s="35" t="s">
        <v>7199</v>
      </c>
      <c r="D49" s="36" t="s">
        <v>7200</v>
      </c>
      <c r="E49" s="34" t="s">
        <v>102</v>
      </c>
      <c r="F49" s="34" t="s">
        <v>3656</v>
      </c>
      <c r="G49" s="37" t="s">
        <v>457</v>
      </c>
      <c r="H49" s="34" t="s">
        <v>216</v>
      </c>
    </row>
    <row r="50" spans="1:8" ht="45">
      <c r="A50" s="34" t="s">
        <v>7201</v>
      </c>
      <c r="B50" s="34" t="s">
        <v>420</v>
      </c>
      <c r="C50" s="35" t="s">
        <v>7202</v>
      </c>
      <c r="D50" s="36" t="s">
        <v>7203</v>
      </c>
      <c r="E50" s="34" t="s">
        <v>256</v>
      </c>
      <c r="F50" s="34" t="s">
        <v>3616</v>
      </c>
      <c r="G50" s="37" t="s">
        <v>457</v>
      </c>
      <c r="H50" s="34" t="s">
        <v>216</v>
      </c>
    </row>
    <row r="51" spans="1:8" ht="45">
      <c r="A51" s="34" t="s">
        <v>7204</v>
      </c>
      <c r="B51" s="34" t="s">
        <v>420</v>
      </c>
      <c r="C51" s="35" t="s">
        <v>7205</v>
      </c>
      <c r="D51" s="36" t="s">
        <v>7206</v>
      </c>
      <c r="E51" s="34" t="s">
        <v>238</v>
      </c>
      <c r="F51" s="34" t="s">
        <v>3584</v>
      </c>
      <c r="G51" s="37" t="s">
        <v>438</v>
      </c>
      <c r="H51" s="34" t="s">
        <v>216</v>
      </c>
    </row>
    <row r="52" spans="1:8" ht="45">
      <c r="A52" s="34" t="s">
        <v>7207</v>
      </c>
      <c r="B52" s="34" t="s">
        <v>420</v>
      </c>
      <c r="C52" s="35" t="s">
        <v>7208</v>
      </c>
      <c r="D52" s="36" t="s">
        <v>7209</v>
      </c>
      <c r="E52" s="34" t="s">
        <v>244</v>
      </c>
      <c r="F52" s="34" t="s">
        <v>3595</v>
      </c>
      <c r="G52" s="37" t="s">
        <v>457</v>
      </c>
      <c r="H52" s="34" t="s">
        <v>216</v>
      </c>
    </row>
    <row r="53" spans="1:8" ht="45">
      <c r="A53" s="42" t="s">
        <v>7210</v>
      </c>
      <c r="B53" s="42" t="s">
        <v>31</v>
      </c>
      <c r="C53" s="43" t="s">
        <v>7211</v>
      </c>
      <c r="D53" s="44" t="s">
        <v>7212</v>
      </c>
      <c r="E53" s="42" t="s">
        <v>250</v>
      </c>
      <c r="F53" s="42" t="s">
        <v>3605</v>
      </c>
      <c r="G53" s="45" t="s">
        <v>438</v>
      </c>
      <c r="H53" s="42" t="s">
        <v>216</v>
      </c>
    </row>
    <row r="54" spans="1:8" ht="45">
      <c r="A54" s="46" t="s">
        <v>7213</v>
      </c>
      <c r="B54" s="46" t="s">
        <v>73</v>
      </c>
      <c r="C54" s="47" t="s">
        <v>7214</v>
      </c>
      <c r="D54" s="48" t="s">
        <v>7215</v>
      </c>
      <c r="E54" s="46" t="s">
        <v>74</v>
      </c>
      <c r="F54" s="46" t="s">
        <v>3663</v>
      </c>
      <c r="G54" s="49" t="s">
        <v>457</v>
      </c>
      <c r="H54" s="46" t="s">
        <v>216</v>
      </c>
    </row>
    <row r="55" spans="1:8" ht="60">
      <c r="A55" s="50" t="s">
        <v>7216</v>
      </c>
      <c r="B55" s="50" t="s">
        <v>90</v>
      </c>
      <c r="C55" s="51" t="s">
        <v>7217</v>
      </c>
      <c r="D55" s="52" t="s">
        <v>7218</v>
      </c>
      <c r="E55" s="50" t="s">
        <v>95</v>
      </c>
      <c r="F55" s="50" t="s">
        <v>3671</v>
      </c>
      <c r="G55" s="53" t="s">
        <v>457</v>
      </c>
      <c r="H55" s="50" t="s">
        <v>216</v>
      </c>
    </row>
    <row r="56" spans="1:8" ht="45">
      <c r="A56" s="38" t="s">
        <v>7219</v>
      </c>
      <c r="B56" s="38" t="s">
        <v>58</v>
      </c>
      <c r="C56" s="39" t="s">
        <v>7220</v>
      </c>
      <c r="D56" s="40" t="s">
        <v>7221</v>
      </c>
      <c r="E56" s="38" t="s">
        <v>212</v>
      </c>
      <c r="F56" s="38" t="s">
        <v>3507</v>
      </c>
      <c r="G56" s="41" t="s">
        <v>438</v>
      </c>
      <c r="H56" s="38" t="s">
        <v>216</v>
      </c>
    </row>
    <row r="57" spans="1:8" ht="45">
      <c r="A57" s="54" t="s">
        <v>7222</v>
      </c>
      <c r="B57" s="54" t="s">
        <v>193</v>
      </c>
      <c r="C57" s="55" t="s">
        <v>7223</v>
      </c>
      <c r="D57" s="56" t="s">
        <v>7224</v>
      </c>
      <c r="E57" s="54" t="s">
        <v>274</v>
      </c>
      <c r="F57" s="54" t="s">
        <v>3681</v>
      </c>
      <c r="G57" s="57" t="s">
        <v>438</v>
      </c>
      <c r="H57" s="54" t="s">
        <v>216</v>
      </c>
    </row>
    <row r="58" spans="1:8" ht="30">
      <c r="A58" s="54" t="s">
        <v>7225</v>
      </c>
      <c r="B58" s="54" t="s">
        <v>193</v>
      </c>
      <c r="C58" s="55" t="s">
        <v>7226</v>
      </c>
      <c r="D58" s="56" t="s">
        <v>7227</v>
      </c>
      <c r="E58" s="54" t="s">
        <v>281</v>
      </c>
      <c r="F58" s="54" t="s">
        <v>3692</v>
      </c>
      <c r="G58" s="57" t="s">
        <v>438</v>
      </c>
      <c r="H58" s="54" t="s">
        <v>216</v>
      </c>
    </row>
    <row r="59" spans="1:8" ht="45">
      <c r="A59" s="54" t="s">
        <v>7228</v>
      </c>
      <c r="B59" s="54" t="s">
        <v>193</v>
      </c>
      <c r="C59" s="55" t="s">
        <v>7229</v>
      </c>
      <c r="D59" s="56" t="s">
        <v>7230</v>
      </c>
      <c r="E59" s="54" t="s">
        <v>597</v>
      </c>
      <c r="F59" s="54" t="s">
        <v>7231</v>
      </c>
      <c r="G59" s="57" t="s">
        <v>457</v>
      </c>
      <c r="H59" s="54" t="s">
        <v>216</v>
      </c>
    </row>
    <row r="60" spans="1:8" ht="45">
      <c r="A60" s="54" t="s">
        <v>7232</v>
      </c>
      <c r="B60" s="54" t="s">
        <v>193</v>
      </c>
      <c r="C60" s="55" t="s">
        <v>7233</v>
      </c>
      <c r="D60" s="56" t="s">
        <v>7234</v>
      </c>
      <c r="E60" s="54" t="s">
        <v>293</v>
      </c>
      <c r="F60" s="54" t="s">
        <v>3711</v>
      </c>
      <c r="G60" s="57" t="s">
        <v>496</v>
      </c>
      <c r="H60" s="54" t="s">
        <v>216</v>
      </c>
    </row>
    <row r="61" spans="1:8" ht="45">
      <c r="A61" s="42" t="s">
        <v>7235</v>
      </c>
      <c r="B61" s="42" t="s">
        <v>313</v>
      </c>
      <c r="C61" s="43" t="s">
        <v>7236</v>
      </c>
      <c r="D61" s="44" t="s">
        <v>7237</v>
      </c>
      <c r="E61" s="42" t="s">
        <v>321</v>
      </c>
      <c r="F61" s="42" t="s">
        <v>3762</v>
      </c>
      <c r="G61" s="45" t="s">
        <v>438</v>
      </c>
      <c r="H61" s="42" t="s">
        <v>216</v>
      </c>
    </row>
    <row r="62" spans="1:8" ht="45">
      <c r="A62" s="42" t="s">
        <v>7238</v>
      </c>
      <c r="B62" s="42" t="s">
        <v>313</v>
      </c>
      <c r="C62" s="43" t="s">
        <v>7239</v>
      </c>
      <c r="D62" s="44" t="s">
        <v>7240</v>
      </c>
      <c r="E62" s="42" t="s">
        <v>7241</v>
      </c>
      <c r="F62" s="42" t="s">
        <v>7242</v>
      </c>
      <c r="G62" s="45" t="s">
        <v>438</v>
      </c>
      <c r="H62" s="42" t="s">
        <v>216</v>
      </c>
    </row>
    <row r="63" spans="1:8" ht="45">
      <c r="A63" s="58" t="s">
        <v>7243</v>
      </c>
      <c r="B63" s="58" t="s">
        <v>350</v>
      </c>
      <c r="C63" s="59" t="s">
        <v>7244</v>
      </c>
      <c r="D63" s="60" t="s">
        <v>7245</v>
      </c>
      <c r="E63" s="58" t="s">
        <v>362</v>
      </c>
      <c r="F63" s="58" t="s">
        <v>3812</v>
      </c>
      <c r="G63" s="61" t="s">
        <v>457</v>
      </c>
      <c r="H63" s="58" t="s">
        <v>216</v>
      </c>
    </row>
    <row r="64" spans="1:8" ht="45">
      <c r="A64" s="62" t="s">
        <v>7246</v>
      </c>
      <c r="B64" s="62" t="s">
        <v>371</v>
      </c>
      <c r="C64" s="63" t="s">
        <v>7247</v>
      </c>
      <c r="D64" s="64" t="s">
        <v>7248</v>
      </c>
      <c r="E64" s="62" t="s">
        <v>622</v>
      </c>
      <c r="F64" s="62" t="s">
        <v>7249</v>
      </c>
      <c r="G64" s="65" t="s">
        <v>438</v>
      </c>
      <c r="H64" s="62" t="s">
        <v>216</v>
      </c>
    </row>
    <row r="65" spans="1:8" ht="45">
      <c r="A65" s="62" t="s">
        <v>7250</v>
      </c>
      <c r="B65" s="62" t="s">
        <v>371</v>
      </c>
      <c r="C65" s="63" t="s">
        <v>7251</v>
      </c>
      <c r="D65" s="64" t="s">
        <v>7252</v>
      </c>
      <c r="E65" s="62" t="s">
        <v>385</v>
      </c>
      <c r="F65" s="62" t="s">
        <v>3854</v>
      </c>
      <c r="G65" s="65" t="s">
        <v>457</v>
      </c>
      <c r="H65" s="62" t="s">
        <v>216</v>
      </c>
    </row>
    <row r="66" spans="1:8" ht="30">
      <c r="A66" s="66" t="s">
        <v>7253</v>
      </c>
      <c r="B66" s="66" t="s">
        <v>7254</v>
      </c>
      <c r="C66" s="67" t="s">
        <v>7255</v>
      </c>
      <c r="D66" s="68" t="s">
        <v>7256</v>
      </c>
      <c r="E66" s="66" t="s">
        <v>3094</v>
      </c>
      <c r="F66" s="66" t="s">
        <v>2254</v>
      </c>
      <c r="G66" s="69" t="s">
        <v>457</v>
      </c>
      <c r="H66" s="66" t="s">
        <v>674</v>
      </c>
    </row>
    <row r="67" spans="1:8" ht="30">
      <c r="A67" s="66" t="s">
        <v>7257</v>
      </c>
      <c r="B67" s="66" t="s">
        <v>7254</v>
      </c>
      <c r="C67" s="67" t="s">
        <v>7258</v>
      </c>
      <c r="D67" s="68" t="s">
        <v>7259</v>
      </c>
      <c r="E67" s="66" t="s">
        <v>3094</v>
      </c>
      <c r="F67" s="66" t="s">
        <v>7260</v>
      </c>
      <c r="G67" s="69" t="s">
        <v>457</v>
      </c>
      <c r="H67" s="66" t="s">
        <v>674</v>
      </c>
    </row>
    <row r="68" spans="1:8" ht="30">
      <c r="A68" s="66" t="s">
        <v>7261</v>
      </c>
      <c r="B68" s="66" t="s">
        <v>7254</v>
      </c>
      <c r="C68" s="67" t="s">
        <v>7262</v>
      </c>
      <c r="D68" s="68" t="s">
        <v>7263</v>
      </c>
      <c r="E68" s="66" t="s">
        <v>3094</v>
      </c>
      <c r="F68" s="66" t="s">
        <v>3637</v>
      </c>
      <c r="G68" s="69" t="s">
        <v>496</v>
      </c>
      <c r="H68" s="66" t="s">
        <v>674</v>
      </c>
    </row>
    <row r="69" spans="1:8" ht="30">
      <c r="A69" s="66" t="s">
        <v>7264</v>
      </c>
      <c r="B69" s="66" t="s">
        <v>7254</v>
      </c>
      <c r="C69" s="67" t="s">
        <v>7265</v>
      </c>
      <c r="D69" s="68" t="s">
        <v>7266</v>
      </c>
      <c r="E69" s="66" t="s">
        <v>3094</v>
      </c>
      <c r="F69" s="66" t="s">
        <v>3844</v>
      </c>
      <c r="G69" s="69" t="s">
        <v>496</v>
      </c>
      <c r="H69" s="66" t="s">
        <v>674</v>
      </c>
    </row>
    <row r="70" spans="1:8" ht="30">
      <c r="A70" s="66" t="s">
        <v>7267</v>
      </c>
      <c r="B70" s="66" t="s">
        <v>7254</v>
      </c>
      <c r="C70" s="67" t="s">
        <v>7268</v>
      </c>
      <c r="D70" s="68" t="s">
        <v>7269</v>
      </c>
      <c r="E70" s="66" t="s">
        <v>3094</v>
      </c>
      <c r="F70" s="66"/>
      <c r="G70" s="69" t="s">
        <v>496</v>
      </c>
      <c r="H70" s="66" t="s">
        <v>674</v>
      </c>
    </row>
    <row r="71" spans="1:8" ht="45">
      <c r="A71" s="66" t="s">
        <v>7270</v>
      </c>
      <c r="B71" s="66" t="s">
        <v>7254</v>
      </c>
      <c r="C71" s="67" t="s">
        <v>7271</v>
      </c>
      <c r="D71" s="68" t="s">
        <v>7272</v>
      </c>
      <c r="E71" s="66" t="s">
        <v>3094</v>
      </c>
      <c r="F71" s="66"/>
      <c r="G71" s="69" t="s">
        <v>457</v>
      </c>
      <c r="H71" s="66" t="s">
        <v>674</v>
      </c>
    </row>
    <row r="72" spans="1:8" ht="45">
      <c r="A72" s="66" t="s">
        <v>7273</v>
      </c>
      <c r="B72" s="66" t="s">
        <v>7274</v>
      </c>
      <c r="C72" s="67" t="s">
        <v>7275</v>
      </c>
      <c r="D72" s="68" t="s">
        <v>7276</v>
      </c>
      <c r="E72" s="66" t="s">
        <v>14</v>
      </c>
      <c r="F72" s="66" t="s">
        <v>2078</v>
      </c>
      <c r="G72" s="69" t="s">
        <v>438</v>
      </c>
      <c r="H72" s="66" t="s">
        <v>674</v>
      </c>
    </row>
    <row r="73" spans="1:8" ht="75">
      <c r="A73" s="70" t="s">
        <v>7277</v>
      </c>
      <c r="B73" s="70" t="s">
        <v>7278</v>
      </c>
      <c r="C73" s="70" t="s">
        <v>7279</v>
      </c>
      <c r="D73" s="70" t="s">
        <v>7280</v>
      </c>
      <c r="E73" s="70" t="s">
        <v>206</v>
      </c>
      <c r="F73" s="71" t="s">
        <v>2737</v>
      </c>
      <c r="G73" s="71" t="s">
        <v>438</v>
      </c>
      <c r="H73" s="71" t="s">
        <v>674</v>
      </c>
    </row>
    <row r="74" spans="1:8" ht="75">
      <c r="A74" s="70" t="s">
        <v>7281</v>
      </c>
      <c r="B74" s="70" t="s">
        <v>7278</v>
      </c>
      <c r="C74" s="70" t="s">
        <v>7282</v>
      </c>
      <c r="D74" s="70" t="s">
        <v>7283</v>
      </c>
      <c r="E74" s="70" t="s">
        <v>7284</v>
      </c>
      <c r="F74" s="71" t="s">
        <v>7285</v>
      </c>
      <c r="G74" s="71" t="s">
        <v>438</v>
      </c>
      <c r="H74" s="71" t="s">
        <v>674</v>
      </c>
    </row>
    <row r="75" spans="1:8" ht="120">
      <c r="A75" s="70" t="s">
        <v>7286</v>
      </c>
      <c r="B75" s="70" t="s">
        <v>7278</v>
      </c>
      <c r="C75" s="70" t="s">
        <v>7287</v>
      </c>
      <c r="D75" s="70" t="s">
        <v>7288</v>
      </c>
      <c r="E75" s="70" t="s">
        <v>187</v>
      </c>
      <c r="F75" s="71" t="s">
        <v>2716</v>
      </c>
      <c r="G75" s="71" t="s">
        <v>438</v>
      </c>
      <c r="H75" s="71" t="s">
        <v>674</v>
      </c>
    </row>
    <row r="76" spans="1:8" ht="105">
      <c r="A76" s="70" t="s">
        <v>7289</v>
      </c>
      <c r="B76" s="70" t="s">
        <v>7278</v>
      </c>
      <c r="C76" s="70" t="s">
        <v>7290</v>
      </c>
      <c r="D76" s="70" t="s">
        <v>7291</v>
      </c>
      <c r="E76" s="70" t="s">
        <v>24</v>
      </c>
      <c r="F76" s="71" t="s">
        <v>7292</v>
      </c>
      <c r="G76" s="71" t="s">
        <v>438</v>
      </c>
      <c r="H76" s="71" t="s">
        <v>674</v>
      </c>
    </row>
    <row r="77" spans="1:8" ht="105">
      <c r="A77" s="70" t="s">
        <v>3866</v>
      </c>
      <c r="B77" s="70" t="s">
        <v>7278</v>
      </c>
      <c r="C77" s="70" t="s">
        <v>7293</v>
      </c>
      <c r="D77" s="70" t="s">
        <v>7294</v>
      </c>
      <c r="E77" s="70" t="s">
        <v>24</v>
      </c>
      <c r="F77" s="71" t="s">
        <v>2161</v>
      </c>
      <c r="G77" s="71" t="s">
        <v>457</v>
      </c>
      <c r="H77" s="71" t="s">
        <v>674</v>
      </c>
    </row>
    <row r="78" spans="1:8" ht="105">
      <c r="A78" s="70" t="s">
        <v>3872</v>
      </c>
      <c r="B78" s="70" t="s">
        <v>7278</v>
      </c>
      <c r="C78" s="70" t="s">
        <v>7295</v>
      </c>
      <c r="D78" s="70" t="s">
        <v>7296</v>
      </c>
      <c r="E78" s="70" t="s">
        <v>206</v>
      </c>
      <c r="F78" s="71" t="s">
        <v>2737</v>
      </c>
      <c r="G78" s="71" t="s">
        <v>438</v>
      </c>
      <c r="H78" s="71" t="s">
        <v>674</v>
      </c>
    </row>
    <row r="79" spans="1:8" ht="75">
      <c r="A79" s="70" t="s">
        <v>7297</v>
      </c>
      <c r="B79" s="70" t="s">
        <v>7278</v>
      </c>
      <c r="C79" s="70" t="s">
        <v>7298</v>
      </c>
      <c r="D79" s="70" t="s">
        <v>7299</v>
      </c>
      <c r="E79" s="70" t="s">
        <v>7300</v>
      </c>
      <c r="F79" s="71" t="s">
        <v>2737</v>
      </c>
      <c r="G79" s="71" t="s">
        <v>457</v>
      </c>
      <c r="H79" s="71" t="s">
        <v>674</v>
      </c>
    </row>
    <row r="80" spans="1:8" ht="90">
      <c r="A80" s="70" t="s">
        <v>7301</v>
      </c>
      <c r="B80" s="70" t="s">
        <v>7278</v>
      </c>
      <c r="C80" s="70" t="s">
        <v>7302</v>
      </c>
      <c r="D80" s="70" t="s">
        <v>7303</v>
      </c>
      <c r="E80" s="70" t="s">
        <v>206</v>
      </c>
      <c r="F80" s="71" t="s">
        <v>2737</v>
      </c>
      <c r="G80" s="71" t="s">
        <v>457</v>
      </c>
      <c r="H80" s="71" t="s">
        <v>674</v>
      </c>
    </row>
    <row r="81" spans="1:8" ht="90">
      <c r="A81" s="70" t="s">
        <v>7304</v>
      </c>
      <c r="B81" s="70" t="s">
        <v>7278</v>
      </c>
      <c r="C81" s="70" t="s">
        <v>7305</v>
      </c>
      <c r="D81" s="70" t="s">
        <v>7306</v>
      </c>
      <c r="E81" s="70" t="s">
        <v>14</v>
      </c>
      <c r="F81" s="71" t="s">
        <v>2078</v>
      </c>
      <c r="G81" s="71" t="s">
        <v>438</v>
      </c>
      <c r="H81" s="71" t="s">
        <v>674</v>
      </c>
    </row>
    <row r="82" spans="1:8" ht="135">
      <c r="A82" s="70" t="s">
        <v>7307</v>
      </c>
      <c r="B82" s="70" t="s">
        <v>7278</v>
      </c>
      <c r="C82" s="70" t="s">
        <v>7308</v>
      </c>
      <c r="D82" s="70" t="s">
        <v>7309</v>
      </c>
      <c r="E82" s="70" t="s">
        <v>7284</v>
      </c>
      <c r="F82" s="71" t="s">
        <v>7310</v>
      </c>
      <c r="G82" s="71" t="s">
        <v>438</v>
      </c>
      <c r="H82" s="71" t="s">
        <v>674</v>
      </c>
    </row>
    <row r="83" spans="1:8" ht="105">
      <c r="A83" s="70" t="s">
        <v>7311</v>
      </c>
      <c r="B83" s="70" t="s">
        <v>7278</v>
      </c>
      <c r="C83" s="70" t="s">
        <v>7312</v>
      </c>
      <c r="D83" s="70" t="s">
        <v>7313</v>
      </c>
      <c r="E83" s="70" t="s">
        <v>3094</v>
      </c>
      <c r="F83" s="71" t="s">
        <v>7314</v>
      </c>
      <c r="G83" s="71" t="s">
        <v>438</v>
      </c>
      <c r="H83" s="71" t="s">
        <v>674</v>
      </c>
    </row>
    <row r="84" spans="1:8" ht="105">
      <c r="A84" s="72" t="s">
        <v>4996</v>
      </c>
      <c r="B84" s="72" t="s">
        <v>7315</v>
      </c>
      <c r="C84" s="72" t="s">
        <v>7316</v>
      </c>
      <c r="D84" s="72" t="s">
        <v>7317</v>
      </c>
      <c r="E84" s="72" t="s">
        <v>187</v>
      </c>
      <c r="F84" s="72" t="s">
        <v>3881</v>
      </c>
      <c r="G84" s="72" t="s">
        <v>3885</v>
      </c>
      <c r="H84" s="72" t="s">
        <v>3886</v>
      </c>
    </row>
    <row r="85" spans="1:8" ht="120">
      <c r="A85" s="72" t="s">
        <v>7318</v>
      </c>
      <c r="B85" s="72" t="s">
        <v>7315</v>
      </c>
      <c r="C85" s="72" t="s">
        <v>7319</v>
      </c>
      <c r="D85" s="72" t="s">
        <v>7320</v>
      </c>
      <c r="E85" s="72" t="s">
        <v>7321</v>
      </c>
      <c r="F85" s="72" t="s">
        <v>7322</v>
      </c>
      <c r="G85" s="72" t="s">
        <v>3885</v>
      </c>
      <c r="H85" s="72" t="s">
        <v>3886</v>
      </c>
    </row>
    <row r="86" spans="1:8" ht="120">
      <c r="A86" s="72" t="s">
        <v>7323</v>
      </c>
      <c r="B86" s="72" t="s">
        <v>7315</v>
      </c>
      <c r="C86" s="72" t="s">
        <v>7324</v>
      </c>
      <c r="D86" s="72" t="s">
        <v>7325</v>
      </c>
      <c r="E86" s="72" t="s">
        <v>7326</v>
      </c>
      <c r="F86" s="72" t="s">
        <v>3881</v>
      </c>
      <c r="G86" s="72" t="s">
        <v>3885</v>
      </c>
      <c r="H86" s="72" t="s">
        <v>3886</v>
      </c>
    </row>
    <row r="87" spans="1:8" ht="150">
      <c r="A87" s="72" t="s">
        <v>5002</v>
      </c>
      <c r="B87" s="72" t="s">
        <v>7315</v>
      </c>
      <c r="C87" s="72" t="s">
        <v>7327</v>
      </c>
      <c r="D87" s="72" t="s">
        <v>7328</v>
      </c>
      <c r="E87" s="72" t="s">
        <v>3094</v>
      </c>
      <c r="F87" s="72" t="s">
        <v>3881</v>
      </c>
      <c r="G87" s="72" t="s">
        <v>3885</v>
      </c>
      <c r="H87" s="72" t="s">
        <v>3886</v>
      </c>
    </row>
    <row r="88" spans="1:8" ht="150">
      <c r="A88" s="72" t="s">
        <v>3905</v>
      </c>
      <c r="B88" s="72" t="s">
        <v>7315</v>
      </c>
      <c r="C88" s="72" t="s">
        <v>7329</v>
      </c>
      <c r="D88" s="72" t="s">
        <v>7330</v>
      </c>
      <c r="E88" s="72" t="s">
        <v>7331</v>
      </c>
      <c r="F88" s="72" t="s">
        <v>7332</v>
      </c>
      <c r="G88" s="72" t="s">
        <v>3885</v>
      </c>
      <c r="H88" s="72" t="s">
        <v>3886</v>
      </c>
    </row>
    <row r="89" spans="1:8" ht="135">
      <c r="A89" s="72" t="s">
        <v>3911</v>
      </c>
      <c r="B89" s="72" t="s">
        <v>7315</v>
      </c>
      <c r="C89" s="72" t="s">
        <v>7333</v>
      </c>
      <c r="D89" s="72" t="s">
        <v>7334</v>
      </c>
      <c r="E89" s="72" t="s">
        <v>7326</v>
      </c>
      <c r="F89" s="72" t="s">
        <v>3881</v>
      </c>
      <c r="G89" s="72" t="s">
        <v>630</v>
      </c>
      <c r="H89" s="72" t="s">
        <v>3886</v>
      </c>
    </row>
    <row r="90" spans="1:8" ht="135">
      <c r="A90" s="72" t="s">
        <v>3917</v>
      </c>
      <c r="B90" s="72" t="s">
        <v>7315</v>
      </c>
      <c r="C90" s="72" t="s">
        <v>7335</v>
      </c>
      <c r="D90" s="72" t="s">
        <v>7336</v>
      </c>
      <c r="E90" s="72" t="s">
        <v>187</v>
      </c>
      <c r="F90" s="72" t="s">
        <v>3881</v>
      </c>
      <c r="G90" s="72" t="s">
        <v>636</v>
      </c>
      <c r="H90" s="72" t="s">
        <v>3886</v>
      </c>
    </row>
    <row r="91" spans="1:8" ht="120">
      <c r="A91" s="72" t="s">
        <v>5009</v>
      </c>
      <c r="B91" s="72" t="s">
        <v>7315</v>
      </c>
      <c r="C91" s="72" t="s">
        <v>7337</v>
      </c>
      <c r="D91" s="72" t="s">
        <v>7338</v>
      </c>
      <c r="E91" s="72" t="s">
        <v>187</v>
      </c>
      <c r="F91" s="72" t="s">
        <v>3881</v>
      </c>
      <c r="G91" s="72" t="s">
        <v>636</v>
      </c>
      <c r="H91" s="72" t="s">
        <v>3886</v>
      </c>
    </row>
    <row r="92" spans="1:8" ht="165">
      <c r="A92" s="72" t="s">
        <v>7339</v>
      </c>
      <c r="B92" s="72" t="s">
        <v>7315</v>
      </c>
      <c r="C92" s="72" t="s">
        <v>7340</v>
      </c>
      <c r="D92" s="72" t="s">
        <v>7341</v>
      </c>
      <c r="E92" s="72" t="s">
        <v>187</v>
      </c>
      <c r="F92" s="72" t="s">
        <v>3881</v>
      </c>
      <c r="G92" s="72" t="s">
        <v>630</v>
      </c>
      <c r="H92" s="72" t="s">
        <v>3886</v>
      </c>
    </row>
    <row r="93" spans="1:8" ht="135">
      <c r="A93" s="72" t="s">
        <v>7342</v>
      </c>
      <c r="B93" s="72" t="s">
        <v>7315</v>
      </c>
      <c r="C93" s="72" t="s">
        <v>7343</v>
      </c>
      <c r="D93" s="72" t="s">
        <v>7344</v>
      </c>
      <c r="E93" s="72" t="s">
        <v>7345</v>
      </c>
      <c r="F93" s="72" t="s">
        <v>7346</v>
      </c>
      <c r="G93" s="72" t="s">
        <v>3885</v>
      </c>
      <c r="H93" s="72" t="s">
        <v>3886</v>
      </c>
    </row>
    <row r="94" spans="1:8" ht="150">
      <c r="A94" s="72" t="s">
        <v>5017</v>
      </c>
      <c r="B94" s="72" t="s">
        <v>7315</v>
      </c>
      <c r="C94" s="72" t="s">
        <v>7347</v>
      </c>
      <c r="D94" s="72" t="s">
        <v>7348</v>
      </c>
      <c r="E94" s="72" t="s">
        <v>7349</v>
      </c>
      <c r="F94" s="72" t="s">
        <v>3881</v>
      </c>
      <c r="G94" s="72" t="s">
        <v>3885</v>
      </c>
      <c r="H94" s="72" t="s">
        <v>3886</v>
      </c>
    </row>
    <row r="95" spans="1:8" ht="165">
      <c r="A95" s="72" t="s">
        <v>5137</v>
      </c>
      <c r="B95" s="72" t="s">
        <v>7315</v>
      </c>
      <c r="C95" s="72" t="s">
        <v>7350</v>
      </c>
      <c r="D95" s="72" t="s">
        <v>7351</v>
      </c>
      <c r="E95" s="72" t="s">
        <v>7352</v>
      </c>
      <c r="F95" s="72" t="s">
        <v>7353</v>
      </c>
      <c r="G95" s="72" t="s">
        <v>630</v>
      </c>
      <c r="H95" s="72" t="s">
        <v>3886</v>
      </c>
    </row>
    <row r="96" spans="1:8" ht="165">
      <c r="A96" s="72" t="s">
        <v>7354</v>
      </c>
      <c r="B96" s="72" t="s">
        <v>7315</v>
      </c>
      <c r="C96" s="72" t="s">
        <v>7355</v>
      </c>
      <c r="D96" s="72" t="s">
        <v>7356</v>
      </c>
      <c r="E96" s="72" t="s">
        <v>3094</v>
      </c>
      <c r="F96" s="72" t="s">
        <v>3881</v>
      </c>
      <c r="G96" s="72" t="s">
        <v>3885</v>
      </c>
      <c r="H96" s="72" t="s">
        <v>3886</v>
      </c>
    </row>
    <row r="97" spans="1:8" ht="195">
      <c r="A97" s="73" t="s">
        <v>5045</v>
      </c>
      <c r="B97" s="73" t="s">
        <v>7357</v>
      </c>
      <c r="C97" s="73" t="s">
        <v>7358</v>
      </c>
      <c r="D97" s="73" t="s">
        <v>7359</v>
      </c>
      <c r="E97" s="73" t="s">
        <v>206</v>
      </c>
      <c r="F97" s="73" t="s">
        <v>3891</v>
      </c>
      <c r="G97" s="73" t="s">
        <v>630</v>
      </c>
      <c r="H97" s="73" t="s">
        <v>3886</v>
      </c>
    </row>
    <row r="98" spans="1:8" ht="210">
      <c r="A98" s="73" t="s">
        <v>5053</v>
      </c>
      <c r="B98" s="73" t="s">
        <v>7357</v>
      </c>
      <c r="C98" s="73" t="s">
        <v>7360</v>
      </c>
      <c r="D98" s="73" t="s">
        <v>7361</v>
      </c>
      <c r="E98" s="73" t="s">
        <v>206</v>
      </c>
      <c r="F98" s="73" t="s">
        <v>7362</v>
      </c>
      <c r="G98" s="73" t="s">
        <v>630</v>
      </c>
      <c r="H98" s="73" t="s">
        <v>3886</v>
      </c>
    </row>
    <row r="99" spans="1:8" ht="225">
      <c r="A99" s="73" t="s">
        <v>5028</v>
      </c>
      <c r="B99" s="73" t="s">
        <v>7357</v>
      </c>
      <c r="C99" s="73" t="s">
        <v>7363</v>
      </c>
      <c r="D99" s="73" t="s">
        <v>7364</v>
      </c>
      <c r="E99" s="73" t="s">
        <v>206</v>
      </c>
      <c r="F99" s="73" t="s">
        <v>3891</v>
      </c>
      <c r="G99" s="73" t="s">
        <v>3885</v>
      </c>
      <c r="H99" s="73" t="s">
        <v>3886</v>
      </c>
    </row>
    <row r="100" spans="1:8" ht="165">
      <c r="A100" s="73" t="s">
        <v>5031</v>
      </c>
      <c r="B100" s="73" t="s">
        <v>7357</v>
      </c>
      <c r="C100" s="73" t="s">
        <v>7365</v>
      </c>
      <c r="D100" s="73" t="s">
        <v>7366</v>
      </c>
      <c r="E100" s="73" t="s">
        <v>206</v>
      </c>
      <c r="F100" s="73" t="s">
        <v>3891</v>
      </c>
      <c r="G100" s="73" t="s">
        <v>636</v>
      </c>
      <c r="H100" s="73" t="s">
        <v>3886</v>
      </c>
    </row>
    <row r="101" spans="1:8" ht="150">
      <c r="A101" s="73" t="s">
        <v>7367</v>
      </c>
      <c r="B101" s="73" t="s">
        <v>7357</v>
      </c>
      <c r="C101" s="73" t="s">
        <v>7368</v>
      </c>
      <c r="D101" s="73" t="s">
        <v>7369</v>
      </c>
      <c r="E101" s="73" t="s">
        <v>3094</v>
      </c>
      <c r="F101" s="73" t="s">
        <v>3891</v>
      </c>
      <c r="G101" s="73" t="s">
        <v>630</v>
      </c>
      <c r="H101" s="73" t="s">
        <v>3886</v>
      </c>
    </row>
    <row r="102" spans="1:8" ht="180">
      <c r="A102" s="73" t="s">
        <v>5042</v>
      </c>
      <c r="B102" s="73" t="s">
        <v>7357</v>
      </c>
      <c r="C102" s="73" t="s">
        <v>7370</v>
      </c>
      <c r="D102" s="73" t="s">
        <v>7371</v>
      </c>
      <c r="E102" s="73" t="s">
        <v>7372</v>
      </c>
      <c r="F102" s="73" t="s">
        <v>3891</v>
      </c>
      <c r="G102" s="73" t="s">
        <v>636</v>
      </c>
      <c r="H102" s="73" t="s">
        <v>3886</v>
      </c>
    </row>
    <row r="103" spans="1:8" ht="150">
      <c r="A103" s="73" t="s">
        <v>7373</v>
      </c>
      <c r="B103" s="73" t="s">
        <v>7357</v>
      </c>
      <c r="C103" s="73" t="s">
        <v>7374</v>
      </c>
      <c r="D103" s="73" t="s">
        <v>7375</v>
      </c>
      <c r="E103" s="73" t="s">
        <v>206</v>
      </c>
      <c r="F103" s="73" t="s">
        <v>7376</v>
      </c>
      <c r="G103" s="73" t="s">
        <v>630</v>
      </c>
      <c r="H103" s="73" t="s">
        <v>3886</v>
      </c>
    </row>
    <row r="104" spans="1:8" ht="210">
      <c r="A104" s="73" t="s">
        <v>7377</v>
      </c>
      <c r="B104" s="73" t="s">
        <v>7357</v>
      </c>
      <c r="C104" s="73" t="s">
        <v>7378</v>
      </c>
      <c r="D104" s="73" t="s">
        <v>7379</v>
      </c>
      <c r="E104" s="73" t="s">
        <v>206</v>
      </c>
      <c r="F104" s="73" t="s">
        <v>3891</v>
      </c>
      <c r="G104" s="73" t="s">
        <v>636</v>
      </c>
      <c r="H104" s="73" t="s">
        <v>3886</v>
      </c>
    </row>
    <row r="105" spans="1:8" ht="180">
      <c r="A105" s="73" t="s">
        <v>7380</v>
      </c>
      <c r="B105" s="73" t="s">
        <v>7357</v>
      </c>
      <c r="C105" s="73" t="s">
        <v>7381</v>
      </c>
      <c r="D105" s="73" t="s">
        <v>7382</v>
      </c>
      <c r="E105" s="73" t="s">
        <v>7383</v>
      </c>
      <c r="F105" s="73" t="s">
        <v>3891</v>
      </c>
      <c r="G105" s="73" t="s">
        <v>636</v>
      </c>
      <c r="H105" s="73" t="s">
        <v>3886</v>
      </c>
    </row>
    <row r="106" spans="1:8" ht="195">
      <c r="A106" s="73" t="s">
        <v>7384</v>
      </c>
      <c r="B106" s="73" t="s">
        <v>7357</v>
      </c>
      <c r="C106" s="73" t="s">
        <v>7385</v>
      </c>
      <c r="D106" s="73" t="s">
        <v>7386</v>
      </c>
      <c r="E106" s="73" t="s">
        <v>7387</v>
      </c>
      <c r="F106" s="73" t="s">
        <v>7388</v>
      </c>
      <c r="G106" s="73" t="s">
        <v>630</v>
      </c>
      <c r="H106" s="73" t="s">
        <v>3886</v>
      </c>
    </row>
    <row r="107" spans="1:8" ht="210">
      <c r="A107" s="74" t="s">
        <v>5094</v>
      </c>
      <c r="B107" s="74" t="s">
        <v>7389</v>
      </c>
      <c r="C107" s="74" t="s">
        <v>7390</v>
      </c>
      <c r="D107" s="74" t="s">
        <v>7391</v>
      </c>
      <c r="E107" s="74" t="s">
        <v>206</v>
      </c>
      <c r="F107" s="74" t="s">
        <v>3868</v>
      </c>
      <c r="G107" s="74" t="s">
        <v>630</v>
      </c>
      <c r="H107" s="74" t="s">
        <v>3886</v>
      </c>
    </row>
    <row r="108" spans="1:8" ht="180">
      <c r="A108" s="74" t="s">
        <v>7392</v>
      </c>
      <c r="B108" s="74" t="s">
        <v>7389</v>
      </c>
      <c r="C108" s="74" t="s">
        <v>7393</v>
      </c>
      <c r="D108" s="74" t="s">
        <v>7394</v>
      </c>
      <c r="E108" s="74" t="s">
        <v>7395</v>
      </c>
      <c r="F108" s="74" t="s">
        <v>7396</v>
      </c>
      <c r="G108" s="74" t="s">
        <v>630</v>
      </c>
      <c r="H108" s="74" t="s">
        <v>3886</v>
      </c>
    </row>
    <row r="109" spans="1:8" ht="225">
      <c r="A109" s="74" t="s">
        <v>3948</v>
      </c>
      <c r="B109" s="74" t="s">
        <v>7389</v>
      </c>
      <c r="C109" s="74" t="s">
        <v>7397</v>
      </c>
      <c r="D109" s="74" t="s">
        <v>7398</v>
      </c>
      <c r="E109" s="74" t="s">
        <v>206</v>
      </c>
      <c r="F109" s="74" t="s">
        <v>3868</v>
      </c>
      <c r="G109" s="74" t="s">
        <v>3946</v>
      </c>
      <c r="H109" s="74" t="s">
        <v>3886</v>
      </c>
    </row>
    <row r="110" spans="1:8" ht="240">
      <c r="A110" s="74" t="s">
        <v>3966</v>
      </c>
      <c r="B110" s="74" t="s">
        <v>7389</v>
      </c>
      <c r="C110" s="74" t="s">
        <v>7399</v>
      </c>
      <c r="D110" s="74" t="s">
        <v>7400</v>
      </c>
      <c r="E110" s="74" t="s">
        <v>206</v>
      </c>
      <c r="F110" s="74" t="s">
        <v>3868</v>
      </c>
      <c r="G110" s="74" t="s">
        <v>630</v>
      </c>
      <c r="H110" s="74" t="s">
        <v>3886</v>
      </c>
    </row>
    <row r="111" spans="1:8" ht="195">
      <c r="A111" s="74" t="s">
        <v>3954</v>
      </c>
      <c r="B111" s="74" t="s">
        <v>7389</v>
      </c>
      <c r="C111" s="74" t="s">
        <v>7401</v>
      </c>
      <c r="D111" s="74" t="s">
        <v>7402</v>
      </c>
      <c r="E111" s="74" t="s">
        <v>7403</v>
      </c>
      <c r="F111" s="74" t="s">
        <v>3868</v>
      </c>
      <c r="G111" s="74" t="s">
        <v>636</v>
      </c>
      <c r="H111" s="74" t="s">
        <v>3886</v>
      </c>
    </row>
    <row r="112" spans="1:8" ht="195">
      <c r="A112" s="74" t="s">
        <v>7404</v>
      </c>
      <c r="B112" s="74" t="s">
        <v>7389</v>
      </c>
      <c r="C112" s="74" t="s">
        <v>7405</v>
      </c>
      <c r="D112" s="74" t="s">
        <v>7406</v>
      </c>
      <c r="E112" s="74" t="s">
        <v>206</v>
      </c>
      <c r="F112" s="74" t="s">
        <v>3868</v>
      </c>
      <c r="G112" s="74" t="s">
        <v>3946</v>
      </c>
      <c r="H112" s="74" t="s">
        <v>3886</v>
      </c>
    </row>
    <row r="113" spans="1:8" ht="180">
      <c r="A113" s="74" t="s">
        <v>3960</v>
      </c>
      <c r="B113" s="74" t="s">
        <v>7389</v>
      </c>
      <c r="C113" s="74" t="s">
        <v>7407</v>
      </c>
      <c r="D113" s="74" t="s">
        <v>7408</v>
      </c>
      <c r="E113" s="74" t="s">
        <v>206</v>
      </c>
      <c r="F113" s="74" t="s">
        <v>3868</v>
      </c>
      <c r="G113" s="74" t="s">
        <v>636</v>
      </c>
      <c r="H113" s="74" t="s">
        <v>3886</v>
      </c>
    </row>
    <row r="114" spans="1:8" ht="165">
      <c r="A114" s="75" t="s">
        <v>7409</v>
      </c>
      <c r="B114" s="75" t="s">
        <v>7410</v>
      </c>
      <c r="C114" s="75" t="s">
        <v>7411</v>
      </c>
      <c r="D114" s="75" t="s">
        <v>7412</v>
      </c>
      <c r="E114" s="75" t="s">
        <v>206</v>
      </c>
      <c r="F114" s="75" t="s">
        <v>3881</v>
      </c>
      <c r="G114" s="75" t="s">
        <v>3885</v>
      </c>
      <c r="H114" s="75" t="s">
        <v>3886</v>
      </c>
    </row>
    <row r="115" spans="1:8" ht="195">
      <c r="A115" s="75" t="s">
        <v>7413</v>
      </c>
      <c r="B115" s="75" t="s">
        <v>7410</v>
      </c>
      <c r="C115" s="75" t="s">
        <v>7414</v>
      </c>
      <c r="D115" s="75" t="s">
        <v>7415</v>
      </c>
      <c r="E115" s="75" t="s">
        <v>7395</v>
      </c>
      <c r="F115" s="75" t="s">
        <v>3881</v>
      </c>
      <c r="G115" s="75" t="s">
        <v>3885</v>
      </c>
      <c r="H115" s="75" t="s">
        <v>3886</v>
      </c>
    </row>
    <row r="116" spans="1:8" ht="210">
      <c r="A116" s="75" t="s">
        <v>7416</v>
      </c>
      <c r="B116" s="75" t="s">
        <v>7410</v>
      </c>
      <c r="C116" s="75" t="s">
        <v>7417</v>
      </c>
      <c r="D116" s="75" t="s">
        <v>7418</v>
      </c>
      <c r="E116" s="75" t="s">
        <v>206</v>
      </c>
      <c r="F116" s="75" t="s">
        <v>3881</v>
      </c>
      <c r="G116" s="75" t="s">
        <v>3946</v>
      </c>
      <c r="H116" s="75" t="s">
        <v>3886</v>
      </c>
    </row>
    <row r="117" spans="1:8" ht="210">
      <c r="A117" s="75" t="s">
        <v>7419</v>
      </c>
      <c r="B117" s="75" t="s">
        <v>7410</v>
      </c>
      <c r="C117" s="75" t="s">
        <v>7420</v>
      </c>
      <c r="D117" s="75" t="s">
        <v>7421</v>
      </c>
      <c r="E117" s="75" t="s">
        <v>206</v>
      </c>
      <c r="F117" s="75" t="s">
        <v>3881</v>
      </c>
      <c r="G117" s="75" t="s">
        <v>3885</v>
      </c>
      <c r="H117" s="75" t="s">
        <v>3886</v>
      </c>
    </row>
    <row r="118" spans="1:8" ht="210">
      <c r="A118" s="75" t="s">
        <v>7422</v>
      </c>
      <c r="B118" s="75" t="s">
        <v>7410</v>
      </c>
      <c r="C118" s="75" t="s">
        <v>7423</v>
      </c>
      <c r="D118" s="75" t="s">
        <v>7424</v>
      </c>
      <c r="E118" s="75" t="s">
        <v>206</v>
      </c>
      <c r="F118" s="75" t="s">
        <v>3881</v>
      </c>
      <c r="G118" s="75" t="s">
        <v>630</v>
      </c>
      <c r="H118" s="75" t="s">
        <v>3886</v>
      </c>
    </row>
    <row r="119" spans="1:8" ht="180">
      <c r="A119" s="75" t="s">
        <v>7425</v>
      </c>
      <c r="B119" s="75" t="s">
        <v>7410</v>
      </c>
      <c r="C119" s="75" t="s">
        <v>7426</v>
      </c>
      <c r="D119" s="75" t="s">
        <v>7427</v>
      </c>
      <c r="E119" s="75" t="s">
        <v>7395</v>
      </c>
      <c r="F119" s="75" t="s">
        <v>3881</v>
      </c>
      <c r="G119" s="75" t="s">
        <v>630</v>
      </c>
      <c r="H119" s="75" t="s">
        <v>3886</v>
      </c>
    </row>
    <row r="120" spans="1:8" ht="285">
      <c r="A120" s="75" t="s">
        <v>3980</v>
      </c>
      <c r="B120" s="75" t="s">
        <v>7410</v>
      </c>
      <c r="C120" s="75" t="s">
        <v>7428</v>
      </c>
      <c r="D120" s="75" t="s">
        <v>7429</v>
      </c>
      <c r="E120" s="75" t="s">
        <v>7430</v>
      </c>
      <c r="F120" s="75" t="s">
        <v>7431</v>
      </c>
      <c r="G120" s="75" t="s">
        <v>630</v>
      </c>
      <c r="H120" s="75" t="s">
        <v>3886</v>
      </c>
    </row>
    <row r="121" spans="1:8" ht="210">
      <c r="A121" s="75" t="s">
        <v>3986</v>
      </c>
      <c r="B121" s="75" t="s">
        <v>7410</v>
      </c>
      <c r="C121" s="75" t="s">
        <v>7432</v>
      </c>
      <c r="D121" s="75" t="s">
        <v>7433</v>
      </c>
      <c r="E121" s="75" t="s">
        <v>7434</v>
      </c>
      <c r="F121" s="75" t="s">
        <v>7435</v>
      </c>
      <c r="G121" s="75" t="s">
        <v>636</v>
      </c>
      <c r="H121" s="75" t="s">
        <v>3886</v>
      </c>
    </row>
    <row r="122" spans="1:8" ht="240">
      <c r="A122" s="76" t="s">
        <v>7436</v>
      </c>
      <c r="B122" s="76" t="s">
        <v>7437</v>
      </c>
      <c r="C122" s="76" t="s">
        <v>7009</v>
      </c>
      <c r="D122" s="76" t="s">
        <v>7438</v>
      </c>
      <c r="E122" s="76" t="s">
        <v>3094</v>
      </c>
      <c r="F122" s="76" t="s">
        <v>3891</v>
      </c>
      <c r="G122" s="76" t="s">
        <v>3885</v>
      </c>
      <c r="H122" s="76" t="s">
        <v>3886</v>
      </c>
    </row>
    <row r="123" spans="1:8" ht="255">
      <c r="A123" s="76" t="s">
        <v>5038</v>
      </c>
      <c r="B123" s="76" t="s">
        <v>7437</v>
      </c>
      <c r="C123" s="76" t="s">
        <v>7439</v>
      </c>
      <c r="D123" s="76" t="s">
        <v>7440</v>
      </c>
      <c r="E123" s="76" t="s">
        <v>3094</v>
      </c>
      <c r="F123" s="76" t="s">
        <v>3891</v>
      </c>
      <c r="G123" s="76" t="s">
        <v>630</v>
      </c>
      <c r="H123" s="76" t="s">
        <v>3886</v>
      </c>
    </row>
    <row r="124" spans="1:8" ht="285">
      <c r="A124" s="76" t="s">
        <v>7441</v>
      </c>
      <c r="B124" s="76" t="s">
        <v>7437</v>
      </c>
      <c r="C124" s="76" t="s">
        <v>7442</v>
      </c>
      <c r="D124" s="76" t="s">
        <v>7443</v>
      </c>
      <c r="E124" s="76" t="s">
        <v>3094</v>
      </c>
      <c r="F124" s="76" t="s">
        <v>3881</v>
      </c>
      <c r="G124" s="76" t="s">
        <v>3885</v>
      </c>
      <c r="H124" s="76" t="s">
        <v>3886</v>
      </c>
    </row>
    <row r="125" spans="1:8" ht="240">
      <c r="A125" s="76" t="s">
        <v>7444</v>
      </c>
      <c r="B125" s="76" t="s">
        <v>7437</v>
      </c>
      <c r="C125" s="76" t="s">
        <v>7445</v>
      </c>
      <c r="D125" s="76" t="s">
        <v>7446</v>
      </c>
      <c r="E125" s="76" t="s">
        <v>3094</v>
      </c>
      <c r="F125" s="76" t="s">
        <v>3881</v>
      </c>
      <c r="G125" s="76" t="s">
        <v>3885</v>
      </c>
      <c r="H125" s="76" t="s">
        <v>3886</v>
      </c>
    </row>
    <row r="126" spans="1:8" ht="225">
      <c r="A126" s="76" t="s">
        <v>7447</v>
      </c>
      <c r="B126" s="76" t="s">
        <v>7437</v>
      </c>
      <c r="C126" s="76" t="s">
        <v>7448</v>
      </c>
      <c r="D126" s="76" t="s">
        <v>7449</v>
      </c>
      <c r="E126" s="76" t="s">
        <v>3094</v>
      </c>
      <c r="F126" s="76" t="s">
        <v>3881</v>
      </c>
      <c r="G126" s="76" t="s">
        <v>636</v>
      </c>
      <c r="H126" s="76" t="s">
        <v>3886</v>
      </c>
    </row>
    <row r="127" spans="1:8" ht="225">
      <c r="A127" s="76" t="s">
        <v>7450</v>
      </c>
      <c r="B127" s="76" t="s">
        <v>7437</v>
      </c>
      <c r="C127" s="76" t="s">
        <v>7451</v>
      </c>
      <c r="D127" s="76" t="s">
        <v>7452</v>
      </c>
      <c r="E127" s="76" t="s">
        <v>3094</v>
      </c>
      <c r="F127" s="76" t="s">
        <v>3881</v>
      </c>
      <c r="G127" s="76" t="s">
        <v>630</v>
      </c>
      <c r="H127" s="76" t="s">
        <v>3886</v>
      </c>
    </row>
    <row r="128" spans="1:8" ht="328">
      <c r="A128" s="76" t="s">
        <v>7453</v>
      </c>
      <c r="B128" s="76" t="s">
        <v>7437</v>
      </c>
      <c r="C128" s="76" t="s">
        <v>7454</v>
      </c>
      <c r="D128" s="76" t="s">
        <v>7455</v>
      </c>
      <c r="E128" s="76" t="s">
        <v>3094</v>
      </c>
      <c r="F128" s="76" t="s">
        <v>7456</v>
      </c>
      <c r="G128" s="76" t="s">
        <v>3885</v>
      </c>
      <c r="H128" s="76" t="s">
        <v>3886</v>
      </c>
    </row>
    <row r="129" spans="1:8" ht="210">
      <c r="A129" s="77" t="s">
        <v>7457</v>
      </c>
      <c r="B129" s="77" t="s">
        <v>7458</v>
      </c>
      <c r="C129" s="77" t="s">
        <v>7459</v>
      </c>
      <c r="D129" s="77" t="s">
        <v>7460</v>
      </c>
      <c r="E129" s="77" t="s">
        <v>7461</v>
      </c>
      <c r="F129" s="77" t="s">
        <v>7462</v>
      </c>
      <c r="G129" s="77" t="s">
        <v>630</v>
      </c>
      <c r="H129" s="77" t="s">
        <v>3886</v>
      </c>
    </row>
    <row r="130" spans="1:8" ht="210">
      <c r="A130" s="77" t="s">
        <v>7463</v>
      </c>
      <c r="B130" s="77" t="s">
        <v>7458</v>
      </c>
      <c r="C130" s="77" t="s">
        <v>7464</v>
      </c>
      <c r="D130" s="77" t="s">
        <v>7465</v>
      </c>
      <c r="E130" s="77" t="s">
        <v>7461</v>
      </c>
      <c r="F130" s="77" t="s">
        <v>7466</v>
      </c>
      <c r="G130" s="77" t="s">
        <v>630</v>
      </c>
      <c r="H130" s="77" t="s">
        <v>3886</v>
      </c>
    </row>
    <row r="131" spans="1:8" ht="225">
      <c r="A131" s="77" t="s">
        <v>7467</v>
      </c>
      <c r="B131" s="77" t="s">
        <v>7458</v>
      </c>
      <c r="C131" s="77" t="s">
        <v>7468</v>
      </c>
      <c r="D131" s="77" t="s">
        <v>7469</v>
      </c>
      <c r="E131" s="77" t="s">
        <v>7352</v>
      </c>
      <c r="F131" s="77" t="s">
        <v>7353</v>
      </c>
      <c r="G131" s="77" t="s">
        <v>630</v>
      </c>
      <c r="H131" s="77" t="s">
        <v>3886</v>
      </c>
    </row>
    <row r="132" spans="1:8" ht="225">
      <c r="A132" s="77" t="s">
        <v>3992</v>
      </c>
      <c r="B132" s="77" t="s">
        <v>7458</v>
      </c>
      <c r="C132" s="77" t="s">
        <v>7470</v>
      </c>
      <c r="D132" s="77" t="s">
        <v>7471</v>
      </c>
      <c r="E132" s="77" t="s">
        <v>206</v>
      </c>
      <c r="F132" s="77" t="s">
        <v>3868</v>
      </c>
      <c r="G132" s="77" t="s">
        <v>636</v>
      </c>
      <c r="H132" s="77" t="s">
        <v>3886</v>
      </c>
    </row>
    <row r="133" spans="1:8" ht="225">
      <c r="A133" s="77" t="s">
        <v>5134</v>
      </c>
      <c r="B133" s="77" t="s">
        <v>7458</v>
      </c>
      <c r="C133" s="77" t="s">
        <v>7472</v>
      </c>
      <c r="D133" s="77" t="s">
        <v>7473</v>
      </c>
      <c r="E133" s="77" t="s">
        <v>171</v>
      </c>
      <c r="F133" s="77" t="s">
        <v>2737</v>
      </c>
      <c r="G133" s="77" t="s">
        <v>636</v>
      </c>
      <c r="H133" s="77" t="s">
        <v>3886</v>
      </c>
    </row>
    <row r="134" spans="1:8" ht="210">
      <c r="A134" s="77" t="s">
        <v>7474</v>
      </c>
      <c r="B134" s="77" t="s">
        <v>7458</v>
      </c>
      <c r="C134" s="77" t="s">
        <v>7475</v>
      </c>
      <c r="D134" s="77" t="s">
        <v>7476</v>
      </c>
      <c r="E134" s="77" t="s">
        <v>7461</v>
      </c>
      <c r="F134" s="77" t="s">
        <v>7466</v>
      </c>
      <c r="G134" s="77" t="s">
        <v>630</v>
      </c>
      <c r="H134" s="77" t="s">
        <v>3886</v>
      </c>
    </row>
    <row r="135" spans="1:8">
      <c r="A135" t="s">
        <v>7477</v>
      </c>
      <c r="B135" t="s">
        <v>100</v>
      </c>
      <c r="C135" t="s">
        <v>7478</v>
      </c>
      <c r="D135" t="s">
        <v>7479</v>
      </c>
      <c r="E135" t="s">
        <v>113</v>
      </c>
      <c r="F135" t="s">
        <v>4019</v>
      </c>
      <c r="G135" t="s">
        <v>630</v>
      </c>
      <c r="H135" t="s">
        <v>674</v>
      </c>
    </row>
    <row r="136" spans="1:8">
      <c r="A136" t="s">
        <v>7480</v>
      </c>
      <c r="B136" t="s">
        <v>100</v>
      </c>
      <c r="C136" t="s">
        <v>7481</v>
      </c>
      <c r="D136" t="s">
        <v>7482</v>
      </c>
      <c r="E136" t="s">
        <v>113</v>
      </c>
      <c r="F136" t="s">
        <v>4028</v>
      </c>
      <c r="G136" t="s">
        <v>630</v>
      </c>
      <c r="H136" t="s">
        <v>674</v>
      </c>
    </row>
    <row r="137" spans="1:8">
      <c r="A137" t="s">
        <v>7483</v>
      </c>
      <c r="B137" t="s">
        <v>100</v>
      </c>
      <c r="C137" t="s">
        <v>7484</v>
      </c>
      <c r="D137" t="s">
        <v>7485</v>
      </c>
      <c r="E137" t="s">
        <v>200</v>
      </c>
      <c r="F137" t="s">
        <v>4028</v>
      </c>
      <c r="G137" t="s">
        <v>636</v>
      </c>
      <c r="H137" t="s">
        <v>7486</v>
      </c>
    </row>
    <row r="138" spans="1:8">
      <c r="A138" t="s">
        <v>7487</v>
      </c>
      <c r="B138" t="s">
        <v>637</v>
      </c>
      <c r="C138" t="s">
        <v>7488</v>
      </c>
      <c r="D138" t="s">
        <v>7489</v>
      </c>
      <c r="E138" t="s">
        <v>200</v>
      </c>
      <c r="F138" t="s">
        <v>4036</v>
      </c>
      <c r="G138" t="s">
        <v>636</v>
      </c>
      <c r="H138" t="s">
        <v>7486</v>
      </c>
    </row>
  </sheetData>
  <autoFilter ref="A1:H1" xr:uid="{00000000-0009-0000-0000-000009000000}"/>
  <phoneticPr fontId="1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5"/>
  <sheetViews>
    <sheetView workbookViewId="0"/>
  </sheetViews>
  <sheetFormatPr baseColWidth="10" defaultColWidth="8.83203125" defaultRowHeight="17"/>
  <cols>
    <col min="1" max="1" width="10" customWidth="1"/>
    <col min="2" max="3" width="20" customWidth="1"/>
    <col min="4" max="4" width="12" customWidth="1"/>
    <col min="5" max="5" width="22" customWidth="1"/>
    <col min="6" max="7" width="18" customWidth="1"/>
    <col min="8" max="8" width="25" customWidth="1"/>
    <col min="9" max="9" width="30" customWidth="1"/>
    <col min="10" max="10" width="25" customWidth="1"/>
  </cols>
  <sheetData>
    <row r="1" spans="1:10" ht="18">
      <c r="A1" s="29" t="s">
        <v>7490</v>
      </c>
      <c r="B1" s="29" t="s">
        <v>7491</v>
      </c>
      <c r="C1" s="29" t="s">
        <v>7492</v>
      </c>
      <c r="D1" s="29" t="s">
        <v>7493</v>
      </c>
      <c r="E1" s="29" t="s">
        <v>7494</v>
      </c>
      <c r="F1" s="29" t="s">
        <v>7495</v>
      </c>
      <c r="G1" s="29" t="s">
        <v>7496</v>
      </c>
      <c r="H1" s="29" t="s">
        <v>7497</v>
      </c>
      <c r="I1" s="29" t="s">
        <v>7498</v>
      </c>
      <c r="J1" s="29" t="s">
        <v>11</v>
      </c>
    </row>
    <row r="2" spans="1:10">
      <c r="A2" s="30" t="s">
        <v>7499</v>
      </c>
      <c r="B2" s="30" t="s">
        <v>7500</v>
      </c>
      <c r="C2" s="30" t="s">
        <v>2124</v>
      </c>
      <c r="D2" s="31" t="s">
        <v>7501</v>
      </c>
      <c r="E2" s="31" t="s">
        <v>670</v>
      </c>
      <c r="F2" s="31" t="s">
        <v>7502</v>
      </c>
      <c r="G2" s="31" t="s">
        <v>7503</v>
      </c>
      <c r="H2" s="31" t="s">
        <v>7504</v>
      </c>
      <c r="I2" s="31" t="s">
        <v>7505</v>
      </c>
      <c r="J2" s="31"/>
    </row>
    <row r="3" spans="1:10">
      <c r="A3" s="30" t="s">
        <v>7506</v>
      </c>
      <c r="B3" s="30" t="s">
        <v>7507</v>
      </c>
      <c r="C3" s="30" t="s">
        <v>7508</v>
      </c>
      <c r="D3" s="31" t="s">
        <v>7509</v>
      </c>
      <c r="E3" s="31" t="s">
        <v>7500</v>
      </c>
      <c r="F3" s="31" t="s">
        <v>7502</v>
      </c>
      <c r="G3" s="31" t="s">
        <v>770</v>
      </c>
      <c r="H3" s="31" t="s">
        <v>1127</v>
      </c>
      <c r="I3" s="31" t="s">
        <v>7510</v>
      </c>
      <c r="J3" s="31"/>
    </row>
    <row r="4" spans="1:10">
      <c r="A4" s="30" t="s">
        <v>7511</v>
      </c>
      <c r="B4" s="30" t="s">
        <v>3105</v>
      </c>
      <c r="C4" s="30" t="s">
        <v>7512</v>
      </c>
      <c r="D4" s="31" t="s">
        <v>7513</v>
      </c>
      <c r="E4" s="31" t="s">
        <v>7500</v>
      </c>
      <c r="F4" s="31" t="s">
        <v>7502</v>
      </c>
      <c r="G4" s="31" t="s">
        <v>770</v>
      </c>
      <c r="H4" s="31" t="s">
        <v>1127</v>
      </c>
      <c r="I4" s="31" t="s">
        <v>2092</v>
      </c>
      <c r="J4" s="31" t="s">
        <v>7514</v>
      </c>
    </row>
    <row r="5" spans="1:10">
      <c r="A5" s="30" t="s">
        <v>7515</v>
      </c>
      <c r="B5" s="30" t="s">
        <v>670</v>
      </c>
      <c r="C5" s="30" t="s">
        <v>7516</v>
      </c>
      <c r="D5" s="31" t="s">
        <v>7513</v>
      </c>
      <c r="E5" s="31" t="s">
        <v>7517</v>
      </c>
      <c r="F5" s="31" t="s">
        <v>697</v>
      </c>
      <c r="G5" s="31" t="s">
        <v>770</v>
      </c>
      <c r="H5" s="31" t="s">
        <v>7518</v>
      </c>
      <c r="I5" s="31" t="s">
        <v>2092</v>
      </c>
      <c r="J5" s="31"/>
    </row>
    <row r="6" spans="1:10">
      <c r="A6" s="30" t="s">
        <v>7519</v>
      </c>
      <c r="B6" s="30" t="s">
        <v>670</v>
      </c>
      <c r="C6" s="30" t="s">
        <v>7520</v>
      </c>
      <c r="D6" s="31" t="s">
        <v>7513</v>
      </c>
      <c r="E6" s="31" t="s">
        <v>7521</v>
      </c>
      <c r="F6" s="31" t="s">
        <v>697</v>
      </c>
      <c r="G6" s="31" t="s">
        <v>770</v>
      </c>
      <c r="H6" s="31" t="s">
        <v>7518</v>
      </c>
      <c r="I6" s="31" t="s">
        <v>2092</v>
      </c>
      <c r="J6" s="31"/>
    </row>
    <row r="7" spans="1:10">
      <c r="A7" s="30" t="s">
        <v>7522</v>
      </c>
      <c r="B7" s="30" t="s">
        <v>670</v>
      </c>
      <c r="C7" s="30" t="s">
        <v>7523</v>
      </c>
      <c r="D7" s="31" t="s">
        <v>7513</v>
      </c>
      <c r="E7" s="31" t="s">
        <v>7524</v>
      </c>
      <c r="F7" s="31" t="s">
        <v>697</v>
      </c>
      <c r="G7" s="31" t="s">
        <v>770</v>
      </c>
      <c r="H7" s="31" t="s">
        <v>7518</v>
      </c>
      <c r="I7" s="31" t="s">
        <v>2092</v>
      </c>
      <c r="J7" s="31"/>
    </row>
    <row r="8" spans="1:10">
      <c r="A8" s="30" t="s">
        <v>7525</v>
      </c>
      <c r="B8" s="30" t="s">
        <v>670</v>
      </c>
      <c r="C8" s="30" t="s">
        <v>2302</v>
      </c>
      <c r="D8" s="31" t="s">
        <v>7513</v>
      </c>
      <c r="E8" s="31" t="s">
        <v>7526</v>
      </c>
      <c r="F8" s="31" t="s">
        <v>697</v>
      </c>
      <c r="G8" s="31" t="s">
        <v>770</v>
      </c>
      <c r="H8" s="31" t="s">
        <v>7518</v>
      </c>
      <c r="I8" s="31" t="s">
        <v>2092</v>
      </c>
      <c r="J8" s="31"/>
    </row>
    <row r="9" spans="1:10">
      <c r="A9" s="30" t="s">
        <v>7527</v>
      </c>
      <c r="B9" s="30" t="s">
        <v>670</v>
      </c>
      <c r="C9" s="30" t="s">
        <v>7528</v>
      </c>
      <c r="D9" s="31" t="s">
        <v>7513</v>
      </c>
      <c r="E9" s="31" t="s">
        <v>7529</v>
      </c>
      <c r="F9" s="31" t="s">
        <v>697</v>
      </c>
      <c r="G9" s="31" t="s">
        <v>5247</v>
      </c>
      <c r="H9" s="31" t="s">
        <v>7518</v>
      </c>
      <c r="I9" s="31" t="s">
        <v>2092</v>
      </c>
      <c r="J9" s="31"/>
    </row>
    <row r="10" spans="1:10">
      <c r="A10" s="30" t="s">
        <v>7530</v>
      </c>
      <c r="B10" s="30" t="s">
        <v>670</v>
      </c>
      <c r="C10" s="30" t="s">
        <v>7531</v>
      </c>
      <c r="D10" s="31" t="s">
        <v>7513</v>
      </c>
      <c r="E10" s="31" t="s">
        <v>7532</v>
      </c>
      <c r="F10" s="31" t="s">
        <v>697</v>
      </c>
      <c r="G10" s="31" t="s">
        <v>770</v>
      </c>
      <c r="H10" s="31" t="s">
        <v>7518</v>
      </c>
      <c r="I10" s="31" t="s">
        <v>2092</v>
      </c>
      <c r="J10" s="31"/>
    </row>
    <row r="11" spans="1:10" ht="30">
      <c r="A11" s="30" t="s">
        <v>7533</v>
      </c>
      <c r="B11" s="30" t="s">
        <v>7517</v>
      </c>
      <c r="C11" s="30" t="s">
        <v>7534</v>
      </c>
      <c r="D11" s="31" t="s">
        <v>7513</v>
      </c>
      <c r="E11" s="31" t="s">
        <v>7529</v>
      </c>
      <c r="F11" s="31" t="s">
        <v>697</v>
      </c>
      <c r="G11" s="31" t="s">
        <v>5247</v>
      </c>
      <c r="H11" s="31" t="s">
        <v>7535</v>
      </c>
      <c r="I11" s="31" t="s">
        <v>2092</v>
      </c>
      <c r="J11" s="31"/>
    </row>
    <row r="12" spans="1:10">
      <c r="A12" s="30" t="s">
        <v>7536</v>
      </c>
      <c r="B12" s="30" t="s">
        <v>7517</v>
      </c>
      <c r="C12" s="30" t="s">
        <v>1426</v>
      </c>
      <c r="D12" s="31" t="s">
        <v>7513</v>
      </c>
      <c r="E12" s="31" t="s">
        <v>7526</v>
      </c>
      <c r="F12" s="31" t="s">
        <v>697</v>
      </c>
      <c r="G12" s="31" t="s">
        <v>770</v>
      </c>
      <c r="H12" s="31" t="s">
        <v>7537</v>
      </c>
      <c r="I12" s="31" t="s">
        <v>2092</v>
      </c>
      <c r="J12" s="31"/>
    </row>
    <row r="13" spans="1:10">
      <c r="A13" s="30" t="s">
        <v>7538</v>
      </c>
      <c r="B13" s="30" t="s">
        <v>7529</v>
      </c>
      <c r="C13" s="30" t="s">
        <v>7539</v>
      </c>
      <c r="D13" s="31" t="s">
        <v>7513</v>
      </c>
      <c r="E13" s="31" t="s">
        <v>7540</v>
      </c>
      <c r="F13" s="31" t="s">
        <v>697</v>
      </c>
      <c r="G13" s="31" t="s">
        <v>5247</v>
      </c>
      <c r="H13" s="31" t="s">
        <v>7541</v>
      </c>
      <c r="I13" s="31" t="s">
        <v>2092</v>
      </c>
      <c r="J13" s="31"/>
    </row>
    <row r="14" spans="1:10">
      <c r="A14" s="30" t="s">
        <v>7542</v>
      </c>
      <c r="B14" s="30" t="s">
        <v>7529</v>
      </c>
      <c r="C14" s="30" t="s">
        <v>7543</v>
      </c>
      <c r="D14" s="31" t="s">
        <v>7513</v>
      </c>
      <c r="E14" s="31" t="s">
        <v>7544</v>
      </c>
      <c r="F14" s="31" t="s">
        <v>7545</v>
      </c>
      <c r="G14" s="31" t="s">
        <v>770</v>
      </c>
      <c r="H14" s="31" t="s">
        <v>1127</v>
      </c>
      <c r="I14" s="31" t="s">
        <v>7546</v>
      </c>
      <c r="J14" s="31" t="s">
        <v>7547</v>
      </c>
    </row>
    <row r="15" spans="1:10">
      <c r="A15" s="30" t="s">
        <v>7548</v>
      </c>
      <c r="B15" s="30" t="s">
        <v>7529</v>
      </c>
      <c r="C15" s="30" t="s">
        <v>2345</v>
      </c>
      <c r="D15" s="31" t="s">
        <v>7513</v>
      </c>
      <c r="E15" s="31" t="s">
        <v>7549</v>
      </c>
      <c r="F15" s="31" t="s">
        <v>697</v>
      </c>
      <c r="G15" s="31" t="s">
        <v>5247</v>
      </c>
      <c r="H15" s="31" t="s">
        <v>7541</v>
      </c>
      <c r="I15" s="31" t="s">
        <v>2092</v>
      </c>
      <c r="J15" s="31"/>
    </row>
    <row r="16" spans="1:10">
      <c r="A16" s="30" t="s">
        <v>7550</v>
      </c>
      <c r="B16" s="30" t="s">
        <v>7526</v>
      </c>
      <c r="C16" s="30" t="s">
        <v>7551</v>
      </c>
      <c r="D16" s="31" t="s">
        <v>7552</v>
      </c>
      <c r="E16" s="31" t="s">
        <v>7529</v>
      </c>
      <c r="F16" s="31" t="s">
        <v>7502</v>
      </c>
      <c r="G16" s="31" t="s">
        <v>7553</v>
      </c>
      <c r="H16" s="31" t="s">
        <v>7554</v>
      </c>
      <c r="I16" s="31" t="s">
        <v>7555</v>
      </c>
      <c r="J16" s="31"/>
    </row>
    <row r="17" spans="1:10">
      <c r="A17" s="30" t="s">
        <v>7556</v>
      </c>
      <c r="B17" s="30" t="s">
        <v>7526</v>
      </c>
      <c r="C17" s="30" t="s">
        <v>2432</v>
      </c>
      <c r="D17" s="31" t="s">
        <v>7513</v>
      </c>
      <c r="E17" s="31" t="s">
        <v>7544</v>
      </c>
      <c r="F17" s="31" t="s">
        <v>7545</v>
      </c>
      <c r="G17" s="31" t="s">
        <v>770</v>
      </c>
      <c r="H17" s="31" t="s">
        <v>1127</v>
      </c>
      <c r="I17" s="31" t="s">
        <v>7557</v>
      </c>
      <c r="J17" s="31"/>
    </row>
    <row r="18" spans="1:10">
      <c r="A18" s="30" t="s">
        <v>7558</v>
      </c>
      <c r="B18" s="30" t="s">
        <v>7549</v>
      </c>
      <c r="C18" s="30" t="s">
        <v>7559</v>
      </c>
      <c r="D18" s="31" t="s">
        <v>7513</v>
      </c>
      <c r="E18" s="31" t="s">
        <v>7529</v>
      </c>
      <c r="F18" s="31" t="s">
        <v>697</v>
      </c>
      <c r="G18" s="31" t="s">
        <v>5247</v>
      </c>
      <c r="H18" s="31" t="s">
        <v>7541</v>
      </c>
      <c r="I18" s="31" t="s">
        <v>2092</v>
      </c>
      <c r="J18" s="31"/>
    </row>
    <row r="19" spans="1:10">
      <c r="A19" s="30" t="s">
        <v>7560</v>
      </c>
      <c r="B19" s="30" t="s">
        <v>7549</v>
      </c>
      <c r="C19" s="30" t="s">
        <v>7561</v>
      </c>
      <c r="D19" s="31" t="s">
        <v>7513</v>
      </c>
      <c r="E19" s="31" t="s">
        <v>7544</v>
      </c>
      <c r="F19" s="31" t="s">
        <v>1356</v>
      </c>
      <c r="G19" s="31" t="s">
        <v>770</v>
      </c>
      <c r="H19" s="31" t="s">
        <v>7562</v>
      </c>
      <c r="I19" s="31" t="s">
        <v>2092</v>
      </c>
      <c r="J19" s="31" t="s">
        <v>7563</v>
      </c>
    </row>
    <row r="20" spans="1:10">
      <c r="A20" s="30" t="s">
        <v>7564</v>
      </c>
      <c r="B20" s="30" t="s">
        <v>7549</v>
      </c>
      <c r="C20" s="30" t="s">
        <v>7565</v>
      </c>
      <c r="D20" s="31" t="s">
        <v>7552</v>
      </c>
      <c r="E20" s="31" t="s">
        <v>7544</v>
      </c>
      <c r="F20" s="31" t="s">
        <v>7545</v>
      </c>
      <c r="G20" s="31" t="s">
        <v>770</v>
      </c>
      <c r="H20" s="31" t="s">
        <v>1127</v>
      </c>
      <c r="I20" s="31" t="s">
        <v>7566</v>
      </c>
      <c r="J20" s="31" t="s">
        <v>7567</v>
      </c>
    </row>
    <row r="21" spans="1:10">
      <c r="A21" s="30" t="s">
        <v>7568</v>
      </c>
      <c r="B21" s="30" t="s">
        <v>7524</v>
      </c>
      <c r="C21" s="30" t="s">
        <v>7569</v>
      </c>
      <c r="D21" s="31" t="s">
        <v>7513</v>
      </c>
      <c r="E21" s="31" t="s">
        <v>7532</v>
      </c>
      <c r="F21" s="31" t="s">
        <v>697</v>
      </c>
      <c r="G21" s="31" t="s">
        <v>770</v>
      </c>
      <c r="H21" s="31" t="s">
        <v>7570</v>
      </c>
      <c r="I21" s="31" t="s">
        <v>2092</v>
      </c>
      <c r="J21" s="31"/>
    </row>
    <row r="22" spans="1:10">
      <c r="A22" s="30" t="s">
        <v>7571</v>
      </c>
      <c r="B22" s="30" t="s">
        <v>7524</v>
      </c>
      <c r="C22" s="30" t="s">
        <v>7572</v>
      </c>
      <c r="D22" s="31" t="s">
        <v>7513</v>
      </c>
      <c r="E22" s="31" t="s">
        <v>7532</v>
      </c>
      <c r="F22" s="31" t="s">
        <v>697</v>
      </c>
      <c r="G22" s="31" t="s">
        <v>770</v>
      </c>
      <c r="H22" s="31" t="s">
        <v>7570</v>
      </c>
      <c r="I22" s="31" t="s">
        <v>2092</v>
      </c>
      <c r="J22" s="31"/>
    </row>
    <row r="23" spans="1:10">
      <c r="A23" s="30" t="s">
        <v>7573</v>
      </c>
      <c r="B23" s="30" t="s">
        <v>7524</v>
      </c>
      <c r="C23" s="30" t="s">
        <v>7574</v>
      </c>
      <c r="D23" s="31" t="s">
        <v>7513</v>
      </c>
      <c r="E23" s="31" t="s">
        <v>7529</v>
      </c>
      <c r="F23" s="31" t="s">
        <v>697</v>
      </c>
      <c r="G23" s="31" t="s">
        <v>5247</v>
      </c>
      <c r="H23" s="31" t="s">
        <v>7570</v>
      </c>
      <c r="I23" s="31" t="s">
        <v>2092</v>
      </c>
      <c r="J23" s="31"/>
    </row>
    <row r="24" spans="1:10">
      <c r="A24" s="30" t="s">
        <v>7575</v>
      </c>
      <c r="B24" s="30" t="s">
        <v>7532</v>
      </c>
      <c r="C24" s="30" t="s">
        <v>7576</v>
      </c>
      <c r="D24" s="31" t="s">
        <v>7513</v>
      </c>
      <c r="E24" s="31" t="s">
        <v>7577</v>
      </c>
      <c r="F24" s="31" t="s">
        <v>697</v>
      </c>
      <c r="G24" s="31" t="s">
        <v>7578</v>
      </c>
      <c r="H24" s="31" t="s">
        <v>7579</v>
      </c>
      <c r="I24" s="31" t="s">
        <v>7580</v>
      </c>
      <c r="J24" s="31"/>
    </row>
    <row r="25" spans="1:10">
      <c r="A25" s="30" t="s">
        <v>7581</v>
      </c>
      <c r="B25" s="30" t="s">
        <v>7532</v>
      </c>
      <c r="C25" s="30" t="s">
        <v>2773</v>
      </c>
      <c r="D25" s="31" t="s">
        <v>7513</v>
      </c>
      <c r="E25" s="31" t="s">
        <v>7582</v>
      </c>
      <c r="F25" s="31" t="s">
        <v>697</v>
      </c>
      <c r="G25" s="31" t="s">
        <v>770</v>
      </c>
      <c r="H25" s="31" t="s">
        <v>7579</v>
      </c>
      <c r="I25" s="31" t="s">
        <v>2092</v>
      </c>
      <c r="J25" s="31"/>
    </row>
    <row r="26" spans="1:10">
      <c r="A26" s="30" t="s">
        <v>7583</v>
      </c>
      <c r="B26" s="30" t="s">
        <v>7577</v>
      </c>
      <c r="C26" s="30" t="s">
        <v>7584</v>
      </c>
      <c r="D26" s="31" t="s">
        <v>7513</v>
      </c>
      <c r="E26" s="31" t="s">
        <v>7544</v>
      </c>
      <c r="F26" s="31" t="s">
        <v>7545</v>
      </c>
      <c r="G26" s="31" t="s">
        <v>770</v>
      </c>
      <c r="H26" s="31" t="s">
        <v>1127</v>
      </c>
      <c r="I26" s="31" t="s">
        <v>7585</v>
      </c>
      <c r="J26" s="31" t="s">
        <v>7586</v>
      </c>
    </row>
    <row r="27" spans="1:10">
      <c r="A27" s="30" t="s">
        <v>7587</v>
      </c>
      <c r="B27" s="30" t="s">
        <v>7577</v>
      </c>
      <c r="C27" s="30" t="s">
        <v>7588</v>
      </c>
      <c r="D27" s="31" t="s">
        <v>7509</v>
      </c>
      <c r="E27" s="31" t="s">
        <v>7589</v>
      </c>
      <c r="F27" s="31" t="s">
        <v>7590</v>
      </c>
      <c r="G27" s="31" t="s">
        <v>7591</v>
      </c>
      <c r="H27" s="31" t="s">
        <v>7592</v>
      </c>
      <c r="I27" s="31" t="s">
        <v>7593</v>
      </c>
      <c r="J27" s="31" t="s">
        <v>7594</v>
      </c>
    </row>
    <row r="28" spans="1:10">
      <c r="A28" s="30" t="s">
        <v>7595</v>
      </c>
      <c r="B28" s="30" t="s">
        <v>7577</v>
      </c>
      <c r="C28" s="30" t="s">
        <v>7596</v>
      </c>
      <c r="D28" s="31" t="s">
        <v>7513</v>
      </c>
      <c r="E28" s="31" t="s">
        <v>7532</v>
      </c>
      <c r="F28" s="31" t="s">
        <v>697</v>
      </c>
      <c r="G28" s="31" t="s">
        <v>770</v>
      </c>
      <c r="H28" s="31" t="s">
        <v>1127</v>
      </c>
      <c r="I28" s="31" t="s">
        <v>7597</v>
      </c>
      <c r="J28" s="31" t="s">
        <v>7598</v>
      </c>
    </row>
    <row r="29" spans="1:10">
      <c r="A29" s="30" t="s">
        <v>7599</v>
      </c>
      <c r="B29" s="30" t="s">
        <v>7600</v>
      </c>
      <c r="C29" s="30" t="s">
        <v>2773</v>
      </c>
      <c r="D29" s="31" t="s">
        <v>7513</v>
      </c>
      <c r="E29" s="31" t="s">
        <v>7582</v>
      </c>
      <c r="F29" s="31" t="s">
        <v>697</v>
      </c>
      <c r="G29" s="31" t="s">
        <v>770</v>
      </c>
      <c r="H29" s="31" t="s">
        <v>7601</v>
      </c>
      <c r="I29" s="31" t="s">
        <v>2092</v>
      </c>
      <c r="J29" s="31"/>
    </row>
    <row r="30" spans="1:10">
      <c r="A30" s="30" t="s">
        <v>7602</v>
      </c>
      <c r="B30" s="30" t="s">
        <v>7600</v>
      </c>
      <c r="C30" s="30" t="s">
        <v>7539</v>
      </c>
      <c r="D30" s="31" t="s">
        <v>7513</v>
      </c>
      <c r="E30" s="31" t="s">
        <v>7582</v>
      </c>
      <c r="F30" s="31" t="s">
        <v>697</v>
      </c>
      <c r="G30" s="31" t="s">
        <v>5259</v>
      </c>
      <c r="H30" s="31" t="s">
        <v>7601</v>
      </c>
      <c r="I30" s="31" t="s">
        <v>2092</v>
      </c>
      <c r="J30" s="31" t="s">
        <v>7603</v>
      </c>
    </row>
    <row r="31" spans="1:10">
      <c r="A31" s="30" t="s">
        <v>7604</v>
      </c>
      <c r="B31" s="30" t="s">
        <v>7600</v>
      </c>
      <c r="C31" s="30" t="s">
        <v>7543</v>
      </c>
      <c r="D31" s="31" t="s">
        <v>7513</v>
      </c>
      <c r="E31" s="31" t="s">
        <v>7544</v>
      </c>
      <c r="F31" s="31" t="s">
        <v>7545</v>
      </c>
      <c r="G31" s="31" t="s">
        <v>770</v>
      </c>
      <c r="H31" s="31" t="s">
        <v>1127</v>
      </c>
      <c r="I31" s="31" t="s">
        <v>7605</v>
      </c>
      <c r="J31" s="31"/>
    </row>
    <row r="32" spans="1:10">
      <c r="A32" s="30" t="s">
        <v>7606</v>
      </c>
      <c r="B32" s="30" t="s">
        <v>7582</v>
      </c>
      <c r="C32" s="30" t="s">
        <v>7551</v>
      </c>
      <c r="D32" s="31" t="s">
        <v>7552</v>
      </c>
      <c r="E32" s="31" t="s">
        <v>7600</v>
      </c>
      <c r="F32" s="31" t="s">
        <v>7502</v>
      </c>
      <c r="G32" s="31" t="s">
        <v>770</v>
      </c>
      <c r="H32" s="31" t="s">
        <v>1127</v>
      </c>
      <c r="I32" s="31" t="s">
        <v>7555</v>
      </c>
      <c r="J32" s="31"/>
    </row>
    <row r="33" spans="1:10">
      <c r="A33" s="30" t="s">
        <v>7607</v>
      </c>
      <c r="B33" s="30" t="s">
        <v>7608</v>
      </c>
      <c r="C33" s="30" t="s">
        <v>7609</v>
      </c>
      <c r="D33" s="31" t="s">
        <v>7513</v>
      </c>
      <c r="E33" s="31" t="s">
        <v>7544</v>
      </c>
      <c r="F33" s="31" t="s">
        <v>1356</v>
      </c>
      <c r="G33" s="31" t="s">
        <v>7610</v>
      </c>
      <c r="H33" s="31" t="s">
        <v>7562</v>
      </c>
      <c r="I33" s="31" t="s">
        <v>2092</v>
      </c>
      <c r="J33" s="31" t="s">
        <v>7611</v>
      </c>
    </row>
    <row r="34" spans="1:10">
      <c r="A34" s="30" t="s">
        <v>7612</v>
      </c>
      <c r="B34" s="30" t="s">
        <v>7608</v>
      </c>
      <c r="C34" s="30" t="s">
        <v>7613</v>
      </c>
      <c r="D34" s="31" t="s">
        <v>7513</v>
      </c>
      <c r="E34" s="31" t="s">
        <v>7529</v>
      </c>
      <c r="F34" s="31" t="s">
        <v>697</v>
      </c>
      <c r="G34" s="31" t="s">
        <v>5247</v>
      </c>
      <c r="H34" s="31" t="s">
        <v>7614</v>
      </c>
      <c r="I34" s="31" t="s">
        <v>7615</v>
      </c>
      <c r="J34" s="31"/>
    </row>
    <row r="35" spans="1:10">
      <c r="A35" s="30" t="s">
        <v>7616</v>
      </c>
      <c r="B35" s="30" t="s">
        <v>7608</v>
      </c>
      <c r="C35" s="30" t="s">
        <v>7617</v>
      </c>
      <c r="D35" s="31" t="s">
        <v>7513</v>
      </c>
      <c r="E35" s="31" t="s">
        <v>7544</v>
      </c>
      <c r="F35" s="31" t="s">
        <v>7545</v>
      </c>
      <c r="G35" s="31" t="s">
        <v>770</v>
      </c>
      <c r="H35" s="31" t="s">
        <v>1127</v>
      </c>
      <c r="I35" s="31" t="s">
        <v>7618</v>
      </c>
      <c r="J35" s="31"/>
    </row>
    <row r="36" spans="1:10">
      <c r="A36" s="30" t="s">
        <v>7619</v>
      </c>
      <c r="B36" s="30" t="s">
        <v>7620</v>
      </c>
      <c r="C36" s="30" t="s">
        <v>2600</v>
      </c>
      <c r="D36" s="31" t="s">
        <v>7513</v>
      </c>
      <c r="E36" s="31" t="s">
        <v>7621</v>
      </c>
      <c r="F36" s="31" t="s">
        <v>697</v>
      </c>
      <c r="G36" s="31" t="s">
        <v>770</v>
      </c>
      <c r="H36" s="31" t="s">
        <v>7622</v>
      </c>
      <c r="I36" s="31" t="s">
        <v>2092</v>
      </c>
      <c r="J36" s="31"/>
    </row>
    <row r="37" spans="1:10">
      <c r="A37" s="30" t="s">
        <v>7623</v>
      </c>
      <c r="B37" s="30" t="s">
        <v>7620</v>
      </c>
      <c r="C37" s="30" t="s">
        <v>7624</v>
      </c>
      <c r="D37" s="31" t="s">
        <v>7513</v>
      </c>
      <c r="E37" s="31" t="s">
        <v>7621</v>
      </c>
      <c r="F37" s="31" t="s">
        <v>697</v>
      </c>
      <c r="G37" s="31" t="s">
        <v>7625</v>
      </c>
      <c r="H37" s="31" t="s">
        <v>7622</v>
      </c>
      <c r="I37" s="31" t="s">
        <v>2092</v>
      </c>
      <c r="J37" s="31" t="s">
        <v>7603</v>
      </c>
    </row>
    <row r="38" spans="1:10">
      <c r="A38" s="30" t="s">
        <v>7626</v>
      </c>
      <c r="B38" s="30" t="s">
        <v>7627</v>
      </c>
      <c r="C38" s="30" t="s">
        <v>7624</v>
      </c>
      <c r="D38" s="31" t="s">
        <v>7513</v>
      </c>
      <c r="E38" s="31" t="s">
        <v>7628</v>
      </c>
      <c r="F38" s="31" t="s">
        <v>697</v>
      </c>
      <c r="G38" s="31" t="s">
        <v>7625</v>
      </c>
      <c r="H38" s="31" t="s">
        <v>7629</v>
      </c>
      <c r="I38" s="31" t="s">
        <v>2092</v>
      </c>
      <c r="J38" s="31"/>
    </row>
    <row r="39" spans="1:10">
      <c r="A39" s="30" t="s">
        <v>7630</v>
      </c>
      <c r="B39" s="30" t="s">
        <v>7627</v>
      </c>
      <c r="C39" s="30" t="s">
        <v>7631</v>
      </c>
      <c r="D39" s="31" t="s">
        <v>7513</v>
      </c>
      <c r="E39" s="31" t="s">
        <v>7628</v>
      </c>
      <c r="F39" s="31" t="s">
        <v>697</v>
      </c>
      <c r="G39" s="31" t="s">
        <v>770</v>
      </c>
      <c r="H39" s="31" t="s">
        <v>7629</v>
      </c>
      <c r="I39" s="31" t="s">
        <v>2092</v>
      </c>
      <c r="J39" s="31"/>
    </row>
    <row r="40" spans="1:10">
      <c r="A40" s="30" t="s">
        <v>7632</v>
      </c>
      <c r="B40" s="30" t="s">
        <v>7633</v>
      </c>
      <c r="C40" s="30" t="s">
        <v>7634</v>
      </c>
      <c r="D40" s="31" t="s">
        <v>7513</v>
      </c>
      <c r="E40" s="31" t="s">
        <v>7544</v>
      </c>
      <c r="F40" s="31" t="s">
        <v>1356</v>
      </c>
      <c r="G40" s="31" t="s">
        <v>770</v>
      </c>
      <c r="H40" s="31" t="s">
        <v>7562</v>
      </c>
      <c r="I40" s="31" t="s">
        <v>2092</v>
      </c>
      <c r="J40" s="31" t="s">
        <v>7635</v>
      </c>
    </row>
    <row r="41" spans="1:10">
      <c r="A41" s="30" t="s">
        <v>7636</v>
      </c>
      <c r="B41" s="30" t="s">
        <v>7633</v>
      </c>
      <c r="C41" s="30" t="s">
        <v>2631</v>
      </c>
      <c r="D41" s="31" t="s">
        <v>7513</v>
      </c>
      <c r="E41" s="31" t="s">
        <v>7544</v>
      </c>
      <c r="F41" s="31" t="s">
        <v>7637</v>
      </c>
      <c r="G41" s="31" t="s">
        <v>770</v>
      </c>
      <c r="H41" s="31" t="s">
        <v>7562</v>
      </c>
      <c r="I41" s="31" t="s">
        <v>7638</v>
      </c>
      <c r="J41" s="31" t="s">
        <v>7639</v>
      </c>
    </row>
    <row r="42" spans="1:10">
      <c r="A42" s="30" t="s">
        <v>7640</v>
      </c>
      <c r="B42" s="30" t="s">
        <v>7641</v>
      </c>
      <c r="C42" s="30" t="s">
        <v>7642</v>
      </c>
      <c r="D42" s="31" t="s">
        <v>7513</v>
      </c>
      <c r="E42" s="31" t="s">
        <v>7643</v>
      </c>
      <c r="F42" s="31" t="s">
        <v>7644</v>
      </c>
      <c r="G42" s="31" t="s">
        <v>7645</v>
      </c>
      <c r="H42" s="31" t="s">
        <v>7646</v>
      </c>
      <c r="I42" s="31" t="s">
        <v>7647</v>
      </c>
      <c r="J42" s="31" t="s">
        <v>7648</v>
      </c>
    </row>
    <row r="43" spans="1:10">
      <c r="A43" s="30" t="s">
        <v>7649</v>
      </c>
      <c r="B43" s="30" t="s">
        <v>7641</v>
      </c>
      <c r="C43" s="30" t="s">
        <v>7650</v>
      </c>
      <c r="D43" s="31" t="s">
        <v>7513</v>
      </c>
      <c r="E43" s="31" t="s">
        <v>7544</v>
      </c>
      <c r="F43" s="31" t="s">
        <v>7545</v>
      </c>
      <c r="G43" s="31" t="s">
        <v>770</v>
      </c>
      <c r="H43" s="31" t="s">
        <v>1127</v>
      </c>
      <c r="I43" s="31" t="s">
        <v>7651</v>
      </c>
      <c r="J43" s="31" t="s">
        <v>7652</v>
      </c>
    </row>
    <row r="44" spans="1:10">
      <c r="A44" s="30" t="s">
        <v>7653</v>
      </c>
      <c r="B44" s="30" t="s">
        <v>7654</v>
      </c>
      <c r="C44" s="30" t="s">
        <v>7655</v>
      </c>
      <c r="D44" s="31" t="s">
        <v>7513</v>
      </c>
      <c r="E44" s="31" t="s">
        <v>7656</v>
      </c>
      <c r="F44" s="31" t="s">
        <v>7657</v>
      </c>
      <c r="G44" s="31" t="s">
        <v>770</v>
      </c>
      <c r="H44" s="31" t="s">
        <v>1127</v>
      </c>
      <c r="I44" s="31" t="s">
        <v>7658</v>
      </c>
      <c r="J44" s="31"/>
    </row>
    <row r="45" spans="1:10">
      <c r="A45" s="30" t="s">
        <v>7659</v>
      </c>
      <c r="B45" s="30" t="s">
        <v>7660</v>
      </c>
      <c r="C45" s="30" t="s">
        <v>7661</v>
      </c>
      <c r="D45" s="31" t="s">
        <v>7513</v>
      </c>
      <c r="E45" s="31" t="s">
        <v>7544</v>
      </c>
      <c r="F45" s="31" t="s">
        <v>7662</v>
      </c>
      <c r="G45" s="31" t="s">
        <v>770</v>
      </c>
      <c r="H45" s="31" t="s">
        <v>1127</v>
      </c>
      <c r="I45" s="31" t="s">
        <v>2092</v>
      </c>
      <c r="J45" s="31" t="s">
        <v>7663</v>
      </c>
    </row>
    <row r="46" spans="1:10">
      <c r="A46" s="30" t="s">
        <v>7664</v>
      </c>
      <c r="B46" s="30" t="s">
        <v>7665</v>
      </c>
      <c r="C46" s="30" t="s">
        <v>7666</v>
      </c>
      <c r="D46" s="31" t="s">
        <v>7513</v>
      </c>
      <c r="E46" s="31" t="s">
        <v>7660</v>
      </c>
      <c r="F46" s="31" t="s">
        <v>697</v>
      </c>
      <c r="G46" s="31" t="s">
        <v>770</v>
      </c>
      <c r="H46" s="31" t="s">
        <v>7667</v>
      </c>
      <c r="I46" s="31" t="s">
        <v>2092</v>
      </c>
      <c r="J46" s="31"/>
    </row>
    <row r="47" spans="1:10">
      <c r="A47" s="30" t="s">
        <v>7668</v>
      </c>
      <c r="B47" s="30" t="s">
        <v>7669</v>
      </c>
      <c r="C47" s="30" t="s">
        <v>7670</v>
      </c>
      <c r="D47" s="31" t="s">
        <v>7513</v>
      </c>
      <c r="E47" s="31" t="s">
        <v>7620</v>
      </c>
      <c r="F47" s="31" t="s">
        <v>697</v>
      </c>
      <c r="G47" s="31" t="s">
        <v>770</v>
      </c>
      <c r="H47" s="31" t="s">
        <v>7671</v>
      </c>
      <c r="I47" s="31" t="s">
        <v>2092</v>
      </c>
      <c r="J47" s="31"/>
    </row>
    <row r="48" spans="1:10">
      <c r="A48" s="30" t="s">
        <v>7672</v>
      </c>
      <c r="B48" s="30" t="s">
        <v>7673</v>
      </c>
      <c r="C48" s="30" t="s">
        <v>7674</v>
      </c>
      <c r="D48" s="31" t="s">
        <v>7513</v>
      </c>
      <c r="E48" s="31" t="s">
        <v>7675</v>
      </c>
      <c r="F48" s="31" t="s">
        <v>7657</v>
      </c>
      <c r="G48" s="31" t="s">
        <v>770</v>
      </c>
      <c r="H48" s="31" t="s">
        <v>1127</v>
      </c>
      <c r="I48" s="31" t="s">
        <v>2092</v>
      </c>
      <c r="J48" s="31"/>
    </row>
    <row r="49" spans="1:10">
      <c r="A49" s="30" t="s">
        <v>7676</v>
      </c>
      <c r="B49" s="30" t="s">
        <v>7677</v>
      </c>
      <c r="C49" s="30" t="s">
        <v>7678</v>
      </c>
      <c r="D49" s="31" t="s">
        <v>7513</v>
      </c>
      <c r="E49" s="31" t="s">
        <v>7544</v>
      </c>
      <c r="F49" s="31" t="s">
        <v>7679</v>
      </c>
      <c r="G49" s="31" t="s">
        <v>4120</v>
      </c>
      <c r="H49" s="31" t="s">
        <v>7562</v>
      </c>
      <c r="I49" s="31" t="s">
        <v>2092</v>
      </c>
      <c r="J49" s="31" t="s">
        <v>7680</v>
      </c>
    </row>
    <row r="50" spans="1:10">
      <c r="A50" s="30" t="s">
        <v>7681</v>
      </c>
      <c r="B50" s="30" t="s">
        <v>1939</v>
      </c>
      <c r="C50" s="30" t="s">
        <v>7682</v>
      </c>
      <c r="D50" s="31" t="s">
        <v>7513</v>
      </c>
      <c r="E50" s="31" t="s">
        <v>7683</v>
      </c>
      <c r="F50" s="31" t="s">
        <v>697</v>
      </c>
      <c r="G50" s="31" t="s">
        <v>770</v>
      </c>
      <c r="H50" s="31" t="s">
        <v>7684</v>
      </c>
      <c r="I50" s="31" t="s">
        <v>2092</v>
      </c>
      <c r="J50" s="31" t="s">
        <v>7685</v>
      </c>
    </row>
    <row r="51" spans="1:10">
      <c r="A51" t="s">
        <v>7686</v>
      </c>
      <c r="B51" t="s">
        <v>7517</v>
      </c>
      <c r="C51" t="s">
        <v>7687</v>
      </c>
      <c r="D51" t="s">
        <v>7688</v>
      </c>
      <c r="E51" t="s">
        <v>7689</v>
      </c>
      <c r="F51" t="s">
        <v>1475</v>
      </c>
      <c r="G51" t="s">
        <v>7690</v>
      </c>
      <c r="H51" t="s">
        <v>7562</v>
      </c>
      <c r="I51" t="s">
        <v>7691</v>
      </c>
      <c r="J51" t="s">
        <v>7692</v>
      </c>
    </row>
    <row r="52" spans="1:10">
      <c r="A52" t="s">
        <v>7693</v>
      </c>
      <c r="B52" t="s">
        <v>7517</v>
      </c>
      <c r="C52" t="s">
        <v>7694</v>
      </c>
      <c r="D52" t="s">
        <v>7688</v>
      </c>
      <c r="E52" t="s">
        <v>7695</v>
      </c>
      <c r="F52" t="s">
        <v>7696</v>
      </c>
      <c r="G52" t="s">
        <v>7697</v>
      </c>
      <c r="H52" t="s">
        <v>7698</v>
      </c>
      <c r="I52" t="s">
        <v>7691</v>
      </c>
      <c r="J52" t="s">
        <v>7699</v>
      </c>
    </row>
    <row r="53" spans="1:10">
      <c r="A53" t="s">
        <v>7700</v>
      </c>
      <c r="B53" t="s">
        <v>7608</v>
      </c>
      <c r="C53" t="s">
        <v>7701</v>
      </c>
      <c r="D53" t="s">
        <v>7702</v>
      </c>
      <c r="E53" t="s">
        <v>7703</v>
      </c>
      <c r="F53" t="s">
        <v>1475</v>
      </c>
      <c r="G53" t="s">
        <v>7704</v>
      </c>
      <c r="H53" t="s">
        <v>7562</v>
      </c>
      <c r="J53" t="s">
        <v>7705</v>
      </c>
    </row>
    <row r="54" spans="1:10">
      <c r="A54" t="s">
        <v>7706</v>
      </c>
      <c r="B54" t="s">
        <v>670</v>
      </c>
      <c r="C54" t="s">
        <v>6740</v>
      </c>
      <c r="D54" t="s">
        <v>7688</v>
      </c>
      <c r="E54" t="s">
        <v>7707</v>
      </c>
      <c r="F54" t="s">
        <v>7696</v>
      </c>
      <c r="G54" t="s">
        <v>7708</v>
      </c>
      <c r="H54" t="s">
        <v>7698</v>
      </c>
      <c r="J54" t="s">
        <v>7709</v>
      </c>
    </row>
    <row r="55" spans="1:10">
      <c r="A55" t="s">
        <v>7710</v>
      </c>
      <c r="B55" t="s">
        <v>7711</v>
      </c>
      <c r="C55" t="s">
        <v>2432</v>
      </c>
      <c r="D55" t="s">
        <v>7688</v>
      </c>
      <c r="E55" t="s">
        <v>3123</v>
      </c>
      <c r="F55" t="s">
        <v>1475</v>
      </c>
      <c r="H55" t="s">
        <v>7562</v>
      </c>
      <c r="I55" t="s">
        <v>7712</v>
      </c>
      <c r="J55" t="s">
        <v>7713</v>
      </c>
    </row>
  </sheetData>
  <phoneticPr fontId="1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6"/>
  <sheetViews>
    <sheetView workbookViewId="0"/>
  </sheetViews>
  <sheetFormatPr baseColWidth="10" defaultColWidth="8.83203125" defaultRowHeight="17"/>
  <cols>
    <col min="1" max="1" width="10" customWidth="1"/>
    <col min="2" max="2" width="14" customWidth="1"/>
    <col min="3" max="3" width="25" customWidth="1"/>
    <col min="4" max="4" width="35" customWidth="1"/>
    <col min="5" max="5" width="45" customWidth="1"/>
    <col min="6" max="6" width="20" customWidth="1"/>
  </cols>
  <sheetData>
    <row r="1" spans="1:6" ht="18">
      <c r="A1" s="27" t="s">
        <v>7714</v>
      </c>
      <c r="B1" s="27" t="s">
        <v>4693</v>
      </c>
      <c r="C1" s="27" t="s">
        <v>7715</v>
      </c>
      <c r="D1" s="27" t="s">
        <v>7716</v>
      </c>
      <c r="E1" s="27" t="s">
        <v>7717</v>
      </c>
      <c r="F1" s="27" t="s">
        <v>11</v>
      </c>
    </row>
    <row r="2" spans="1:6">
      <c r="A2" s="30" t="s">
        <v>7718</v>
      </c>
      <c r="B2" s="30" t="s">
        <v>5229</v>
      </c>
      <c r="C2" s="30" t="s">
        <v>7719</v>
      </c>
      <c r="D2" s="31" t="s">
        <v>7720</v>
      </c>
      <c r="E2" s="31" t="s">
        <v>7721</v>
      </c>
      <c r="F2" s="31"/>
    </row>
    <row r="3" spans="1:6">
      <c r="A3" s="30" t="s">
        <v>7722</v>
      </c>
      <c r="B3" s="30" t="s">
        <v>5229</v>
      </c>
      <c r="C3" s="30" t="s">
        <v>7723</v>
      </c>
      <c r="D3" s="31" t="s">
        <v>7724</v>
      </c>
      <c r="E3" s="31" t="s">
        <v>7725</v>
      </c>
      <c r="F3" s="31"/>
    </row>
    <row r="4" spans="1:6">
      <c r="A4" s="30" t="s">
        <v>7726</v>
      </c>
      <c r="B4" s="30" t="s">
        <v>5229</v>
      </c>
      <c r="C4" s="30" t="s">
        <v>7727</v>
      </c>
      <c r="D4" s="31" t="s">
        <v>7728</v>
      </c>
      <c r="E4" s="31" t="s">
        <v>7729</v>
      </c>
      <c r="F4" s="31"/>
    </row>
    <row r="5" spans="1:6">
      <c r="A5" s="30" t="s">
        <v>7730</v>
      </c>
      <c r="B5" s="30" t="s">
        <v>5229</v>
      </c>
      <c r="C5" s="30" t="s">
        <v>7731</v>
      </c>
      <c r="D5" s="31" t="s">
        <v>7732</v>
      </c>
      <c r="E5" s="31" t="s">
        <v>7733</v>
      </c>
      <c r="F5" s="31" t="s">
        <v>7734</v>
      </c>
    </row>
    <row r="6" spans="1:6">
      <c r="A6" s="30" t="s">
        <v>7735</v>
      </c>
      <c r="B6" s="30" t="s">
        <v>5229</v>
      </c>
      <c r="C6" s="30" t="s">
        <v>7736</v>
      </c>
      <c r="D6" s="31" t="s">
        <v>7737</v>
      </c>
      <c r="E6" s="31" t="s">
        <v>7738</v>
      </c>
      <c r="F6" s="31"/>
    </row>
    <row r="7" spans="1:6">
      <c r="A7" s="30" t="s">
        <v>7739</v>
      </c>
      <c r="B7" s="30" t="s">
        <v>5229</v>
      </c>
      <c r="C7" s="30" t="s">
        <v>7740</v>
      </c>
      <c r="D7" s="31" t="s">
        <v>7741</v>
      </c>
      <c r="E7" s="31" t="s">
        <v>7742</v>
      </c>
      <c r="F7" s="31"/>
    </row>
    <row r="8" spans="1:6">
      <c r="A8" s="30" t="s">
        <v>7743</v>
      </c>
      <c r="B8" s="30" t="s">
        <v>5229</v>
      </c>
      <c r="C8" s="30" t="s">
        <v>7744</v>
      </c>
      <c r="D8" s="31" t="s">
        <v>7745</v>
      </c>
      <c r="E8" s="31" t="s">
        <v>7746</v>
      </c>
      <c r="F8" s="31"/>
    </row>
    <row r="9" spans="1:6">
      <c r="A9" s="30" t="s">
        <v>7747</v>
      </c>
      <c r="B9" s="30" t="s">
        <v>5229</v>
      </c>
      <c r="C9" s="30" t="s">
        <v>7748</v>
      </c>
      <c r="D9" s="31" t="s">
        <v>7749</v>
      </c>
      <c r="E9" s="31" t="s">
        <v>7750</v>
      </c>
      <c r="F9" s="31"/>
    </row>
    <row r="10" spans="1:6">
      <c r="A10" s="30" t="s">
        <v>7751</v>
      </c>
      <c r="B10" s="30" t="s">
        <v>5229</v>
      </c>
      <c r="C10" s="30" t="s">
        <v>7752</v>
      </c>
      <c r="D10" s="31" t="s">
        <v>7753</v>
      </c>
      <c r="E10" s="31" t="s">
        <v>7754</v>
      </c>
      <c r="F10" s="31"/>
    </row>
    <row r="11" spans="1:6">
      <c r="A11" s="30" t="s">
        <v>7755</v>
      </c>
      <c r="B11" s="30" t="s">
        <v>5229</v>
      </c>
      <c r="C11" s="30" t="s">
        <v>7756</v>
      </c>
      <c r="D11" s="31" t="s">
        <v>7757</v>
      </c>
      <c r="E11" s="31" t="s">
        <v>7758</v>
      </c>
      <c r="F11" s="31"/>
    </row>
    <row r="12" spans="1:6">
      <c r="A12" s="30" t="s">
        <v>7759</v>
      </c>
      <c r="B12" s="30" t="s">
        <v>5229</v>
      </c>
      <c r="C12" s="30" t="s">
        <v>7760</v>
      </c>
      <c r="D12" s="31" t="s">
        <v>7761</v>
      </c>
      <c r="E12" s="31" t="s">
        <v>7762</v>
      </c>
      <c r="F12" s="31"/>
    </row>
    <row r="13" spans="1:6">
      <c r="A13" s="30" t="s">
        <v>7763</v>
      </c>
      <c r="B13" s="30" t="s">
        <v>5229</v>
      </c>
      <c r="C13" s="30" t="s">
        <v>7764</v>
      </c>
      <c r="D13" s="31" t="s">
        <v>7765</v>
      </c>
      <c r="E13" s="31" t="s">
        <v>7766</v>
      </c>
      <c r="F13" s="31"/>
    </row>
    <row r="14" spans="1:6">
      <c r="A14" s="30" t="s">
        <v>7767</v>
      </c>
      <c r="B14" s="30" t="s">
        <v>5229</v>
      </c>
      <c r="C14" s="30" t="s">
        <v>7768</v>
      </c>
      <c r="D14" s="31" t="s">
        <v>7769</v>
      </c>
      <c r="E14" s="31" t="s">
        <v>7770</v>
      </c>
      <c r="F14" s="31"/>
    </row>
    <row r="15" spans="1:6">
      <c r="A15" s="30" t="s">
        <v>7771</v>
      </c>
      <c r="B15" s="30" t="s">
        <v>5229</v>
      </c>
      <c r="C15" s="30" t="s">
        <v>7772</v>
      </c>
      <c r="D15" s="31" t="s">
        <v>7773</v>
      </c>
      <c r="E15" s="31" t="s">
        <v>7774</v>
      </c>
      <c r="F15" s="31"/>
    </row>
    <row r="16" spans="1:6">
      <c r="A16" s="30" t="s">
        <v>7775</v>
      </c>
      <c r="B16" s="30" t="s">
        <v>5229</v>
      </c>
      <c r="C16" s="30" t="s">
        <v>7776</v>
      </c>
      <c r="D16" s="31" t="s">
        <v>7777</v>
      </c>
      <c r="E16" s="31" t="s">
        <v>7778</v>
      </c>
      <c r="F16" s="31"/>
    </row>
    <row r="17" spans="1:6">
      <c r="A17" s="30" t="s">
        <v>7779</v>
      </c>
      <c r="B17" s="30" t="s">
        <v>5229</v>
      </c>
      <c r="C17" s="30" t="s">
        <v>7780</v>
      </c>
      <c r="D17" s="31" t="s">
        <v>7781</v>
      </c>
      <c r="E17" s="31" t="s">
        <v>7782</v>
      </c>
      <c r="F17" s="31"/>
    </row>
    <row r="18" spans="1:6">
      <c r="A18" s="30" t="s">
        <v>7783</v>
      </c>
      <c r="B18" s="30" t="s">
        <v>5229</v>
      </c>
      <c r="C18" s="30" t="s">
        <v>7784</v>
      </c>
      <c r="D18" s="31" t="s">
        <v>7785</v>
      </c>
      <c r="E18" s="31" t="s">
        <v>7786</v>
      </c>
      <c r="F18" s="31"/>
    </row>
    <row r="19" spans="1:6">
      <c r="A19" s="30" t="s">
        <v>7787</v>
      </c>
      <c r="B19" s="30" t="s">
        <v>5229</v>
      </c>
      <c r="C19" s="30" t="s">
        <v>7788</v>
      </c>
      <c r="D19" s="31" t="s">
        <v>7789</v>
      </c>
      <c r="E19" s="31" t="s">
        <v>7790</v>
      </c>
      <c r="F19" s="31"/>
    </row>
    <row r="20" spans="1:6">
      <c r="A20" s="30" t="s">
        <v>7791</v>
      </c>
      <c r="B20" s="30" t="s">
        <v>5229</v>
      </c>
      <c r="C20" s="30" t="s">
        <v>7792</v>
      </c>
      <c r="D20" s="31" t="s">
        <v>7793</v>
      </c>
      <c r="E20" s="31" t="s">
        <v>7794</v>
      </c>
      <c r="F20" s="31"/>
    </row>
    <row r="21" spans="1:6">
      <c r="A21" s="30" t="s">
        <v>7795</v>
      </c>
      <c r="B21" s="30" t="s">
        <v>5229</v>
      </c>
      <c r="C21" s="30" t="s">
        <v>7796</v>
      </c>
      <c r="D21" s="31" t="s">
        <v>7797</v>
      </c>
      <c r="E21" s="31" t="s">
        <v>7798</v>
      </c>
      <c r="F21" s="31"/>
    </row>
    <row r="22" spans="1:6">
      <c r="A22" s="30" t="s">
        <v>7799</v>
      </c>
      <c r="B22" s="30" t="s">
        <v>5229</v>
      </c>
      <c r="C22" s="30" t="s">
        <v>7800</v>
      </c>
      <c r="D22" s="31" t="s">
        <v>7801</v>
      </c>
      <c r="E22" s="31" t="s">
        <v>7802</v>
      </c>
      <c r="F22" s="31"/>
    </row>
    <row r="23" spans="1:6">
      <c r="A23" s="30" t="s">
        <v>7803</v>
      </c>
      <c r="B23" s="30" t="s">
        <v>5229</v>
      </c>
      <c r="C23" s="30" t="s">
        <v>7804</v>
      </c>
      <c r="D23" s="31" t="s">
        <v>7805</v>
      </c>
      <c r="E23" s="31" t="s">
        <v>7806</v>
      </c>
      <c r="F23" s="31"/>
    </row>
    <row r="24" spans="1:6">
      <c r="A24" s="30" t="s">
        <v>7807</v>
      </c>
      <c r="B24" s="30" t="s">
        <v>5229</v>
      </c>
      <c r="C24" s="30" t="s">
        <v>7808</v>
      </c>
      <c r="D24" s="31" t="s">
        <v>7732</v>
      </c>
      <c r="E24" s="31" t="s">
        <v>7809</v>
      </c>
      <c r="F24" s="31"/>
    </row>
    <row r="25" spans="1:6">
      <c r="A25" s="30" t="s">
        <v>7810</v>
      </c>
      <c r="B25" s="30" t="s">
        <v>5229</v>
      </c>
      <c r="C25" s="30" t="s">
        <v>7811</v>
      </c>
      <c r="D25" s="31" t="s">
        <v>7720</v>
      </c>
      <c r="E25" s="31" t="s">
        <v>7812</v>
      </c>
      <c r="F25" s="31"/>
    </row>
    <row r="26" spans="1:6">
      <c r="A26" s="30" t="s">
        <v>7813</v>
      </c>
      <c r="B26" s="30" t="s">
        <v>5229</v>
      </c>
      <c r="C26" s="30" t="s">
        <v>7814</v>
      </c>
      <c r="D26" s="31" t="s">
        <v>7815</v>
      </c>
      <c r="E26" s="31" t="s">
        <v>7816</v>
      </c>
      <c r="F26" s="31"/>
    </row>
    <row r="27" spans="1:6">
      <c r="A27" s="30" t="s">
        <v>7817</v>
      </c>
      <c r="B27" s="30" t="s">
        <v>5229</v>
      </c>
      <c r="C27" s="30" t="s">
        <v>7818</v>
      </c>
      <c r="D27" s="31" t="s">
        <v>7819</v>
      </c>
      <c r="E27" s="31" t="s">
        <v>7820</v>
      </c>
      <c r="F27" s="31"/>
    </row>
    <row r="28" spans="1:6">
      <c r="A28" s="30" t="s">
        <v>7821</v>
      </c>
      <c r="B28" s="30" t="s">
        <v>5229</v>
      </c>
      <c r="C28" s="30" t="s">
        <v>7822</v>
      </c>
      <c r="D28" s="31" t="s">
        <v>7732</v>
      </c>
      <c r="E28" s="31" t="s">
        <v>7823</v>
      </c>
      <c r="F28" s="31"/>
    </row>
    <row r="29" spans="1:6">
      <c r="A29" s="30" t="s">
        <v>7824</v>
      </c>
      <c r="B29" s="30" t="s">
        <v>5229</v>
      </c>
      <c r="C29" s="30" t="s">
        <v>7825</v>
      </c>
      <c r="D29" s="31" t="s">
        <v>7826</v>
      </c>
      <c r="E29" s="31" t="s">
        <v>7827</v>
      </c>
      <c r="F29" s="31"/>
    </row>
    <row r="30" spans="1:6">
      <c r="A30" s="30" t="s">
        <v>7828</v>
      </c>
      <c r="B30" s="30" t="s">
        <v>5229</v>
      </c>
      <c r="C30" s="30" t="s">
        <v>7829</v>
      </c>
      <c r="D30" s="31" t="s">
        <v>7830</v>
      </c>
      <c r="E30" s="31" t="s">
        <v>7831</v>
      </c>
      <c r="F30" s="31"/>
    </row>
    <row r="31" spans="1:6">
      <c r="A31" s="30" t="s">
        <v>7832</v>
      </c>
      <c r="B31" s="30" t="s">
        <v>5229</v>
      </c>
      <c r="C31" s="30" t="s">
        <v>7833</v>
      </c>
      <c r="D31" s="31" t="s">
        <v>7834</v>
      </c>
      <c r="E31" s="31" t="s">
        <v>7835</v>
      </c>
      <c r="F31" s="31"/>
    </row>
    <row r="32" spans="1:6">
      <c r="A32" s="30" t="s">
        <v>7836</v>
      </c>
      <c r="B32" s="30" t="s">
        <v>5229</v>
      </c>
      <c r="C32" s="30" t="s">
        <v>7837</v>
      </c>
      <c r="D32" s="31" t="s">
        <v>7838</v>
      </c>
      <c r="E32" s="31" t="s">
        <v>7839</v>
      </c>
      <c r="F32" s="31"/>
    </row>
    <row r="33" spans="1:6">
      <c r="A33" s="30" t="s">
        <v>7840</v>
      </c>
      <c r="B33" s="30" t="s">
        <v>7841</v>
      </c>
      <c r="C33" s="30" t="s">
        <v>7842</v>
      </c>
      <c r="D33" s="31" t="s">
        <v>7843</v>
      </c>
      <c r="E33" s="31" t="s">
        <v>7844</v>
      </c>
      <c r="F33" s="31"/>
    </row>
    <row r="34" spans="1:6">
      <c r="A34" s="30" t="s">
        <v>7845</v>
      </c>
      <c r="B34" s="30" t="s">
        <v>7841</v>
      </c>
      <c r="C34" s="30" t="s">
        <v>7846</v>
      </c>
      <c r="D34" s="31" t="s">
        <v>7847</v>
      </c>
      <c r="E34" s="31" t="s">
        <v>7848</v>
      </c>
      <c r="F34" s="31"/>
    </row>
    <row r="35" spans="1:6">
      <c r="A35" s="30" t="s">
        <v>7849</v>
      </c>
      <c r="B35" s="30" t="s">
        <v>7841</v>
      </c>
      <c r="C35" s="30" t="s">
        <v>7850</v>
      </c>
      <c r="D35" s="31" t="s">
        <v>7851</v>
      </c>
      <c r="E35" s="31" t="s">
        <v>7852</v>
      </c>
      <c r="F35" s="31"/>
    </row>
    <row r="36" spans="1:6">
      <c r="A36" s="30" t="s">
        <v>7853</v>
      </c>
      <c r="B36" s="30" t="s">
        <v>7841</v>
      </c>
      <c r="C36" s="30" t="s">
        <v>7854</v>
      </c>
      <c r="D36" s="31" t="s">
        <v>7855</v>
      </c>
      <c r="E36" s="31" t="s">
        <v>7856</v>
      </c>
      <c r="F36" s="31"/>
    </row>
    <row r="37" spans="1:6">
      <c r="A37" s="30" t="s">
        <v>7857</v>
      </c>
      <c r="B37" s="30" t="s">
        <v>7841</v>
      </c>
      <c r="C37" s="30" t="s">
        <v>7858</v>
      </c>
      <c r="D37" s="31" t="s">
        <v>7859</v>
      </c>
      <c r="E37" s="31" t="s">
        <v>7860</v>
      </c>
      <c r="F37" s="31"/>
    </row>
    <row r="38" spans="1:6">
      <c r="A38" s="30" t="s">
        <v>7861</v>
      </c>
      <c r="B38" s="30" t="s">
        <v>7841</v>
      </c>
      <c r="C38" s="30" t="s">
        <v>7862</v>
      </c>
      <c r="D38" s="31" t="s">
        <v>7863</v>
      </c>
      <c r="E38" s="31" t="s">
        <v>7864</v>
      </c>
      <c r="F38" s="31" t="s">
        <v>7865</v>
      </c>
    </row>
    <row r="39" spans="1:6">
      <c r="A39" s="30" t="s">
        <v>7866</v>
      </c>
      <c r="B39" s="30" t="s">
        <v>7841</v>
      </c>
      <c r="C39" s="30" t="s">
        <v>7867</v>
      </c>
      <c r="D39" s="31" t="s">
        <v>7868</v>
      </c>
      <c r="E39" s="31" t="s">
        <v>7869</v>
      </c>
      <c r="F39" s="31"/>
    </row>
    <row r="40" spans="1:6">
      <c r="A40" s="30" t="s">
        <v>7870</v>
      </c>
      <c r="B40" s="30" t="s">
        <v>7841</v>
      </c>
      <c r="C40" s="30" t="s">
        <v>7871</v>
      </c>
      <c r="D40" s="31" t="s">
        <v>7872</v>
      </c>
      <c r="E40" s="31" t="s">
        <v>7873</v>
      </c>
      <c r="F40" s="31"/>
    </row>
    <row r="41" spans="1:6">
      <c r="A41" s="30" t="s">
        <v>2206</v>
      </c>
      <c r="B41" s="30" t="s">
        <v>7841</v>
      </c>
      <c r="C41" s="30" t="s">
        <v>7874</v>
      </c>
      <c r="D41" s="31" t="s">
        <v>7875</v>
      </c>
      <c r="E41" s="31" t="s">
        <v>7876</v>
      </c>
      <c r="F41" s="31"/>
    </row>
    <row r="42" spans="1:6">
      <c r="A42" s="30" t="s">
        <v>7877</v>
      </c>
      <c r="B42" s="30" t="s">
        <v>7841</v>
      </c>
      <c r="C42" s="30" t="s">
        <v>7878</v>
      </c>
      <c r="D42" s="31" t="s">
        <v>7879</v>
      </c>
      <c r="E42" s="31" t="s">
        <v>7880</v>
      </c>
      <c r="F42" s="31"/>
    </row>
    <row r="43" spans="1:6">
      <c r="A43" s="30" t="s">
        <v>7881</v>
      </c>
      <c r="B43" s="30" t="s">
        <v>7841</v>
      </c>
      <c r="C43" s="30" t="s">
        <v>7882</v>
      </c>
      <c r="D43" s="31" t="s">
        <v>7883</v>
      </c>
      <c r="E43" s="31" t="s">
        <v>7884</v>
      </c>
      <c r="F43" s="31" t="s">
        <v>7885</v>
      </c>
    </row>
    <row r="44" spans="1:6">
      <c r="A44" s="30" t="s">
        <v>7886</v>
      </c>
      <c r="B44" s="30" t="s">
        <v>7887</v>
      </c>
      <c r="C44" s="30" t="s">
        <v>7888</v>
      </c>
      <c r="D44" s="31" t="s">
        <v>7889</v>
      </c>
      <c r="E44" s="31" t="s">
        <v>7890</v>
      </c>
      <c r="F44" s="31"/>
    </row>
    <row r="45" spans="1:6">
      <c r="A45" s="30" t="s">
        <v>7891</v>
      </c>
      <c r="B45" s="30" t="s">
        <v>7887</v>
      </c>
      <c r="C45" s="30" t="s">
        <v>7892</v>
      </c>
      <c r="D45" s="31" t="s">
        <v>7893</v>
      </c>
      <c r="E45" s="31" t="s">
        <v>7894</v>
      </c>
      <c r="F45" s="31"/>
    </row>
    <row r="46" spans="1:6">
      <c r="A46" s="30" t="s">
        <v>7895</v>
      </c>
      <c r="B46" s="30" t="s">
        <v>7887</v>
      </c>
      <c r="C46" s="30" t="s">
        <v>7896</v>
      </c>
      <c r="D46" s="31" t="s">
        <v>7897</v>
      </c>
      <c r="E46" s="31" t="s">
        <v>7898</v>
      </c>
      <c r="F46" s="31"/>
    </row>
    <row r="47" spans="1:6">
      <c r="A47" s="30" t="s">
        <v>7899</v>
      </c>
      <c r="B47" s="30" t="s">
        <v>7887</v>
      </c>
      <c r="C47" s="30" t="s">
        <v>7900</v>
      </c>
      <c r="D47" s="31" t="s">
        <v>7901</v>
      </c>
      <c r="E47" s="31" t="s">
        <v>7902</v>
      </c>
      <c r="F47" s="31"/>
    </row>
    <row r="48" spans="1:6">
      <c r="A48" s="30" t="s">
        <v>7903</v>
      </c>
      <c r="B48" s="30" t="s">
        <v>7887</v>
      </c>
      <c r="C48" s="30" t="s">
        <v>7904</v>
      </c>
      <c r="D48" s="31" t="s">
        <v>7905</v>
      </c>
      <c r="E48" s="31" t="s">
        <v>7906</v>
      </c>
      <c r="F48" s="31"/>
    </row>
    <row r="49" spans="1:6">
      <c r="A49" s="30" t="s">
        <v>7907</v>
      </c>
      <c r="B49" s="30" t="s">
        <v>7887</v>
      </c>
      <c r="C49" s="30" t="s">
        <v>7908</v>
      </c>
      <c r="D49" s="31" t="s">
        <v>7905</v>
      </c>
      <c r="E49" s="31" t="s">
        <v>7909</v>
      </c>
      <c r="F49" s="31"/>
    </row>
    <row r="50" spans="1:6">
      <c r="A50" s="30" t="s">
        <v>7910</v>
      </c>
      <c r="B50" s="30" t="s">
        <v>7887</v>
      </c>
      <c r="C50" s="30" t="s">
        <v>7911</v>
      </c>
      <c r="D50" s="31" t="s">
        <v>7912</v>
      </c>
      <c r="E50" s="31" t="s">
        <v>7913</v>
      </c>
      <c r="F50" s="31"/>
    </row>
    <row r="51" spans="1:6">
      <c r="A51" s="30" t="s">
        <v>7914</v>
      </c>
      <c r="B51" s="30" t="s">
        <v>7887</v>
      </c>
      <c r="C51" s="30" t="s">
        <v>7915</v>
      </c>
      <c r="D51" s="31" t="s">
        <v>7912</v>
      </c>
      <c r="E51" s="31" t="s">
        <v>7916</v>
      </c>
      <c r="F51" s="31"/>
    </row>
    <row r="52" spans="1:6">
      <c r="A52" s="30" t="s">
        <v>7917</v>
      </c>
      <c r="B52" s="30" t="s">
        <v>7887</v>
      </c>
      <c r="C52" s="30" t="s">
        <v>7918</v>
      </c>
      <c r="D52" s="31" t="s">
        <v>7919</v>
      </c>
      <c r="E52" s="31" t="s">
        <v>7920</v>
      </c>
      <c r="F52" s="31"/>
    </row>
    <row r="53" spans="1:6">
      <c r="A53" s="30" t="s">
        <v>7921</v>
      </c>
      <c r="B53" s="30" t="s">
        <v>7887</v>
      </c>
      <c r="C53" s="30" t="s">
        <v>7922</v>
      </c>
      <c r="D53" s="31" t="s">
        <v>7923</v>
      </c>
      <c r="E53" s="31" t="s">
        <v>7924</v>
      </c>
      <c r="F53" s="31"/>
    </row>
    <row r="54" spans="1:6">
      <c r="A54" s="30" t="s">
        <v>7925</v>
      </c>
      <c r="B54" s="30" t="s">
        <v>7887</v>
      </c>
      <c r="C54" s="30" t="s">
        <v>7926</v>
      </c>
      <c r="D54" s="31" t="s">
        <v>7927</v>
      </c>
      <c r="E54" s="31" t="s">
        <v>7928</v>
      </c>
      <c r="F54" s="31"/>
    </row>
    <row r="55" spans="1:6">
      <c r="A55" s="30" t="s">
        <v>7929</v>
      </c>
      <c r="B55" s="30" t="s">
        <v>7887</v>
      </c>
      <c r="C55" s="30" t="s">
        <v>7930</v>
      </c>
      <c r="D55" s="31" t="s">
        <v>7931</v>
      </c>
      <c r="E55" s="31" t="s">
        <v>7932</v>
      </c>
      <c r="F55" s="31"/>
    </row>
    <row r="56" spans="1:6">
      <c r="A56" s="30" t="s">
        <v>7933</v>
      </c>
      <c r="B56" s="30" t="s">
        <v>7887</v>
      </c>
      <c r="C56" s="30" t="s">
        <v>7934</v>
      </c>
      <c r="D56" s="31" t="s">
        <v>7935</v>
      </c>
      <c r="E56" s="31" t="s">
        <v>7936</v>
      </c>
      <c r="F56" s="31"/>
    </row>
    <row r="57" spans="1:6">
      <c r="A57" s="30" t="s">
        <v>7937</v>
      </c>
      <c r="B57" s="30" t="s">
        <v>7938</v>
      </c>
      <c r="C57" s="30" t="s">
        <v>7939</v>
      </c>
      <c r="D57" s="31" t="s">
        <v>7940</v>
      </c>
      <c r="E57" s="31" t="s">
        <v>7941</v>
      </c>
      <c r="F57" s="31"/>
    </row>
    <row r="58" spans="1:6">
      <c r="A58" s="30" t="s">
        <v>7942</v>
      </c>
      <c r="B58" s="30" t="s">
        <v>7938</v>
      </c>
      <c r="C58" s="30" t="s">
        <v>4733</v>
      </c>
      <c r="D58" s="31" t="s">
        <v>7943</v>
      </c>
      <c r="E58" s="31" t="s">
        <v>7944</v>
      </c>
      <c r="F58" s="31"/>
    </row>
    <row r="59" spans="1:6">
      <c r="A59" s="30" t="s">
        <v>7945</v>
      </c>
      <c r="B59" s="30" t="s">
        <v>7938</v>
      </c>
      <c r="C59" s="30" t="s">
        <v>1356</v>
      </c>
      <c r="D59" s="31" t="s">
        <v>7946</v>
      </c>
      <c r="E59" s="31" t="s">
        <v>7947</v>
      </c>
      <c r="F59" s="31"/>
    </row>
    <row r="60" spans="1:6">
      <c r="A60" s="30" t="s">
        <v>7948</v>
      </c>
      <c r="B60" s="30" t="s">
        <v>7938</v>
      </c>
      <c r="C60" s="30" t="s">
        <v>4782</v>
      </c>
      <c r="D60" s="31" t="s">
        <v>7949</v>
      </c>
      <c r="E60" s="31" t="s">
        <v>7950</v>
      </c>
      <c r="F60" s="31"/>
    </row>
    <row r="61" spans="1:6">
      <c r="A61" s="30" t="s">
        <v>7951</v>
      </c>
      <c r="B61" s="30" t="s">
        <v>7938</v>
      </c>
      <c r="C61" s="30" t="s">
        <v>7952</v>
      </c>
      <c r="D61" s="31" t="s">
        <v>7940</v>
      </c>
      <c r="E61" s="31" t="s">
        <v>7953</v>
      </c>
      <c r="F61" s="31"/>
    </row>
    <row r="62" spans="1:6">
      <c r="A62" s="30" t="s">
        <v>7954</v>
      </c>
      <c r="B62" s="30" t="s">
        <v>7955</v>
      </c>
      <c r="C62" s="30" t="s">
        <v>4733</v>
      </c>
      <c r="D62" s="31" t="s">
        <v>7956</v>
      </c>
      <c r="E62" s="31" t="s">
        <v>7957</v>
      </c>
      <c r="F62" s="31" t="s">
        <v>7958</v>
      </c>
    </row>
    <row r="63" spans="1:6">
      <c r="A63" s="30" t="s">
        <v>7959</v>
      </c>
      <c r="B63" s="30" t="s">
        <v>7955</v>
      </c>
      <c r="C63" s="30" t="s">
        <v>7960</v>
      </c>
      <c r="D63" s="31" t="s">
        <v>7961</v>
      </c>
      <c r="E63" s="31" t="s">
        <v>7962</v>
      </c>
      <c r="F63" s="31" t="s">
        <v>7963</v>
      </c>
    </row>
    <row r="64" spans="1:6">
      <c r="A64" s="30" t="s">
        <v>7964</v>
      </c>
      <c r="B64" s="30" t="s">
        <v>7955</v>
      </c>
      <c r="C64" s="30" t="s">
        <v>1356</v>
      </c>
      <c r="D64" s="31" t="s">
        <v>7965</v>
      </c>
      <c r="E64" s="31" t="s">
        <v>7966</v>
      </c>
      <c r="F64" s="31" t="s">
        <v>7967</v>
      </c>
    </row>
    <row r="65" spans="1:6">
      <c r="A65" s="30" t="s">
        <v>7968</v>
      </c>
      <c r="B65" s="30" t="s">
        <v>7955</v>
      </c>
      <c r="C65" s="30" t="s">
        <v>7969</v>
      </c>
      <c r="D65" s="31" t="s">
        <v>7970</v>
      </c>
      <c r="E65" s="31" t="s">
        <v>7971</v>
      </c>
      <c r="F65" s="31" t="s">
        <v>7972</v>
      </c>
    </row>
    <row r="66" spans="1:6">
      <c r="A66" s="30" t="s">
        <v>7973</v>
      </c>
      <c r="B66" s="30" t="s">
        <v>7974</v>
      </c>
      <c r="C66" s="30" t="s">
        <v>7975</v>
      </c>
      <c r="D66" s="31" t="s">
        <v>7976</v>
      </c>
      <c r="E66" s="31" t="s">
        <v>7977</v>
      </c>
      <c r="F66" s="31" t="s">
        <v>7978</v>
      </c>
    </row>
    <row r="67" spans="1:6">
      <c r="A67" s="30" t="s">
        <v>7979</v>
      </c>
      <c r="B67" s="30" t="s">
        <v>7974</v>
      </c>
      <c r="C67" s="30" t="s">
        <v>7980</v>
      </c>
      <c r="D67" s="31" t="s">
        <v>7981</v>
      </c>
      <c r="E67" s="31" t="s">
        <v>7982</v>
      </c>
      <c r="F67" s="31" t="s">
        <v>7983</v>
      </c>
    </row>
    <row r="68" spans="1:6">
      <c r="A68" s="30" t="s">
        <v>7984</v>
      </c>
      <c r="B68" s="30" t="s">
        <v>7974</v>
      </c>
      <c r="C68" s="30" t="s">
        <v>7985</v>
      </c>
      <c r="D68" s="31" t="s">
        <v>7986</v>
      </c>
      <c r="E68" s="31" t="s">
        <v>7987</v>
      </c>
      <c r="F68" s="31" t="s">
        <v>7988</v>
      </c>
    </row>
    <row r="69" spans="1:6">
      <c r="A69" s="30" t="s">
        <v>7989</v>
      </c>
      <c r="B69" s="30" t="s">
        <v>7974</v>
      </c>
      <c r="C69" s="30" t="s">
        <v>7990</v>
      </c>
      <c r="D69" s="31" t="s">
        <v>7991</v>
      </c>
      <c r="E69" s="31" t="s">
        <v>7992</v>
      </c>
      <c r="F69" s="31" t="s">
        <v>7993</v>
      </c>
    </row>
    <row r="70" spans="1:6">
      <c r="A70" s="30" t="s">
        <v>7994</v>
      </c>
      <c r="B70" s="30" t="s">
        <v>7974</v>
      </c>
      <c r="C70" s="30" t="s">
        <v>7995</v>
      </c>
      <c r="D70" s="31" t="s">
        <v>7996</v>
      </c>
      <c r="E70" s="31" t="s">
        <v>7997</v>
      </c>
      <c r="F70" s="31" t="s">
        <v>7998</v>
      </c>
    </row>
    <row r="71" spans="1:6">
      <c r="A71" s="30" t="s">
        <v>7999</v>
      </c>
      <c r="B71" s="30" t="s">
        <v>8000</v>
      </c>
      <c r="C71" s="30" t="s">
        <v>8001</v>
      </c>
      <c r="D71" s="31" t="s">
        <v>8002</v>
      </c>
      <c r="E71" s="31" t="s">
        <v>8003</v>
      </c>
      <c r="F71" s="31" t="s">
        <v>8004</v>
      </c>
    </row>
    <row r="72" spans="1:6">
      <c r="A72" s="30" t="s">
        <v>3221</v>
      </c>
      <c r="B72" s="30" t="s">
        <v>8000</v>
      </c>
      <c r="C72" s="30" t="s">
        <v>8005</v>
      </c>
      <c r="D72" s="31" t="s">
        <v>8006</v>
      </c>
      <c r="E72" s="31" t="s">
        <v>8007</v>
      </c>
      <c r="F72" s="31"/>
    </row>
    <row r="73" spans="1:6">
      <c r="A73" s="30" t="s">
        <v>8008</v>
      </c>
      <c r="B73" s="30" t="s">
        <v>8000</v>
      </c>
      <c r="C73" s="30" t="s">
        <v>8009</v>
      </c>
      <c r="D73" s="31" t="s">
        <v>8010</v>
      </c>
      <c r="E73" s="31" t="s">
        <v>8011</v>
      </c>
      <c r="F73" s="31" t="s">
        <v>8012</v>
      </c>
    </row>
    <row r="74" spans="1:6">
      <c r="A74" s="30" t="s">
        <v>8013</v>
      </c>
      <c r="B74" s="30" t="s">
        <v>8000</v>
      </c>
      <c r="C74" s="30" t="s">
        <v>8014</v>
      </c>
      <c r="D74" s="31" t="s">
        <v>8015</v>
      </c>
      <c r="E74" s="31" t="s">
        <v>8016</v>
      </c>
      <c r="F74" s="31" t="s">
        <v>8017</v>
      </c>
    </row>
    <row r="75" spans="1:6">
      <c r="A75" s="30" t="s">
        <v>8018</v>
      </c>
      <c r="B75" s="30" t="s">
        <v>8000</v>
      </c>
      <c r="C75" s="30" t="s">
        <v>8019</v>
      </c>
      <c r="D75" s="31" t="s">
        <v>8020</v>
      </c>
      <c r="E75" s="31" t="s">
        <v>8021</v>
      </c>
      <c r="F75" s="31" t="s">
        <v>8022</v>
      </c>
    </row>
    <row r="76" spans="1:6">
      <c r="A76" s="30" t="s">
        <v>8023</v>
      </c>
      <c r="B76" s="30" t="s">
        <v>8000</v>
      </c>
      <c r="C76" s="30" t="s">
        <v>8024</v>
      </c>
      <c r="D76" s="31" t="s">
        <v>8025</v>
      </c>
      <c r="E76" s="31" t="s">
        <v>8026</v>
      </c>
      <c r="F76" s="31" t="s">
        <v>7648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IA(정보구조)</vt:lpstr>
      <vt:lpstr>사용자 스토리</vt:lpstr>
      <vt:lpstr>화면설계서</vt:lpstr>
      <vt:lpstr>UI 요소 상세</vt:lpstr>
      <vt:lpstr>기능명세서</vt:lpstr>
      <vt:lpstr>API명세서</vt:lpstr>
      <vt:lpstr>데이터 정의서</vt:lpstr>
      <vt:lpstr>QA테스트케이스</vt:lpstr>
      <vt:lpstr>대시보드</vt:lpstr>
      <vt:lpstr>비즈니스정책</vt:lpstr>
      <vt:lpstr>화면흐름도</vt:lpstr>
      <vt:lpstr>디자인토큰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심재형</cp:lastModifiedBy>
  <dcterms:created xsi:type="dcterms:W3CDTF">2026-03-11T06:49:12Z</dcterms:created>
  <dcterms:modified xsi:type="dcterms:W3CDTF">2026-03-18T01:45:27Z</dcterms:modified>
</cp:coreProperties>
</file>